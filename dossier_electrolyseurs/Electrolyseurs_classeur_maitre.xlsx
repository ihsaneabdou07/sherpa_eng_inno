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Hypothèses" sheetId="2" state="visible" r:id="rId4"/>
    <sheet name="Sources" sheetId="3" state="visible" r:id="rId5"/>
    <sheet name="Données" sheetId="4" state="visible" r:id="rId6"/>
    <sheet name="Synthèse" sheetId="5" state="visible" r:id="rId7"/>
    <sheet name="Lacunes" sheetId="6" state="visible" r:id="rId8"/>
    <sheet name="Interface" sheetId="7" state="visible" r:id="rId9"/>
  </sheets>
  <definedNames>
    <definedName function="false" hidden="true" localSheetId="3" name="_xlnm._FilterDatabase" vbProcedure="false">Données!$A$1:$X$420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<sst xmlns="http://schemas.openxmlformats.org/spreadsheetml/2006/main" count="6072" uniqueCount="737">
  <si>
    <t xml:space="preserve">Classeur maître « Électrolyseurs » : CAPEX, rendement et paramètres (alcalin / PEM / SOEC)</t>
  </si>
  <si>
    <t xml:space="preserve">Onglets</t>
  </si>
  <si>
    <t xml:space="preserve">• Hypothèses : taux de change, inflation, définition de l'horizon « actuel ». Cellules bleues sur fond jaune = à modifier ; tout se recalcule.</t>
  </si>
  <si>
    <t xml:space="preserve">• Données : une ligne par valeur (table à charger dans Power BI). Colonnes Facteur, Min/Typique/Max normalisés et Horizon = formules.</t>
  </si>
  <si>
    <t xml:space="preserve">• Sources : une ligne par base et par étude/source (auteur, titre, année, DOI ou lien, licence, date de consultation).</t>
  </si>
  <si>
    <t xml:space="preserve">• Synthèse : CAPEX et rendement par technologie et horizon (actuel, 2030, 2050) : min, médiane, max, nombre de valeurs et de sources. Formules MEDIAN / MIN / MAX / SUMPRODUCT, mises à jour dès qu'on ajoute des lignes dans Données.</t>
  </si>
  <si>
    <t xml:space="preserve">• Lacunes : nombre de sources par paramètre et par technologie (objectif : au moins 2).</t>
  </si>
  <si>
    <t xml:space="preserve">• Interface : tableau d'interface du bloc électrolyseur (entrées, sorties, paramètres) pour Capella et le modèle Python.</t>
  </si>
  <si>
    <t xml:space="preserve">Contenu importé</t>
  </si>
  <si>
    <t xml:space="preserve">• Ghadim et al. 2025 (CAPEX et LCOH, alcalin et PEM, USD 2024) : valeurs observées et projections, min / moyenne / max par étude et par année.</t>
  </si>
  <si>
    <t xml:space="preserve">• Delft (CAPEX_DATA, onglet CAPEX) : CAPEX alcalin et PEM 2003-2023 en EUR/kW.</t>
  </si>
  <si>
    <t xml:space="preserve">• Muñoz-Peña et al. 2024 (micro-réseau) : paramètres de l'électrolyseur PEM (OPEX, remplacement, durée de vie, rendement, charge minimale), eau stœchiométrique, compresseur. Hypothèses d'un cas d'étude, statut « à vérifier ».</t>
  </si>
  <si>
    <t xml:space="preserve">NON IMPORTÉ pour l'instant</t>
  </si>
  <si>
    <t xml:space="preserve">• Potsdam (Electrolyser_Data_Complete_Efuels_JE_FU.xlsx) : le fichier .xlsx n'était pas disponible dans cette session (seul le .pbix l'était, dont les données ne sont pas lisibles hors Power BI). Le rendement (Efficiency_LHV) et le SOEC viennent de cette source : ils apparaîtront dans la Synthèse dès que ses lignes seront ajoutées à Données (mêmes colonnes ; Base = « Potsdam »).</t>
  </si>
  <si>
    <t xml:space="preserve">• Déploiement IEA (DEPLOYMENT_DATA.xlsx) : même raison. Il n'entre pas dans la table Données (capacités, pas des coûts) ; à garder en table séparée dans Power BI.</t>
  </si>
  <si>
    <t xml:space="preserve">Règles de lecture</t>
  </si>
  <si>
    <t xml:space="preserve">• Statut : « à vérifier » tant que la source primaire n'a pas été consultée. Aucune ligne n'est encore « vérifiée ».</t>
  </si>
  <si>
    <t xml:space="preserve">• Rendement : base PCI partout (Potsdam = Efficiency_LHV). Ne pas mélanger avec des valeurs PCS.</t>
  </si>
  <si>
    <t xml:space="preserve">• Horizon : « actuel » = années de la plage définie dans Hypothèses (2020-2025 par défaut) ; « 2030 » et « 2050 » = ces années exactes ; le reste = « autre ».</t>
  </si>
  <si>
    <t xml:space="preserve">• Les valeurs de Ghadim, Delft et Muñoz-Peña ne sont pas indépendantes (Delft et Muñoz-Peña reprennent d'autres travaux). Le « nombre de sources » compte des sources distinctes citées, pas des mesures indépendantes.</t>
  </si>
  <si>
    <t xml:space="preserve">• Données observées et projections sont mélangées pour un même horizon : filtrer sur la colonne Type si besoin.</t>
  </si>
  <si>
    <t xml:space="preserve">Hypothèses de conversion et d'horizon</t>
  </si>
  <si>
    <t xml:space="preserve">Cellules bleues sur fond jaune = modifiables. Unité cible du CAPEX : USD 2024 par kW.</t>
  </si>
  <si>
    <t xml:space="preserve">Paramètre</t>
  </si>
  <si>
    <t xml:space="preserve">Valeur</t>
  </si>
  <si>
    <t xml:space="preserve">Source / commentaire</t>
  </si>
  <si>
    <t xml:space="preserve">Année</t>
  </si>
  <si>
    <t xml:space="preserve">Coef. USD→USD 2024</t>
  </si>
  <si>
    <t xml:space="preserve">Taux EUR → USD (2024)</t>
  </si>
  <si>
    <t xml:space="preserve">Ghadim et al. 2025, onglet « Conversion rates » : 1 EUR = 1,082 USD en 2024</t>
  </si>
  <si>
    <t xml:space="preserve">Année de référence des EUR de Delft</t>
  </si>
  <si>
    <t xml:space="preserve">Hypothèse : les valeurs 2019-2023 de Delft sont ajustées de l'inflation vers ≈2018 ; avant 2019 ce sont des EUR de l'année. À vérifier auprès de Glenk &amp; Reichelstein / Delft.</t>
  </si>
  <si>
    <t xml:space="preserve">Coefficient d'inflation USD vers USD 2024 (année de réf. Delft)</t>
  </si>
  <si>
    <t xml:space="preserve">Lu dans le tableau ci-dessous (Ghadim, « Conversion rates »). Approximation : on applique l'inflation USD aux EUR de Delft.</t>
  </si>
  <si>
    <t xml:space="preserve">Facteur Delft : EUR → USD 2024</t>
  </si>
  <si>
    <t xml:space="preserve">Taux EUR/USD × coefficient d'inflation (calculé)</t>
  </si>
  <si>
    <t xml:space="preserve">Début de la plage « actuel »</t>
  </si>
  <si>
    <t xml:space="preserve">Choix de l'utilisateur : horizon « actuel » = valeurs datées de cette année à la suivante</t>
  </si>
  <si>
    <t xml:space="preserve">Fin de la plage « actuel »</t>
  </si>
  <si>
    <t xml:space="preserve">idem</t>
  </si>
  <si>
    <t xml:space="preserve">Année de réf. des EUR du micro-réseau</t>
  </si>
  <si>
    <t xml:space="preserve">Muñoz-Peña : « EUR courants 2024 » (facteur d'inflation = 1)</t>
  </si>
  <si>
    <t xml:space="preserve">Clé de conversion</t>
  </si>
  <si>
    <t xml:space="preserve">Facteur vers USD 2024</t>
  </si>
  <si>
    <t xml:space="preserve">Usage</t>
  </si>
  <si>
    <t xml:space="preserve">USD2024</t>
  </si>
  <si>
    <t xml:space="preserve">Ghadim (déjà en USD 2024)</t>
  </si>
  <si>
    <t xml:space="preserve">EUR_DELFT</t>
  </si>
  <si>
    <t xml:space="preserve">Delft (EUR de réf. ≈2018)</t>
  </si>
  <si>
    <t xml:space="preserve">EUR2024</t>
  </si>
  <si>
    <t xml:space="preserve">Micro-réseau (EUR courants 2024)</t>
  </si>
  <si>
    <t xml:space="preserve">aucune</t>
  </si>
  <si>
    <t xml:space="preserve">Paramètres non monétaires</t>
  </si>
  <si>
    <t xml:space="preserve">Remarque : l'inflation EUR 2018→2024 est probablement différente de l'inflation USD ; la conversion Delft est donc une approximation, à documenter dans la réunion.</t>
  </si>
  <si>
    <t xml:space="preserve">Source</t>
  </si>
  <si>
    <t xml:space="preserve">Base</t>
  </si>
  <si>
    <t xml:space="preserve">Auteur(s)</t>
  </si>
  <si>
    <t xml:space="preserve">Titre</t>
  </si>
  <si>
    <t xml:space="preserve">DOI ou lien</t>
  </si>
  <si>
    <t xml:space="preserve">Licence</t>
  </si>
  <si>
    <t xml:space="preserve">Date de consultation</t>
  </si>
  <si>
    <t xml:space="preserve">Statut</t>
  </si>
  <si>
    <t xml:space="preserve">Remarque</t>
  </si>
  <si>
    <t xml:space="preserve">Actual CAPEX</t>
  </si>
  <si>
    <t xml:space="preserve">Ghadim</t>
  </si>
  <si>
    <t xml:space="preserve">Actual CAPEX (étude compilée par Ghadim et al.)</t>
  </si>
  <si>
    <t xml:space="preserve">Voir Supplementary Table 1 de Ghadim et al. 2025</t>
  </si>
  <si>
    <t xml:space="preserve">10.1038/s41597-025-05951-4 (article) ; 10.5281/zenodo.16417026 (jeu de données) ; étude d'origine à retrouver</t>
  </si>
  <si>
    <t xml:space="preserve">CC BY 4.0 (base Ghadim)</t>
  </si>
  <si>
    <t xml:space="preserve">2026-10-19</t>
  </si>
  <si>
    <t xml:space="preserve">à vérifier</t>
  </si>
  <si>
    <t xml:space="preserve">Étude primaire non consultée</t>
  </si>
  <si>
    <t xml:space="preserve">Actual LCOH</t>
  </si>
  <si>
    <t xml:space="preserve">Actual LCOH (étude compilée par Ghadim et al.)</t>
  </si>
  <si>
    <t xml:space="preserve">BNEF 2020 (China)</t>
  </si>
  <si>
    <t xml:space="preserve">BNEF 2020 (China) (étude compilée par Ghadim et al.)</t>
  </si>
  <si>
    <t xml:space="preserve">BNEF 2020 (World)</t>
  </si>
  <si>
    <t xml:space="preserve">BNEF 2020 (World) (étude compilée par Ghadim et al.)</t>
  </si>
  <si>
    <t xml:space="preserve">Brandle et al. 2021 (World)</t>
  </si>
  <si>
    <t xml:space="preserve">Brandle et al. 2021 (World) (étude compilée par Ghadim et al.)</t>
  </si>
  <si>
    <t xml:space="preserve">DEA 2025 (Denmark) - 10 MW</t>
  </si>
  <si>
    <t xml:space="preserve">DEA 2025 (Denmark) - 10 MW (étude compilée par Ghadim et al.)</t>
  </si>
  <si>
    <t xml:space="preserve">DEA 2025 (Denmark) - 100 MW</t>
  </si>
  <si>
    <t xml:space="preserve">DEA 2025 (Denmark) - 100 MW (étude compilée par Ghadim et al.)</t>
  </si>
  <si>
    <t xml:space="preserve">DEA 2025 (Denmark) - 1000 MW</t>
  </si>
  <si>
    <t xml:space="preserve">DEA 2025 (Denmark) - 1000 MW (étude compilée par Ghadim et al.)</t>
  </si>
  <si>
    <t xml:space="preserve">DNV 2022 (World)</t>
  </si>
  <si>
    <t xml:space="preserve">DNV 2022 (World) (étude compilée par Ghadim et al.)</t>
  </si>
  <si>
    <t xml:space="preserve">ETC 2019 (China)</t>
  </si>
  <si>
    <t xml:space="preserve">ETC 2019 (China) (étude compilée par Ghadim et al.)</t>
  </si>
  <si>
    <t xml:space="preserve">Gallardo et al. 2021 (Chile)</t>
  </si>
  <si>
    <t xml:space="preserve">Gallardo et al. 2021 (Chile) (étude compilée par Ghadim et al.)</t>
  </si>
  <si>
    <t xml:space="preserve">Gandhi et al 2022 (UAE)</t>
  </si>
  <si>
    <t xml:space="preserve">Gandhi et al 2022 (UAE) (étude compilée par Ghadim et al.)</t>
  </si>
  <si>
    <t xml:space="preserve">George et al. 2022 (Germany)</t>
  </si>
  <si>
    <t xml:space="preserve">George et al. 2022 (Germany) (étude compilée par Ghadim et al.)</t>
  </si>
  <si>
    <t xml:space="preserve">Gilmore et al 2021 (Australia)</t>
  </si>
  <si>
    <t xml:space="preserve">Gilmore et al 2021 (Australia) (étude compilée par Ghadim et al.)</t>
  </si>
  <si>
    <t xml:space="preserve">Graham et al. 2021 (Australia)</t>
  </si>
  <si>
    <t xml:space="preserve">Graham et al. 2021 (Australia) (étude compilée par Ghadim et al.)</t>
  </si>
  <si>
    <t xml:space="preserve">Hall et al. 2020 (India)</t>
  </si>
  <si>
    <t xml:space="preserve">Hall et al. 2020 (India) (étude compilée par Ghadim et al.)</t>
  </si>
  <si>
    <t xml:space="preserve">IEA 2019 (World)</t>
  </si>
  <si>
    <t xml:space="preserve">IEA 2019 (World) (étude compilée par Ghadim et al.)</t>
  </si>
  <si>
    <t xml:space="preserve">IEA 2021 - H2 (Latin America)</t>
  </si>
  <si>
    <t xml:space="preserve">IEA 2021 - H2 (Latin America) (étude compilée par Ghadim et al.)</t>
  </si>
  <si>
    <t xml:space="preserve">IEA 2022 - H2 (World)</t>
  </si>
  <si>
    <t xml:space="preserve">IEA 2022 - H2 (World) (étude compilée par Ghadim et al.)</t>
  </si>
  <si>
    <t xml:space="preserve">IRENA 2020 (World)</t>
  </si>
  <si>
    <t xml:space="preserve">IRENA 2020 (World) (étude compilée par Ghadim et al.)</t>
  </si>
  <si>
    <t xml:space="preserve">Janssen et al. 2022 (Denmark)</t>
  </si>
  <si>
    <t xml:space="preserve">Janssen et al. 2022 (Denmark) (étude compilée par Ghadim et al.)</t>
  </si>
  <si>
    <t xml:space="preserve">Janssen et al. 2022 (Denmark, Portugal, Netherlands)</t>
  </si>
  <si>
    <t xml:space="preserve">Janssen et al. 2022 (Denmark, Portugal, Netherlands) (étude compilée par Ghadim et al.)</t>
  </si>
  <si>
    <t xml:space="preserve">Janssen et al. 2022 (Netherlands)</t>
  </si>
  <si>
    <t xml:space="preserve">Janssen et al. 2022 (Netherlands) (étude compilée par Ghadim et al.)</t>
  </si>
  <si>
    <t xml:space="preserve">Janssen et al. 2022 (Portugal)</t>
  </si>
  <si>
    <t xml:space="preserve">Janssen et al. 2022 (Portugal) (étude compilée par Ghadim et al.)</t>
  </si>
  <si>
    <t xml:space="preserve">Mahone et al. 2020 (U.S.)</t>
  </si>
  <si>
    <t xml:space="preserve">Mahone et al. 2020 (U.S.) (étude compilée par Ghadim et al.)</t>
  </si>
  <si>
    <t xml:space="preserve">Mahone et al. 2020 (USA)</t>
  </si>
  <si>
    <t xml:space="preserve">Mahone et al. 2020 (USA) (étude compilée par Ghadim et al.)</t>
  </si>
  <si>
    <t xml:space="preserve">Reksten et al. 2022 (World)</t>
  </si>
  <si>
    <t xml:space="preserve">Reksten et al. 2022 (World) (étude compilée par Ghadim et al.)</t>
  </si>
  <si>
    <t xml:space="preserve">Tlili et al. 2019 (China)</t>
  </si>
  <si>
    <t xml:space="preserve">Tlili et al. 2019 (China) (étude compilée par Ghadim et al.)</t>
  </si>
  <si>
    <t xml:space="preserve">Tlili et al. 2019 (EU)</t>
  </si>
  <si>
    <t xml:space="preserve">Tlili et al. 2019 (EU) (étude compilée par Ghadim et al.)</t>
  </si>
  <si>
    <t xml:space="preserve">Tlili et al. 2019 (Japan)</t>
  </si>
  <si>
    <t xml:space="preserve">Tlili et al. 2019 (Japan) (étude compilée par Ghadim et al.)</t>
  </si>
  <si>
    <t xml:space="preserve">UK BEIS 2021 (UK)</t>
  </si>
  <si>
    <t xml:space="preserve">UK BEIS 2021 (UK) (étude compilée par Ghadim et al.)</t>
  </si>
  <si>
    <t xml:space="preserve">Vartiainen et al. 2020 (EU)</t>
  </si>
  <si>
    <t xml:space="preserve">Vartiainen et al. 2020 (EU) (étude compilée par Ghadim et al.)</t>
  </si>
  <si>
    <t xml:space="preserve">WEC 2021 (EU)</t>
  </si>
  <si>
    <t xml:space="preserve">WEC 2021 (EU) (étude compilée par Ghadim et al.)</t>
  </si>
  <si>
    <t xml:space="preserve">WEC 2021 (World)</t>
  </si>
  <si>
    <t xml:space="preserve">WEC 2021 (World) (étude compilée par Ghadim et al.)</t>
  </si>
  <si>
    <t xml:space="preserve">Glenk &amp; Reichelstein 2019</t>
  </si>
  <si>
    <t xml:space="preserve">Delft</t>
  </si>
  <si>
    <t xml:space="preserve">Glenk G., Reichelstein S.</t>
  </si>
  <si>
    <t xml:space="preserve">Economics of converting renewable power to hydrogen</t>
  </si>
  <si>
    <t xml:space="preserve">Nature Energy (DOI à compléter)</t>
  </si>
  <si>
    <t xml:space="preserve">(à compléter)</t>
  </si>
  <si>
    <t xml:space="preserve">Cité dans le classeur CAPEX_DATA de Delft (onglet CALC) ; page exacte indiquée dans CALC</t>
  </si>
  <si>
    <t xml:space="preserve">IEA The Future of Hydrogen 2019</t>
  </si>
  <si>
    <t xml:space="preserve">IEA</t>
  </si>
  <si>
    <t xml:space="preserve">The Future of Hydrogen</t>
  </si>
  <si>
    <t xml:space="preserve">(lien IEA à compléter)</t>
  </si>
  <si>
    <t xml:space="preserve">IEA Global Hydrogen Review 2021</t>
  </si>
  <si>
    <t xml:space="preserve">Global Hydrogen Review 2021</t>
  </si>
  <si>
    <t xml:space="preserve">IEA Global Hydrogen Review 2022</t>
  </si>
  <si>
    <t xml:space="preserve">Global Hydrogen Review 2022</t>
  </si>
  <si>
    <t xml:space="preserve">IEA Global Hydrogen Review 2023</t>
  </si>
  <si>
    <t xml:space="preserve">Global Hydrogen Review 2023</t>
  </si>
  <si>
    <t xml:space="preserve">IEA Global Hydrogen Review 2024</t>
  </si>
  <si>
    <t xml:space="preserve">Global Hydrogen Review 2024</t>
  </si>
  <si>
    <t xml:space="preserve">Muñoz-Peña et al. 2024</t>
  </si>
  <si>
    <t xml:space="preserve">Microgrid</t>
  </si>
  <si>
    <t xml:space="preserve">Muñoz-Peña et al.</t>
  </si>
  <si>
    <t xml:space="preserve">Optimal design of a hydrogen system of grid-connected flexible industrial microgrids (23rd Wind &amp; Solar Integration Workshop, Helsinki)</t>
  </si>
  <si>
    <t xml:space="preserve">(DOI à compléter)</t>
  </si>
  <si>
    <t xml:space="preserve">Tableaux 2 et 3 ; valeurs reprises de Marocco et al. 2023 (J. Clean. Prod. 388, 135969) et 2024 (J. Clean. Prod. 434, 140007)</t>
  </si>
  <si>
    <t xml:space="preserve">Potsdam (Electrolyser Data Complete, Efuels JE FU)</t>
  </si>
  <si>
    <t xml:space="preserve">Potsdam</t>
  </si>
  <si>
    <t xml:space="preserve">(à compléter depuis le README)</t>
  </si>
  <si>
    <t xml:space="preserve">Electrolyser_Data_Complete_Efuels_JE_FU</t>
  </si>
  <si>
    <t xml:space="preserve">(voir README)</t>
  </si>
  <si>
    <t xml:space="preserve">CC BY 4.0 (selon vos notes)</t>
  </si>
  <si>
    <t xml:space="preserve">à importer</t>
  </si>
  <si>
    <t xml:space="preserve">NON IMPORTÉ : fichier .xlsx absent de cette session</t>
  </si>
  <si>
    <t xml:space="preserve">ID</t>
  </si>
  <si>
    <t xml:space="preserve">Base de données</t>
  </si>
  <si>
    <t xml:space="preserve">Technologie</t>
  </si>
  <si>
    <t xml:space="preserve">Type de donnée</t>
  </si>
  <si>
    <t xml:space="preserve">Valeur min</t>
  </si>
  <si>
    <t xml:space="preserve">Valeur typique</t>
  </si>
  <si>
    <t xml:space="preserve">Valeur max</t>
  </si>
  <si>
    <t xml:space="preserve">Unité</t>
  </si>
  <si>
    <t xml:space="preserve">Année de la valeur</t>
  </si>
  <si>
    <t xml:space="preserve">Horizon</t>
  </si>
  <si>
    <t xml:space="preserve">Taille</t>
  </si>
  <si>
    <t xml:space="preserve">Périmètre</t>
  </si>
  <si>
    <t xml:space="preserve">Base énergétique</t>
  </si>
  <si>
    <t xml:space="preserve">Région</t>
  </si>
  <si>
    <t xml:space="preserve">Facteur de conversion</t>
  </si>
  <si>
    <t xml:space="preserve">Min normalisé</t>
  </si>
  <si>
    <t xml:space="preserve">Typique normalisé</t>
  </si>
  <si>
    <t xml:space="preserve">Max normalisé</t>
  </si>
  <si>
    <t xml:space="preserve">Unité normalisée</t>
  </si>
  <si>
    <t xml:space="preserve">Commentaire</t>
  </si>
  <si>
    <t xml:space="preserve">D0001</t>
  </si>
  <si>
    <t xml:space="preserve">Alcalin</t>
  </si>
  <si>
    <t xml:space="preserve">CAPEX</t>
  </si>
  <si>
    <t xml:space="preserve">Observé</t>
  </si>
  <si>
    <t xml:space="preserve">USD 2024/kW</t>
  </si>
  <si>
    <t xml:space="preserve">non précisé (varie selon l'étude)</t>
  </si>
  <si>
    <t xml:space="preserve">Marché</t>
  </si>
  <si>
    <t xml:space="preserve">Base Ghadim et al. 2025 (USD 2024, déjà corrigé de l'inflation).</t>
  </si>
  <si>
    <t xml:space="preserve">D0002</t>
  </si>
  <si>
    <t xml:space="preserve">D0003</t>
  </si>
  <si>
    <t xml:space="preserve">D0004</t>
  </si>
  <si>
    <t xml:space="preserve">D0005</t>
  </si>
  <si>
    <t xml:space="preserve">D0006</t>
  </si>
  <si>
    <t xml:space="preserve">D0007</t>
  </si>
  <si>
    <t xml:space="preserve">D0008</t>
  </si>
  <si>
    <t xml:space="preserve">Projection</t>
  </si>
  <si>
    <t xml:space="preserve">China</t>
  </si>
  <si>
    <t xml:space="preserve">D0009</t>
  </si>
  <si>
    <t xml:space="preserve">D0010</t>
  </si>
  <si>
    <t xml:space="preserve">D0011</t>
  </si>
  <si>
    <t xml:space="preserve">10 MW</t>
  </si>
  <si>
    <t xml:space="preserve">Denmark</t>
  </si>
  <si>
    <t xml:space="preserve">D0012</t>
  </si>
  <si>
    <t xml:space="preserve">D0013</t>
  </si>
  <si>
    <t xml:space="preserve">D0014</t>
  </si>
  <si>
    <t xml:space="preserve">D0015</t>
  </si>
  <si>
    <t xml:space="preserve">D0016</t>
  </si>
  <si>
    <t xml:space="preserve">100 MW</t>
  </si>
  <si>
    <t xml:space="preserve">D0017</t>
  </si>
  <si>
    <t xml:space="preserve">D0018</t>
  </si>
  <si>
    <t xml:space="preserve">D0019</t>
  </si>
  <si>
    <t xml:space="preserve">D0020</t>
  </si>
  <si>
    <t xml:space="preserve">D0021</t>
  </si>
  <si>
    <t xml:space="preserve">1000 MW</t>
  </si>
  <si>
    <t xml:space="preserve">D0022</t>
  </si>
  <si>
    <t xml:space="preserve">D0023</t>
  </si>
  <si>
    <t xml:space="preserve">D0024</t>
  </si>
  <si>
    <t xml:space="preserve">D0025</t>
  </si>
  <si>
    <t xml:space="preserve">D0026</t>
  </si>
  <si>
    <t xml:space="preserve">World</t>
  </si>
  <si>
    <t xml:space="preserve">D0027</t>
  </si>
  <si>
    <t xml:space="preserve">D0028</t>
  </si>
  <si>
    <t xml:space="preserve">D0029</t>
  </si>
  <si>
    <t xml:space="preserve">D0030</t>
  </si>
  <si>
    <t xml:space="preserve">D0031</t>
  </si>
  <si>
    <t xml:space="preserve">D0032</t>
  </si>
  <si>
    <t xml:space="preserve">D0033</t>
  </si>
  <si>
    <t xml:space="preserve">UAE</t>
  </si>
  <si>
    <t xml:space="preserve">D0034</t>
  </si>
  <si>
    <t xml:space="preserve">D0035</t>
  </si>
  <si>
    <t xml:space="preserve">D0036</t>
  </si>
  <si>
    <t xml:space="preserve">D0037</t>
  </si>
  <si>
    <t xml:space="preserve">Germany</t>
  </si>
  <si>
    <t xml:space="preserve">D0038</t>
  </si>
  <si>
    <t xml:space="preserve">D0039</t>
  </si>
  <si>
    <t xml:space="preserve">D0040</t>
  </si>
  <si>
    <t xml:space="preserve">D0041</t>
  </si>
  <si>
    <t xml:space="preserve">D0042</t>
  </si>
  <si>
    <t xml:space="preserve">D0043</t>
  </si>
  <si>
    <t xml:space="preserve">D0044</t>
  </si>
  <si>
    <t xml:space="preserve">Australia</t>
  </si>
  <si>
    <t xml:space="preserve">D0045</t>
  </si>
  <si>
    <t xml:space="preserve">D0046</t>
  </si>
  <si>
    <t xml:space="preserve">D0047</t>
  </si>
  <si>
    <t xml:space="preserve">D0048</t>
  </si>
  <si>
    <t xml:space="preserve">D0049</t>
  </si>
  <si>
    <t xml:space="preserve">D0050</t>
  </si>
  <si>
    <t xml:space="preserve">D0051</t>
  </si>
  <si>
    <t xml:space="preserve">D0052</t>
  </si>
  <si>
    <t xml:space="preserve">D0053</t>
  </si>
  <si>
    <t xml:space="preserve">D0054</t>
  </si>
  <si>
    <t xml:space="preserve">D0055</t>
  </si>
  <si>
    <t xml:space="preserve">D0056</t>
  </si>
  <si>
    <t xml:space="preserve">D0057</t>
  </si>
  <si>
    <t xml:space="preserve">D0058</t>
  </si>
  <si>
    <t xml:space="preserve">D0059</t>
  </si>
  <si>
    <t xml:space="preserve">D0060</t>
  </si>
  <si>
    <t xml:space="preserve">D0061</t>
  </si>
  <si>
    <t xml:space="preserve">D0062</t>
  </si>
  <si>
    <t xml:space="preserve">D0063</t>
  </si>
  <si>
    <t xml:space="preserve">D0064</t>
  </si>
  <si>
    <t xml:space="preserve">D0065</t>
  </si>
  <si>
    <t xml:space="preserve">D0066</t>
  </si>
  <si>
    <t xml:space="preserve">D0067</t>
  </si>
  <si>
    <t xml:space="preserve">D0068</t>
  </si>
  <si>
    <t xml:space="preserve">D0069</t>
  </si>
  <si>
    <t xml:space="preserve">D0070</t>
  </si>
  <si>
    <t xml:space="preserve">D0071</t>
  </si>
  <si>
    <t xml:space="preserve">D0072</t>
  </si>
  <si>
    <t xml:space="preserve">D0073</t>
  </si>
  <si>
    <t xml:space="preserve">D0074</t>
  </si>
  <si>
    <t xml:space="preserve">D0075</t>
  </si>
  <si>
    <t xml:space="preserve">India</t>
  </si>
  <si>
    <t xml:space="preserve">D0076</t>
  </si>
  <si>
    <t xml:space="preserve">D0077</t>
  </si>
  <si>
    <t xml:space="preserve">D0078</t>
  </si>
  <si>
    <t xml:space="preserve">Latin America</t>
  </si>
  <si>
    <t xml:space="preserve">D0079</t>
  </si>
  <si>
    <t xml:space="preserve">D0080</t>
  </si>
  <si>
    <t xml:space="preserve">D0081</t>
  </si>
  <si>
    <t xml:space="preserve">D0082</t>
  </si>
  <si>
    <t xml:space="preserve">D0083</t>
  </si>
  <si>
    <t xml:space="preserve">D0084</t>
  </si>
  <si>
    <t xml:space="preserve">D0085</t>
  </si>
  <si>
    <t xml:space="preserve">Denmark, Portugal, Netherlands</t>
  </si>
  <si>
    <t xml:space="preserve">D0086</t>
  </si>
  <si>
    <t xml:space="preserve">D0087</t>
  </si>
  <si>
    <t xml:space="preserve">D0088</t>
  </si>
  <si>
    <t xml:space="preserve">D0089</t>
  </si>
  <si>
    <t xml:space="preserve">U.S.</t>
  </si>
  <si>
    <t xml:space="preserve">D0090</t>
  </si>
  <si>
    <t xml:space="preserve">D0091</t>
  </si>
  <si>
    <t xml:space="preserve">D0092</t>
  </si>
  <si>
    <t xml:space="preserve">D0093</t>
  </si>
  <si>
    <t xml:space="preserve">D0094</t>
  </si>
  <si>
    <t xml:space="preserve">D0095</t>
  </si>
  <si>
    <t xml:space="preserve">D0096</t>
  </si>
  <si>
    <t xml:space="preserve">UK</t>
  </si>
  <si>
    <t xml:space="preserve">D0097</t>
  </si>
  <si>
    <t xml:space="preserve">D0098</t>
  </si>
  <si>
    <t xml:space="preserve">D0099</t>
  </si>
  <si>
    <t xml:space="preserve">D0100</t>
  </si>
  <si>
    <t xml:space="preserve">D0101</t>
  </si>
  <si>
    <t xml:space="preserve">D0102</t>
  </si>
  <si>
    <t xml:space="preserve">D0103</t>
  </si>
  <si>
    <t xml:space="preserve">EU</t>
  </si>
  <si>
    <t xml:space="preserve">D0104</t>
  </si>
  <si>
    <t xml:space="preserve">D0105</t>
  </si>
  <si>
    <t xml:space="preserve">D0106</t>
  </si>
  <si>
    <t xml:space="preserve">LCOH</t>
  </si>
  <si>
    <t xml:space="preserve">USD 2024/kg H2</t>
  </si>
  <si>
    <t xml:space="preserve">D0107</t>
  </si>
  <si>
    <t xml:space="preserve">D0108</t>
  </si>
  <si>
    <t xml:space="preserve">D0109</t>
  </si>
  <si>
    <t xml:space="preserve">D0110</t>
  </si>
  <si>
    <t xml:space="preserve">D0111</t>
  </si>
  <si>
    <t xml:space="preserve">D0112</t>
  </si>
  <si>
    <t xml:space="preserve">D0113</t>
  </si>
  <si>
    <t xml:space="preserve">D0114</t>
  </si>
  <si>
    <t xml:space="preserve">D0115</t>
  </si>
  <si>
    <t xml:space="preserve">D0116</t>
  </si>
  <si>
    <t xml:space="preserve">D0117</t>
  </si>
  <si>
    <t xml:space="preserve">D0118</t>
  </si>
  <si>
    <t xml:space="preserve">D0119</t>
  </si>
  <si>
    <t xml:space="preserve">D0120</t>
  </si>
  <si>
    <t xml:space="preserve">D0121</t>
  </si>
  <si>
    <t xml:space="preserve">D0122</t>
  </si>
  <si>
    <t xml:space="preserve">D0123</t>
  </si>
  <si>
    <t xml:space="preserve">D0124</t>
  </si>
  <si>
    <t xml:space="preserve">D0125</t>
  </si>
  <si>
    <t xml:space="preserve">D0126</t>
  </si>
  <si>
    <t xml:space="preserve">D0127</t>
  </si>
  <si>
    <t xml:space="preserve">D0128</t>
  </si>
  <si>
    <t xml:space="preserve">D0129</t>
  </si>
  <si>
    <t xml:space="preserve">D0130</t>
  </si>
  <si>
    <t xml:space="preserve">D0131</t>
  </si>
  <si>
    <t xml:space="preserve">D0132</t>
  </si>
  <si>
    <t xml:space="preserve">D0133</t>
  </si>
  <si>
    <t xml:space="preserve">D0134</t>
  </si>
  <si>
    <t xml:space="preserve">D0135</t>
  </si>
  <si>
    <t xml:space="preserve">D0136</t>
  </si>
  <si>
    <t xml:space="preserve">D0137</t>
  </si>
  <si>
    <t xml:space="preserve">D0138</t>
  </si>
  <si>
    <t xml:space="preserve">D0139</t>
  </si>
  <si>
    <t xml:space="preserve">D0140</t>
  </si>
  <si>
    <t xml:space="preserve">D0141</t>
  </si>
  <si>
    <t xml:space="preserve">D0142</t>
  </si>
  <si>
    <t xml:space="preserve">D0143</t>
  </si>
  <si>
    <t xml:space="preserve">D0144</t>
  </si>
  <si>
    <t xml:space="preserve">D0145</t>
  </si>
  <si>
    <t xml:space="preserve">D0146</t>
  </si>
  <si>
    <t xml:space="preserve">D0147</t>
  </si>
  <si>
    <t xml:space="preserve">D0148</t>
  </si>
  <si>
    <t xml:space="preserve">D0149</t>
  </si>
  <si>
    <t xml:space="preserve">D0150</t>
  </si>
  <si>
    <t xml:space="preserve">D0151</t>
  </si>
  <si>
    <t xml:space="preserve">D0152</t>
  </si>
  <si>
    <t xml:space="preserve">D0153</t>
  </si>
  <si>
    <t xml:space="preserve">D0154</t>
  </si>
  <si>
    <t xml:space="preserve">D0155</t>
  </si>
  <si>
    <t xml:space="preserve">D0156</t>
  </si>
  <si>
    <t xml:space="preserve">D0157</t>
  </si>
  <si>
    <t xml:space="preserve">D0158</t>
  </si>
  <si>
    <t xml:space="preserve">D0159</t>
  </si>
  <si>
    <t xml:space="preserve">D0160</t>
  </si>
  <si>
    <t xml:space="preserve">D0161</t>
  </si>
  <si>
    <t xml:space="preserve">D0162</t>
  </si>
  <si>
    <t xml:space="preserve">D0163</t>
  </si>
  <si>
    <t xml:space="preserve">D0164</t>
  </si>
  <si>
    <t xml:space="preserve">D0165</t>
  </si>
  <si>
    <t xml:space="preserve">D0166</t>
  </si>
  <si>
    <t xml:space="preserve">D0167</t>
  </si>
  <si>
    <t xml:space="preserve">D0168</t>
  </si>
  <si>
    <t xml:space="preserve">D0169</t>
  </si>
  <si>
    <t xml:space="preserve">D0170</t>
  </si>
  <si>
    <t xml:space="preserve">D0171</t>
  </si>
  <si>
    <t xml:space="preserve">Netherlands</t>
  </si>
  <si>
    <t xml:space="preserve">D0172</t>
  </si>
  <si>
    <t xml:space="preserve">D0173</t>
  </si>
  <si>
    <t xml:space="preserve">D0174</t>
  </si>
  <si>
    <t xml:space="preserve">D0175</t>
  </si>
  <si>
    <t xml:space="preserve">Portugal</t>
  </si>
  <si>
    <t xml:space="preserve">D0176</t>
  </si>
  <si>
    <t xml:space="preserve">D0177</t>
  </si>
  <si>
    <t xml:space="preserve">D0178</t>
  </si>
  <si>
    <t xml:space="preserve">D0179</t>
  </si>
  <si>
    <t xml:space="preserve">D0180</t>
  </si>
  <si>
    <t xml:space="preserve">D0181</t>
  </si>
  <si>
    <t xml:space="preserve">D0182</t>
  </si>
  <si>
    <t xml:space="preserve">D0183</t>
  </si>
  <si>
    <t xml:space="preserve">D0184</t>
  </si>
  <si>
    <t xml:space="preserve">D0185</t>
  </si>
  <si>
    <t xml:space="preserve">D0186</t>
  </si>
  <si>
    <t xml:space="preserve">D0187</t>
  </si>
  <si>
    <t xml:space="preserve">D0188</t>
  </si>
  <si>
    <t xml:space="preserve">D0189</t>
  </si>
  <si>
    <t xml:space="preserve">D0190</t>
  </si>
  <si>
    <t xml:space="preserve">D0191</t>
  </si>
  <si>
    <t xml:space="preserve">D0192</t>
  </si>
  <si>
    <t xml:space="preserve">D0193</t>
  </si>
  <si>
    <t xml:space="preserve">D0194</t>
  </si>
  <si>
    <t xml:space="preserve">D0195</t>
  </si>
  <si>
    <t xml:space="preserve">PEM</t>
  </si>
  <si>
    <t xml:space="preserve">D0196</t>
  </si>
  <si>
    <t xml:space="preserve">D0197</t>
  </si>
  <si>
    <t xml:space="preserve">D0198</t>
  </si>
  <si>
    <t xml:space="preserve">D0199</t>
  </si>
  <si>
    <t xml:space="preserve">D0200</t>
  </si>
  <si>
    <t xml:space="preserve">D0201</t>
  </si>
  <si>
    <t xml:space="preserve">D0202</t>
  </si>
  <si>
    <t xml:space="preserve">D0203</t>
  </si>
  <si>
    <t xml:space="preserve">D0204</t>
  </si>
  <si>
    <t xml:space="preserve">D0205</t>
  </si>
  <si>
    <t xml:space="preserve">D0206</t>
  </si>
  <si>
    <t xml:space="preserve">D0207</t>
  </si>
  <si>
    <t xml:space="preserve">D0208</t>
  </si>
  <si>
    <t xml:space="preserve">D0209</t>
  </si>
  <si>
    <t xml:space="preserve">D0210</t>
  </si>
  <si>
    <t xml:space="preserve">D0211</t>
  </si>
  <si>
    <t xml:space="preserve">D0212</t>
  </si>
  <si>
    <t xml:space="preserve">D0213</t>
  </si>
  <si>
    <t xml:space="preserve">D0214</t>
  </si>
  <si>
    <t xml:space="preserve">D0215</t>
  </si>
  <si>
    <t xml:space="preserve">D0216</t>
  </si>
  <si>
    <t xml:space="preserve">D0217</t>
  </si>
  <si>
    <t xml:space="preserve">D0218</t>
  </si>
  <si>
    <t xml:space="preserve">D0219</t>
  </si>
  <si>
    <t xml:space="preserve">D0220</t>
  </si>
  <si>
    <t xml:space="preserve">D0221</t>
  </si>
  <si>
    <t xml:space="preserve">D0222</t>
  </si>
  <si>
    <t xml:space="preserve">D0223</t>
  </si>
  <si>
    <t xml:space="preserve">D0224</t>
  </si>
  <si>
    <t xml:space="preserve">D0225</t>
  </si>
  <si>
    <t xml:space="preserve">D0226</t>
  </si>
  <si>
    <t xml:space="preserve">D0227</t>
  </si>
  <si>
    <t xml:space="preserve">D0228</t>
  </si>
  <si>
    <t xml:space="preserve">D0229</t>
  </si>
  <si>
    <t xml:space="preserve">D0230</t>
  </si>
  <si>
    <t xml:space="preserve">D0231</t>
  </si>
  <si>
    <t xml:space="preserve">D0232</t>
  </si>
  <si>
    <t xml:space="preserve">D0233</t>
  </si>
  <si>
    <t xml:space="preserve">D0234</t>
  </si>
  <si>
    <t xml:space="preserve">D0235</t>
  </si>
  <si>
    <t xml:space="preserve">Chile</t>
  </si>
  <si>
    <t xml:space="preserve">D0236</t>
  </si>
  <si>
    <t xml:space="preserve">D0237</t>
  </si>
  <si>
    <t xml:space="preserve">D0238</t>
  </si>
  <si>
    <t xml:space="preserve">D0239</t>
  </si>
  <si>
    <t xml:space="preserve">D0240</t>
  </si>
  <si>
    <t xml:space="preserve">D0241</t>
  </si>
  <si>
    <t xml:space="preserve">D0242</t>
  </si>
  <si>
    <t xml:space="preserve">D0243</t>
  </si>
  <si>
    <t xml:space="preserve">D0244</t>
  </si>
  <si>
    <t xml:space="preserve">D0245</t>
  </si>
  <si>
    <t xml:space="preserve">D0246</t>
  </si>
  <si>
    <t xml:space="preserve">D0247</t>
  </si>
  <si>
    <t xml:space="preserve">D0248</t>
  </si>
  <si>
    <t xml:space="preserve">D0249</t>
  </si>
  <si>
    <t xml:space="preserve">D0250</t>
  </si>
  <si>
    <t xml:space="preserve">D0251</t>
  </si>
  <si>
    <t xml:space="preserve">D0252</t>
  </si>
  <si>
    <t xml:space="preserve">D0253</t>
  </si>
  <si>
    <t xml:space="preserve">D0254</t>
  </si>
  <si>
    <t xml:space="preserve">D0255</t>
  </si>
  <si>
    <t xml:space="preserve">D0256</t>
  </si>
  <si>
    <t xml:space="preserve">D0257</t>
  </si>
  <si>
    <t xml:space="preserve">D0258</t>
  </si>
  <si>
    <t xml:space="preserve">D0259</t>
  </si>
  <si>
    <t xml:space="preserve">D0260</t>
  </si>
  <si>
    <t xml:space="preserve">D0261</t>
  </si>
  <si>
    <t xml:space="preserve">D0262</t>
  </si>
  <si>
    <t xml:space="preserve">D0263</t>
  </si>
  <si>
    <t xml:space="preserve">D0264</t>
  </si>
  <si>
    <t xml:space="preserve">D0265</t>
  </si>
  <si>
    <t xml:space="preserve">D0266</t>
  </si>
  <si>
    <t xml:space="preserve">D0267</t>
  </si>
  <si>
    <t xml:space="preserve">D0268</t>
  </si>
  <si>
    <t xml:space="preserve">D0269</t>
  </si>
  <si>
    <t xml:space="preserve">D0270</t>
  </si>
  <si>
    <t xml:space="preserve">D0271</t>
  </si>
  <si>
    <t xml:space="preserve">D0272</t>
  </si>
  <si>
    <t xml:space="preserve">D0273</t>
  </si>
  <si>
    <t xml:space="preserve">D0274</t>
  </si>
  <si>
    <t xml:space="preserve">D0275</t>
  </si>
  <si>
    <t xml:space="preserve">D0276</t>
  </si>
  <si>
    <t xml:space="preserve">D0277</t>
  </si>
  <si>
    <t xml:space="preserve">D0278</t>
  </si>
  <si>
    <t xml:space="preserve">D0279</t>
  </si>
  <si>
    <t xml:space="preserve">D0280</t>
  </si>
  <si>
    <t xml:space="preserve">D0281</t>
  </si>
  <si>
    <t xml:space="preserve">D0282</t>
  </si>
  <si>
    <t xml:space="preserve">D0283</t>
  </si>
  <si>
    <t xml:space="preserve">D0284</t>
  </si>
  <si>
    <t xml:space="preserve">D0285</t>
  </si>
  <si>
    <t xml:space="preserve">D0286</t>
  </si>
  <si>
    <t xml:space="preserve">USA</t>
  </si>
  <si>
    <t xml:space="preserve">D0287</t>
  </si>
  <si>
    <t xml:space="preserve">D0288</t>
  </si>
  <si>
    <t xml:space="preserve">D0289</t>
  </si>
  <si>
    <t xml:space="preserve">D0290</t>
  </si>
  <si>
    <t xml:space="preserve">D0291</t>
  </si>
  <si>
    <t xml:space="preserve">D0292</t>
  </si>
  <si>
    <t xml:space="preserve">D0293</t>
  </si>
  <si>
    <t xml:space="preserve">D0294</t>
  </si>
  <si>
    <t xml:space="preserve">D0295</t>
  </si>
  <si>
    <t xml:space="preserve">D0296</t>
  </si>
  <si>
    <t xml:space="preserve">D0297</t>
  </si>
  <si>
    <t xml:space="preserve">D0298</t>
  </si>
  <si>
    <t xml:space="preserve">D0299</t>
  </si>
  <si>
    <t xml:space="preserve">D0300</t>
  </si>
  <si>
    <t xml:space="preserve">D0301</t>
  </si>
  <si>
    <t xml:space="preserve">D0302</t>
  </si>
  <si>
    <t xml:space="preserve">D0303</t>
  </si>
  <si>
    <t xml:space="preserve">D0304</t>
  </si>
  <si>
    <t xml:space="preserve">D0305</t>
  </si>
  <si>
    <t xml:space="preserve">D0306</t>
  </si>
  <si>
    <t xml:space="preserve">D0307</t>
  </si>
  <si>
    <t xml:space="preserve">D0308</t>
  </si>
  <si>
    <t xml:space="preserve">D0309</t>
  </si>
  <si>
    <t xml:space="preserve">D0310</t>
  </si>
  <si>
    <t xml:space="preserve">D0311</t>
  </si>
  <si>
    <t xml:space="preserve">D0312</t>
  </si>
  <si>
    <t xml:space="preserve">D0313</t>
  </si>
  <si>
    <t xml:space="preserve">D0314</t>
  </si>
  <si>
    <t xml:space="preserve">D0315</t>
  </si>
  <si>
    <t xml:space="preserve">D0316</t>
  </si>
  <si>
    <t xml:space="preserve">D0317</t>
  </si>
  <si>
    <t xml:space="preserve">D0318</t>
  </si>
  <si>
    <t xml:space="preserve">D0319</t>
  </si>
  <si>
    <t xml:space="preserve">D0320</t>
  </si>
  <si>
    <t xml:space="preserve">D0321</t>
  </si>
  <si>
    <t xml:space="preserve">D0322</t>
  </si>
  <si>
    <t xml:space="preserve">D0323</t>
  </si>
  <si>
    <t xml:space="preserve">D0324</t>
  </si>
  <si>
    <t xml:space="preserve">D0325</t>
  </si>
  <si>
    <t xml:space="preserve">D0326</t>
  </si>
  <si>
    <t xml:space="preserve">D0327</t>
  </si>
  <si>
    <t xml:space="preserve">D0328</t>
  </si>
  <si>
    <t xml:space="preserve">D0329</t>
  </si>
  <si>
    <t xml:space="preserve">D0330</t>
  </si>
  <si>
    <t xml:space="preserve">D0331</t>
  </si>
  <si>
    <t xml:space="preserve">D0332</t>
  </si>
  <si>
    <t xml:space="preserve">D0333</t>
  </si>
  <si>
    <t xml:space="preserve">D0334</t>
  </si>
  <si>
    <t xml:space="preserve">D0335</t>
  </si>
  <si>
    <t xml:space="preserve">D0336</t>
  </si>
  <si>
    <t xml:space="preserve">D0337</t>
  </si>
  <si>
    <t xml:space="preserve">D0338</t>
  </si>
  <si>
    <t xml:space="preserve">D0339</t>
  </si>
  <si>
    <t xml:space="preserve">D0340</t>
  </si>
  <si>
    <t xml:space="preserve">D0341</t>
  </si>
  <si>
    <t xml:space="preserve">D0342</t>
  </si>
  <si>
    <t xml:space="preserve">D0343</t>
  </si>
  <si>
    <t xml:space="preserve">D0344</t>
  </si>
  <si>
    <t xml:space="preserve">D0345</t>
  </si>
  <si>
    <t xml:space="preserve">D0346</t>
  </si>
  <si>
    <t xml:space="preserve">D0347</t>
  </si>
  <si>
    <t xml:space="preserve">D0348</t>
  </si>
  <si>
    <t xml:space="preserve">D0349</t>
  </si>
  <si>
    <t xml:space="preserve">D0350</t>
  </si>
  <si>
    <t xml:space="preserve">D0351</t>
  </si>
  <si>
    <t xml:space="preserve">D0352</t>
  </si>
  <si>
    <t xml:space="preserve">D0353</t>
  </si>
  <si>
    <t xml:space="preserve">D0354</t>
  </si>
  <si>
    <t xml:space="preserve">D0355</t>
  </si>
  <si>
    <t xml:space="preserve">D0356</t>
  </si>
  <si>
    <t xml:space="preserve">D0357</t>
  </si>
  <si>
    <t xml:space="preserve">D0358</t>
  </si>
  <si>
    <t xml:space="preserve">D0359</t>
  </si>
  <si>
    <t xml:space="preserve">D0360</t>
  </si>
  <si>
    <t xml:space="preserve">D0361</t>
  </si>
  <si>
    <t xml:space="preserve">D0362</t>
  </si>
  <si>
    <t xml:space="preserve">D0363</t>
  </si>
  <si>
    <t xml:space="preserve">D0364</t>
  </si>
  <si>
    <t xml:space="preserve">D0365</t>
  </si>
  <si>
    <t xml:space="preserve">Japan</t>
  </si>
  <si>
    <t xml:space="preserve">D0366</t>
  </si>
  <si>
    <t xml:space="preserve">D0367</t>
  </si>
  <si>
    <t xml:space="preserve">D0368</t>
  </si>
  <si>
    <t xml:space="preserve">D0369</t>
  </si>
  <si>
    <t xml:space="preserve">D0370</t>
  </si>
  <si>
    <t xml:space="preserve">D0371</t>
  </si>
  <si>
    <t xml:space="preserve">D0372</t>
  </si>
  <si>
    <t xml:space="preserve">D0373</t>
  </si>
  <si>
    <t xml:space="preserve">D0374</t>
  </si>
  <si>
    <t xml:space="preserve">D0375</t>
  </si>
  <si>
    <t xml:space="preserve">D0376</t>
  </si>
  <si>
    <t xml:space="preserve">Observé / publié</t>
  </si>
  <si>
    <t xml:space="preserve">EUR/kW</t>
  </si>
  <si>
    <t xml:space="preserve">non précisé</t>
  </si>
  <si>
    <t xml:space="preserve">Onglet CAPEX (colonne « Rated CAPEX ») de CAPEX_DATA ; compilation Delft, source primaire non consultée. Valeurs 2019-2023 ajustées de l'inflation par Delft ; année de réf. des EUR approximative (voir Hypothèses).</t>
  </si>
  <si>
    <t xml:space="preserve">D0377</t>
  </si>
  <si>
    <t xml:space="preserve">D0378</t>
  </si>
  <si>
    <t xml:space="preserve">D0379</t>
  </si>
  <si>
    <t xml:space="preserve">D0380</t>
  </si>
  <si>
    <t xml:space="preserve">D0381</t>
  </si>
  <si>
    <t xml:space="preserve">D0382</t>
  </si>
  <si>
    <t xml:space="preserve">D0383</t>
  </si>
  <si>
    <t xml:space="preserve">D0384</t>
  </si>
  <si>
    <t xml:space="preserve">D0385</t>
  </si>
  <si>
    <t xml:space="preserve">D0386</t>
  </si>
  <si>
    <t xml:space="preserve">D0387</t>
  </si>
  <si>
    <t xml:space="preserve">D0388</t>
  </si>
  <si>
    <t xml:space="preserve">D0389</t>
  </si>
  <si>
    <t xml:space="preserve">D0390</t>
  </si>
  <si>
    <t xml:space="preserve">D0391</t>
  </si>
  <si>
    <t xml:space="preserve">D0392</t>
  </si>
  <si>
    <t xml:space="preserve">D0393</t>
  </si>
  <si>
    <t xml:space="preserve">D0394</t>
  </si>
  <si>
    <t xml:space="preserve">D0395</t>
  </si>
  <si>
    <t xml:space="preserve">D0396</t>
  </si>
  <si>
    <t xml:space="preserve">D0397</t>
  </si>
  <si>
    <t xml:space="preserve">D0398</t>
  </si>
  <si>
    <t xml:space="preserve">D0399</t>
  </si>
  <si>
    <t xml:space="preserve">D0400</t>
  </si>
  <si>
    <t xml:space="preserve">D0401</t>
  </si>
  <si>
    <t xml:space="preserve">D0402</t>
  </si>
  <si>
    <t xml:space="preserve">D0403</t>
  </si>
  <si>
    <t xml:space="preserve">D0404</t>
  </si>
  <si>
    <t xml:space="preserve">D0405</t>
  </si>
  <si>
    <t xml:space="preserve">D0406</t>
  </si>
  <si>
    <t xml:space="preserve">D0407</t>
  </si>
  <si>
    <t xml:space="preserve">D0408</t>
  </si>
  <si>
    <t xml:space="preserve">D0409</t>
  </si>
  <si>
    <t xml:space="preserve">D0410</t>
  </si>
  <si>
    <t xml:space="preserve">D0411</t>
  </si>
  <si>
    <t xml:space="preserve">D0412</t>
  </si>
  <si>
    <t xml:space="preserve">Hypothèse de modèle</t>
  </si>
  <si>
    <t xml:space="preserve">€/kW</t>
  </si>
  <si>
    <t xml:space="preserve">100 kW</t>
  </si>
  <si>
    <t xml:space="preserve">système</t>
  </si>
  <si>
    <t xml:space="preserve">Espagne (cas d'étude)</t>
  </si>
  <si>
    <t xml:space="preserve">Hypothèse d'un cas d'étude (verrerie, Espagne, PEM 100 kW) reprise de Marocco et al. 2023/2024 ; à confirmer par un second point. </t>
  </si>
  <si>
    <t xml:space="preserve">D0413</t>
  </si>
  <si>
    <t xml:space="preserve">Charge minimale</t>
  </si>
  <si>
    <t xml:space="preserve">% de la puissance nominale</t>
  </si>
  <si>
    <t xml:space="preserve">D0414</t>
  </si>
  <si>
    <t xml:space="preserve">Coût de remplacement</t>
  </si>
  <si>
    <t xml:space="preserve">% du CAPEX</t>
  </si>
  <si>
    <t xml:space="preserve">D0415</t>
  </si>
  <si>
    <t xml:space="preserve">Durée de vie</t>
  </si>
  <si>
    <t xml:space="preserve">années</t>
  </si>
  <si>
    <t xml:space="preserve">D0416</t>
  </si>
  <si>
    <t xml:space="preserve">OPEX annuel</t>
  </si>
  <si>
    <t xml:space="preserve">% du CAPEX/an</t>
  </si>
  <si>
    <t xml:space="preserve">D0417</t>
  </si>
  <si>
    <t xml:space="preserve">Rendement (PCI)</t>
  </si>
  <si>
    <t xml:space="preserve">%</t>
  </si>
  <si>
    <t xml:space="preserve">PCI</t>
  </si>
  <si>
    <t xml:space="preserve">D0418</t>
  </si>
  <si>
    <t xml:space="preserve">Tous</t>
  </si>
  <si>
    <t xml:space="preserve">Consommation compresseur</t>
  </si>
  <si>
    <t xml:space="preserve">MJ/kg H2</t>
  </si>
  <si>
    <t xml:space="preserve">composant</t>
  </si>
  <si>
    <t xml:space="preserve">D0419</t>
  </si>
  <si>
    <t xml:space="preserve">Consommation d'eau</t>
  </si>
  <si>
    <t xml:space="preserve">kg H2O/kg H2</t>
  </si>
  <si>
    <t xml:space="preserve">Hypothèse d'un cas d'étude (verrerie, Espagne, PEM 100 kW) reprise de Marocco et al. 2023/2024 ; à confirmer par un second point. Valeur théorique stœchiométrique.</t>
  </si>
  <si>
    <t xml:space="preserve">Synthèse CAPEX et rendement par technologie et horizon</t>
  </si>
  <si>
    <t xml:space="preserve">CAPEX en USD 2024/kW (conversion : onglet Hypothèses) ; rendement en % base PCI. Statistiques sur les valeurs typiques (moyenne de chaque étude). « Bornes études » = plus petit min et plus grand max publiés par les études qui donnent une fourchette.</t>
  </si>
  <si>
    <t xml:space="preserve">CAPEX
Nb valeurs</t>
  </si>
  <si>
    <t xml:space="preserve">CAPEX
Nb sources</t>
  </si>
  <si>
    <t xml:space="preserve">CAPEX
Min</t>
  </si>
  <si>
    <t xml:space="preserve">CAPEX
Médiane</t>
  </si>
  <si>
    <t xml:space="preserve">CAPEX
Max</t>
  </si>
  <si>
    <t xml:space="preserve">CAPEX
Borne basse études</t>
  </si>
  <si>
    <t xml:space="preserve">CAPEX
Borne haute études</t>
  </si>
  <si>
    <t xml:space="preserve">Rendement
Nb valeurs</t>
  </si>
  <si>
    <t xml:space="preserve">Rendement
Nb sources</t>
  </si>
  <si>
    <t xml:space="preserve">Rendement
Min</t>
  </si>
  <si>
    <t xml:space="preserve">Rendement
Médiane</t>
  </si>
  <si>
    <t xml:space="preserve">Rendement
Max</t>
  </si>
  <si>
    <t xml:space="preserve">actuel</t>
  </si>
  <si>
    <t xml:space="preserve">2030</t>
  </si>
  <si>
    <t xml:space="preserve">2050</t>
  </si>
  <si>
    <t xml:space="preserve">SOEC</t>
  </si>
  <si>
    <t xml:space="preserve">Lecture : « — » = aucune valeur pour cette combinaison. Le rendement ne contient pour l'instant qu'un point (micro-réseau, PEM, hypothèse « à vérifier ») ; le SOEC et la plupart des rendements viendront de Potsdam (Efficiency_LHV), non importé. L'horizon « actuel » dépend de la plage fixée dans Hypothèses.</t>
  </si>
  <si>
    <t xml:space="preserve">Lacunes : nombre de sources distinctes par paramètre et par technologie</t>
  </si>
  <si>
    <t xml:space="preserve">Compte aussi les lignes « Tous ». Objectif : au moins 2 sources par paramètre prioritaire. « Où chercher » reprend l'étape 8 du plan.</t>
  </si>
  <si>
    <t xml:space="preserve">Statut global</t>
  </si>
  <si>
    <t xml:space="preserve">Où chercher</t>
  </si>
  <si>
    <t xml:space="preserve">Potsdam (à importer) ; déjà Ghadim et Delft</t>
  </si>
  <si>
    <t xml:space="preserve">Potsdam, Efficiency_LHV (à importer)</t>
  </si>
  <si>
    <t xml:space="preserve">IRENA, IEA, NREL</t>
  </si>
  <si>
    <t xml:space="preserve">Fiches constructeurs : Nel, Sunfire, Siemens Energy, Thyssenkrupp Nucera, Plug, Cummins</t>
  </si>
  <si>
    <t xml:space="preserve">Fiches constructeurs (durée de vie du stack en heures) ; IRENA</t>
  </si>
  <si>
    <t xml:space="preserve">Articles technico-économiques ; fiches constructeurs</t>
  </si>
  <si>
    <t xml:space="preserve">Article de revue (valeur mesurée) vs 9 L/kg théorique</t>
  </si>
  <si>
    <t xml:space="preserve">Fiches constructeurs ; articles de revue</t>
  </si>
  <si>
    <t xml:space="preserve">CO₂ cycle de vie</t>
  </si>
  <si>
    <t xml:space="preserve">Articles ACV sur la fabrication d'électrolyseurs</t>
  </si>
  <si>
    <t xml:space="preserve">TRL</t>
  </si>
  <si>
    <t xml:space="preserve">IEA Global Hydrogen Review</t>
  </si>
  <si>
    <t xml:space="preserve">Interface du bloc électrolyseur (représentation systémique et modèle Python LCOF / émissions)</t>
  </si>
  <si>
    <t xml:space="preserve">Catégorie</t>
  </si>
  <si>
    <t xml:space="preserve">Variable</t>
  </si>
  <si>
    <t xml:space="preserve">Origine dans ce classeur</t>
  </si>
  <si>
    <t xml:space="preserve">Entrée</t>
  </si>
  <si>
    <t xml:space="preserve">Puissance électrique absorbée</t>
  </si>
  <si>
    <t xml:space="preserve">kW</t>
  </si>
  <si>
    <t xml:space="preserve">—</t>
  </si>
  <si>
    <t xml:space="preserve">Pilotée par le bloc production / réseau</t>
  </si>
  <si>
    <t xml:space="preserve">Eau</t>
  </si>
  <si>
    <t xml:space="preserve">L/h</t>
  </si>
  <si>
    <t xml:space="preserve">Paramètre « Consommation d'eau »</t>
  </si>
  <si>
    <t xml:space="preserve">9 L/kg H2 théorique ; consommation mesurée à trouver</t>
  </si>
  <si>
    <t xml:space="preserve">Sortie</t>
  </si>
  <si>
    <t xml:space="preserve">Hydrogène produit</t>
  </si>
  <si>
    <t xml:space="preserve">kg/h</t>
  </si>
  <si>
    <t xml:space="preserve">H2 = P × rendement / PCI(H2) ; PCI H2 = 120 MJ/kg</t>
  </si>
  <si>
    <t xml:space="preserve">Oxygène</t>
  </si>
  <si>
    <t xml:space="preserve">Stœchiométrie</t>
  </si>
  <si>
    <t xml:space="preserve">≈ 8 kg O2 par kg H2</t>
  </si>
  <si>
    <t xml:space="preserve">Chaleur</t>
  </si>
  <si>
    <t xml:space="preserve">Rendement</t>
  </si>
  <si>
    <t xml:space="preserve">Chaleur fatale = P × (1 − rendement)</t>
  </si>
  <si>
    <t xml:space="preserve">Synthèse / Données</t>
  </si>
  <si>
    <t xml:space="preserve">OPEX</t>
  </si>
  <si>
    <t xml:space="preserve">% du CAPEX par an</t>
  </si>
  <si>
    <t xml:space="preserve">Données (Microgrid ; à compléter)</t>
  </si>
  <si>
    <t xml:space="preserve">Une seule source pour l'instant</t>
  </si>
  <si>
    <t xml:space="preserve">% (PCI)</t>
  </si>
  <si>
    <t xml:space="preserve">Potsdam à importer</t>
  </si>
  <si>
    <t xml:space="preserve">années (et heures de stack)</t>
  </si>
  <si>
    <t xml:space="preserve">Durée en heures : fiches constructeurs</t>
  </si>
  <si>
    <t xml:space="preserve">Données (Microgrid)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</si>
</sst>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"/>
    <numFmt numFmtId="166" formatCode="0.00"/>
    <numFmt numFmtId="167" formatCode="#,##0.0"/>
    <numFmt numFmtId="168" formatCode="General"/>
    <numFmt numFmtId="169" formatCode="#,##0"/>
    <numFmt numFmtId="170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23.8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23.8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12</v>
      </c>
    </row>
    <row r="17" customFormat="false" ht="35.0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23.8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95"/>
    <col collapsed="false" customWidth="true" hidden="false" outlineLevel="0" max="4" min="4" style="0" width="10"/>
    <col collapsed="false" customWidth="true" hidden="false" outlineLevel="0" max="5" min="5" style="0" width="20"/>
  </cols>
  <sheetData>
    <row r="1" customFormat="false" ht="16.15" hidden="false" customHeight="false" outlineLevel="0" collapsed="false">
      <c r="A1" s="4" t="s">
        <v>21</v>
      </c>
    </row>
    <row r="2" customFormat="false" ht="15" hidden="false" customHeight="false" outlineLevel="0" collapsed="false">
      <c r="A2" s="5" t="s">
        <v>22</v>
      </c>
    </row>
    <row r="4" customFormat="false" ht="15" hidden="false" customHeight="false" outlineLevel="0" collapsed="false">
      <c r="A4" s="6" t="s">
        <v>23</v>
      </c>
      <c r="B4" s="6" t="s">
        <v>24</v>
      </c>
      <c r="C4" s="6" t="s">
        <v>25</v>
      </c>
      <c r="D4" s="6" t="s">
        <v>26</v>
      </c>
      <c r="E4" s="6" t="s">
        <v>27</v>
      </c>
    </row>
    <row r="5" customFormat="false" ht="15" hidden="false" customHeight="false" outlineLevel="0" collapsed="false">
      <c r="A5" s="5" t="s">
        <v>28</v>
      </c>
      <c r="B5" s="7" t="n">
        <v>1.082</v>
      </c>
      <c r="C5" s="2" t="s">
        <v>29</v>
      </c>
      <c r="D5" s="8" t="n">
        <v>2001</v>
      </c>
      <c r="E5" s="9" t="n">
        <v>1.77</v>
      </c>
    </row>
    <row r="6" customFormat="false" ht="23.85" hidden="false" customHeight="false" outlineLevel="0" collapsed="false">
      <c r="A6" s="5" t="s">
        <v>30</v>
      </c>
      <c r="B6" s="10" t="n">
        <v>2018</v>
      </c>
      <c r="C6" s="2" t="s">
        <v>31</v>
      </c>
      <c r="D6" s="8" t="n">
        <v>2002</v>
      </c>
      <c r="E6" s="9" t="n">
        <v>1.74</v>
      </c>
    </row>
    <row r="7" customFormat="false" ht="23.85" hidden="false" customHeight="false" outlineLevel="0" collapsed="false">
      <c r="A7" s="5" t="s">
        <v>32</v>
      </c>
      <c r="B7" s="11" t="n">
        <f aca="false">INDEX($E$5:$E$40,MATCH(B6,$D$5:$D$40,0))</f>
        <v>1.25</v>
      </c>
      <c r="C7" s="2" t="s">
        <v>33</v>
      </c>
      <c r="D7" s="8" t="n">
        <v>2003</v>
      </c>
      <c r="E7" s="9" t="n">
        <v>1.7</v>
      </c>
    </row>
    <row r="8" customFormat="false" ht="15" hidden="false" customHeight="false" outlineLevel="0" collapsed="false">
      <c r="A8" s="5" t="s">
        <v>34</v>
      </c>
      <c r="B8" s="12" t="n">
        <f aca="false">B5*B7</f>
        <v>1.3525</v>
      </c>
      <c r="C8" s="2" t="s">
        <v>35</v>
      </c>
      <c r="D8" s="8" t="n">
        <v>2004</v>
      </c>
      <c r="E8" s="9" t="n">
        <v>1.66</v>
      </c>
    </row>
    <row r="9" customFormat="false" ht="15" hidden="false" customHeight="false" outlineLevel="0" collapsed="false">
      <c r="A9" s="5" t="s">
        <v>36</v>
      </c>
      <c r="B9" s="10" t="n">
        <v>2020</v>
      </c>
      <c r="C9" s="2" t="s">
        <v>37</v>
      </c>
      <c r="D9" s="8" t="n">
        <v>2005</v>
      </c>
      <c r="E9" s="9" t="n">
        <v>1.61</v>
      </c>
    </row>
    <row r="10" customFormat="false" ht="15" hidden="false" customHeight="false" outlineLevel="0" collapsed="false">
      <c r="A10" s="5" t="s">
        <v>38</v>
      </c>
      <c r="B10" s="10" t="n">
        <v>2025</v>
      </c>
      <c r="C10" s="2" t="s">
        <v>39</v>
      </c>
      <c r="D10" s="8" t="n">
        <v>2006</v>
      </c>
      <c r="E10" s="9" t="n">
        <v>1.56</v>
      </c>
    </row>
    <row r="11" customFormat="false" ht="15" hidden="false" customHeight="false" outlineLevel="0" collapsed="false">
      <c r="A11" s="5" t="s">
        <v>40</v>
      </c>
      <c r="B11" s="10" t="n">
        <v>2024</v>
      </c>
      <c r="C11" s="2" t="s">
        <v>41</v>
      </c>
      <c r="D11" s="8" t="n">
        <v>2007</v>
      </c>
      <c r="E11" s="9" t="n">
        <v>1.51</v>
      </c>
    </row>
    <row r="12" customFormat="false" ht="15" hidden="false" customHeight="false" outlineLevel="0" collapsed="false">
      <c r="D12" s="8" t="n">
        <v>2008</v>
      </c>
      <c r="E12" s="9" t="n">
        <v>1.46</v>
      </c>
    </row>
    <row r="13" customFormat="false" ht="23.85" hidden="false" customHeight="false" outlineLevel="0" collapsed="false">
      <c r="A13" s="6" t="s">
        <v>42</v>
      </c>
      <c r="B13" s="6" t="s">
        <v>43</v>
      </c>
      <c r="C13" s="6" t="s">
        <v>44</v>
      </c>
      <c r="D13" s="8" t="n">
        <v>2009</v>
      </c>
      <c r="E13" s="9" t="n">
        <v>1.46</v>
      </c>
    </row>
    <row r="14" customFormat="false" ht="15" hidden="false" customHeight="false" outlineLevel="0" collapsed="false">
      <c r="A14" s="5" t="s">
        <v>45</v>
      </c>
      <c r="B14" s="12" t="n">
        <f aca="false">1</f>
        <v>1</v>
      </c>
      <c r="C14" s="5" t="s">
        <v>46</v>
      </c>
      <c r="D14" s="8" t="n">
        <v>2010</v>
      </c>
      <c r="E14" s="9" t="n">
        <v>1.44</v>
      </c>
    </row>
    <row r="15" customFormat="false" ht="15" hidden="false" customHeight="false" outlineLevel="0" collapsed="false">
      <c r="A15" s="5" t="s">
        <v>47</v>
      </c>
      <c r="B15" s="12" t="n">
        <f aca="false">B8</f>
        <v>1.3525</v>
      </c>
      <c r="C15" s="5" t="s">
        <v>48</v>
      </c>
      <c r="D15" s="8" t="n">
        <v>2011</v>
      </c>
      <c r="E15" s="9" t="n">
        <v>1.39</v>
      </c>
    </row>
    <row r="16" customFormat="false" ht="15" hidden="false" customHeight="false" outlineLevel="0" collapsed="false">
      <c r="A16" s="5" t="s">
        <v>49</v>
      </c>
      <c r="B16" s="12" t="n">
        <f aca="false">B5*1</f>
        <v>1.082</v>
      </c>
      <c r="C16" s="5" t="s">
        <v>50</v>
      </c>
      <c r="D16" s="8" t="n">
        <v>2012</v>
      </c>
      <c r="E16" s="9" t="n">
        <v>1.37</v>
      </c>
    </row>
    <row r="17" customFormat="false" ht="15" hidden="false" customHeight="false" outlineLevel="0" collapsed="false">
      <c r="A17" s="5" t="s">
        <v>51</v>
      </c>
      <c r="B17" s="12" t="n">
        <f aca="false">1</f>
        <v>1</v>
      </c>
      <c r="C17" s="5" t="s">
        <v>52</v>
      </c>
      <c r="D17" s="8" t="n">
        <v>2013</v>
      </c>
      <c r="E17" s="9" t="n">
        <v>1.35</v>
      </c>
    </row>
    <row r="18" customFormat="false" ht="15" hidden="false" customHeight="false" outlineLevel="0" collapsed="false">
      <c r="D18" s="8" t="n">
        <v>2014</v>
      </c>
      <c r="E18" s="9" t="n">
        <v>1.32</v>
      </c>
    </row>
    <row r="19" customFormat="false" ht="15" hidden="false" customHeight="false" outlineLevel="0" collapsed="false">
      <c r="A19" s="13" t="s">
        <v>53</v>
      </c>
      <c r="D19" s="8" t="n">
        <v>2015</v>
      </c>
      <c r="E19" s="9" t="n">
        <v>1.32</v>
      </c>
    </row>
    <row r="20" customFormat="false" ht="15" hidden="false" customHeight="false" outlineLevel="0" collapsed="false">
      <c r="D20" s="8" t="n">
        <v>2016</v>
      </c>
      <c r="E20" s="9" t="n">
        <v>1.31</v>
      </c>
    </row>
    <row r="21" customFormat="false" ht="15" hidden="false" customHeight="false" outlineLevel="0" collapsed="false">
      <c r="D21" s="8" t="n">
        <v>2017</v>
      </c>
      <c r="E21" s="9" t="n">
        <v>1.28</v>
      </c>
    </row>
    <row r="22" customFormat="false" ht="15" hidden="false" customHeight="false" outlineLevel="0" collapsed="false">
      <c r="D22" s="8" t="n">
        <v>2018</v>
      </c>
      <c r="E22" s="9" t="n">
        <v>1.25</v>
      </c>
    </row>
    <row r="23" customFormat="false" ht="15" hidden="false" customHeight="false" outlineLevel="0" collapsed="false">
      <c r="D23" s="8" t="n">
        <v>2019</v>
      </c>
      <c r="E23" s="9" t="n">
        <v>1.23</v>
      </c>
    </row>
    <row r="24" customFormat="false" ht="15" hidden="false" customHeight="false" outlineLevel="0" collapsed="false">
      <c r="D24" s="8" t="n">
        <v>2020</v>
      </c>
      <c r="E24" s="9" t="n">
        <v>1.21</v>
      </c>
    </row>
    <row r="25" customFormat="false" ht="15" hidden="false" customHeight="false" outlineLevel="0" collapsed="false">
      <c r="D25" s="8" t="n">
        <v>2021</v>
      </c>
      <c r="E25" s="9" t="n">
        <v>1.16</v>
      </c>
    </row>
    <row r="26" customFormat="false" ht="15" hidden="false" customHeight="false" outlineLevel="0" collapsed="false">
      <c r="D26" s="8" t="n">
        <v>2022</v>
      </c>
      <c r="E26" s="9" t="n">
        <v>1.07</v>
      </c>
    </row>
    <row r="27" customFormat="false" ht="15" hidden="false" customHeight="false" outlineLevel="0" collapsed="false">
      <c r="D27" s="8" t="n">
        <v>2023</v>
      </c>
      <c r="E27" s="9" t="n">
        <v>1.03</v>
      </c>
    </row>
    <row r="28" customFormat="false" ht="15" hidden="false" customHeight="false" outlineLevel="0" collapsed="false">
      <c r="D28" s="8" t="n">
        <v>2024</v>
      </c>
      <c r="E28" s="9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1"/>
    <col collapsed="false" customWidth="true" hidden="false" outlineLevel="0" max="3" min="3" style="0" width="38"/>
    <col collapsed="false" customWidth="true" hidden="false" outlineLevel="0" max="4" min="4" style="0" width="55"/>
    <col collapsed="false" customWidth="true" hidden="false" outlineLevel="0" max="5" min="5" style="0" width="8"/>
    <col collapsed="false" customWidth="true" hidden="false" outlineLevel="0" max="6" min="6" style="0" width="50"/>
    <col collapsed="false" customWidth="true" hidden="false" outlineLevel="0" max="7" min="7" style="0" width="2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55"/>
  </cols>
  <sheetData>
    <row r="1" customFormat="false" ht="23.85" hidden="false" customHeight="false" outlineLevel="0" collapsed="false">
      <c r="A1" s="6" t="s">
        <v>54</v>
      </c>
      <c r="B1" s="6" t="s">
        <v>55</v>
      </c>
      <c r="C1" s="6" t="s">
        <v>56</v>
      </c>
      <c r="D1" s="6" t="s">
        <v>57</v>
      </c>
      <c r="E1" s="6" t="s">
        <v>26</v>
      </c>
      <c r="F1" s="6" t="s">
        <v>58</v>
      </c>
      <c r="G1" s="6" t="s">
        <v>59</v>
      </c>
      <c r="H1" s="6" t="s">
        <v>60</v>
      </c>
      <c r="I1" s="6" t="s">
        <v>61</v>
      </c>
      <c r="J1" s="6" t="s">
        <v>62</v>
      </c>
    </row>
    <row r="2" customFormat="false" ht="35.05" hidden="false" customHeight="false" outlineLevel="0" collapsed="false">
      <c r="A2" s="14" t="s">
        <v>63</v>
      </c>
      <c r="B2" s="14" t="s">
        <v>64</v>
      </c>
      <c r="C2" s="14" t="s">
        <v>65</v>
      </c>
      <c r="D2" s="14" t="s">
        <v>66</v>
      </c>
      <c r="E2" s="14"/>
      <c r="F2" s="14" t="s">
        <v>67</v>
      </c>
      <c r="G2" s="14" t="s">
        <v>68</v>
      </c>
      <c r="H2" s="14" t="s">
        <v>69</v>
      </c>
      <c r="I2" s="14" t="s">
        <v>70</v>
      </c>
      <c r="J2" s="14" t="s">
        <v>71</v>
      </c>
    </row>
    <row r="3" customFormat="false" ht="35.05" hidden="false" customHeight="false" outlineLevel="0" collapsed="false">
      <c r="A3" s="14" t="s">
        <v>72</v>
      </c>
      <c r="B3" s="14" t="s">
        <v>64</v>
      </c>
      <c r="C3" s="14" t="s">
        <v>73</v>
      </c>
      <c r="D3" s="14" t="s">
        <v>66</v>
      </c>
      <c r="E3" s="14"/>
      <c r="F3" s="14" t="s">
        <v>67</v>
      </c>
      <c r="G3" s="14" t="s">
        <v>68</v>
      </c>
      <c r="H3" s="14" t="s">
        <v>69</v>
      </c>
      <c r="I3" s="14" t="s">
        <v>70</v>
      </c>
      <c r="J3" s="14" t="s">
        <v>71</v>
      </c>
    </row>
    <row r="4" customFormat="false" ht="35.05" hidden="false" customHeight="false" outlineLevel="0" collapsed="false">
      <c r="A4" s="14" t="s">
        <v>74</v>
      </c>
      <c r="B4" s="14" t="s">
        <v>64</v>
      </c>
      <c r="C4" s="14" t="s">
        <v>75</v>
      </c>
      <c r="D4" s="14" t="s">
        <v>66</v>
      </c>
      <c r="E4" s="14"/>
      <c r="F4" s="14" t="s">
        <v>67</v>
      </c>
      <c r="G4" s="14" t="s">
        <v>68</v>
      </c>
      <c r="H4" s="14" t="s">
        <v>69</v>
      </c>
      <c r="I4" s="14" t="s">
        <v>70</v>
      </c>
      <c r="J4" s="14" t="s">
        <v>71</v>
      </c>
    </row>
    <row r="5" customFormat="false" ht="35.05" hidden="false" customHeight="false" outlineLevel="0" collapsed="false">
      <c r="A5" s="14" t="s">
        <v>76</v>
      </c>
      <c r="B5" s="14" t="s">
        <v>64</v>
      </c>
      <c r="C5" s="14" t="s">
        <v>77</v>
      </c>
      <c r="D5" s="14" t="s">
        <v>66</v>
      </c>
      <c r="E5" s="14"/>
      <c r="F5" s="14" t="s">
        <v>67</v>
      </c>
      <c r="G5" s="14" t="s">
        <v>68</v>
      </c>
      <c r="H5" s="14" t="s">
        <v>69</v>
      </c>
      <c r="I5" s="14" t="s">
        <v>70</v>
      </c>
      <c r="J5" s="14" t="s">
        <v>71</v>
      </c>
    </row>
    <row r="6" customFormat="false" ht="35.05" hidden="false" customHeight="false" outlineLevel="0" collapsed="false">
      <c r="A6" s="14" t="s">
        <v>78</v>
      </c>
      <c r="B6" s="14" t="s">
        <v>64</v>
      </c>
      <c r="C6" s="14" t="s">
        <v>79</v>
      </c>
      <c r="D6" s="14" t="s">
        <v>66</v>
      </c>
      <c r="E6" s="14"/>
      <c r="F6" s="14" t="s">
        <v>67</v>
      </c>
      <c r="G6" s="14" t="s">
        <v>68</v>
      </c>
      <c r="H6" s="14" t="s">
        <v>69</v>
      </c>
      <c r="I6" s="14" t="s">
        <v>70</v>
      </c>
      <c r="J6" s="14" t="s">
        <v>71</v>
      </c>
    </row>
    <row r="7" customFormat="false" ht="35.05" hidden="false" customHeight="false" outlineLevel="0" collapsed="false">
      <c r="A7" s="14" t="s">
        <v>80</v>
      </c>
      <c r="B7" s="14" t="s">
        <v>64</v>
      </c>
      <c r="C7" s="14" t="s">
        <v>81</v>
      </c>
      <c r="D7" s="14" t="s">
        <v>66</v>
      </c>
      <c r="E7" s="14"/>
      <c r="F7" s="14" t="s">
        <v>67</v>
      </c>
      <c r="G7" s="14" t="s">
        <v>68</v>
      </c>
      <c r="H7" s="14" t="s">
        <v>69</v>
      </c>
      <c r="I7" s="14" t="s">
        <v>70</v>
      </c>
      <c r="J7" s="14" t="s">
        <v>71</v>
      </c>
    </row>
    <row r="8" customFormat="false" ht="35.05" hidden="false" customHeight="false" outlineLevel="0" collapsed="false">
      <c r="A8" s="14" t="s">
        <v>82</v>
      </c>
      <c r="B8" s="14" t="s">
        <v>64</v>
      </c>
      <c r="C8" s="14" t="s">
        <v>83</v>
      </c>
      <c r="D8" s="14" t="s">
        <v>66</v>
      </c>
      <c r="E8" s="14"/>
      <c r="F8" s="14" t="s">
        <v>67</v>
      </c>
      <c r="G8" s="14" t="s">
        <v>68</v>
      </c>
      <c r="H8" s="14" t="s">
        <v>69</v>
      </c>
      <c r="I8" s="14" t="s">
        <v>70</v>
      </c>
      <c r="J8" s="14" t="s">
        <v>71</v>
      </c>
    </row>
    <row r="9" customFormat="false" ht="35.05" hidden="false" customHeight="false" outlineLevel="0" collapsed="false">
      <c r="A9" s="14" t="s">
        <v>84</v>
      </c>
      <c r="B9" s="14" t="s">
        <v>64</v>
      </c>
      <c r="C9" s="14" t="s">
        <v>85</v>
      </c>
      <c r="D9" s="14" t="s">
        <v>66</v>
      </c>
      <c r="E9" s="14"/>
      <c r="F9" s="14" t="s">
        <v>67</v>
      </c>
      <c r="G9" s="14" t="s">
        <v>68</v>
      </c>
      <c r="H9" s="14" t="s">
        <v>69</v>
      </c>
      <c r="I9" s="14" t="s">
        <v>70</v>
      </c>
      <c r="J9" s="14" t="s">
        <v>71</v>
      </c>
    </row>
    <row r="10" customFormat="false" ht="35.05" hidden="false" customHeight="false" outlineLevel="0" collapsed="false">
      <c r="A10" s="14" t="s">
        <v>86</v>
      </c>
      <c r="B10" s="14" t="s">
        <v>64</v>
      </c>
      <c r="C10" s="14" t="s">
        <v>87</v>
      </c>
      <c r="D10" s="14" t="s">
        <v>66</v>
      </c>
      <c r="E10" s="14"/>
      <c r="F10" s="14" t="s">
        <v>67</v>
      </c>
      <c r="G10" s="14" t="s">
        <v>68</v>
      </c>
      <c r="H10" s="14" t="s">
        <v>69</v>
      </c>
      <c r="I10" s="14" t="s">
        <v>70</v>
      </c>
      <c r="J10" s="14" t="s">
        <v>71</v>
      </c>
    </row>
    <row r="11" customFormat="false" ht="35.05" hidden="false" customHeight="false" outlineLevel="0" collapsed="false">
      <c r="A11" s="14" t="s">
        <v>88</v>
      </c>
      <c r="B11" s="14" t="s">
        <v>64</v>
      </c>
      <c r="C11" s="14" t="s">
        <v>89</v>
      </c>
      <c r="D11" s="14" t="s">
        <v>66</v>
      </c>
      <c r="E11" s="14"/>
      <c r="F11" s="14" t="s">
        <v>67</v>
      </c>
      <c r="G11" s="14" t="s">
        <v>68</v>
      </c>
      <c r="H11" s="14" t="s">
        <v>69</v>
      </c>
      <c r="I11" s="14" t="s">
        <v>70</v>
      </c>
      <c r="J11" s="14" t="s">
        <v>71</v>
      </c>
    </row>
    <row r="12" customFormat="false" ht="35.05" hidden="false" customHeight="false" outlineLevel="0" collapsed="false">
      <c r="A12" s="14" t="s">
        <v>90</v>
      </c>
      <c r="B12" s="14" t="s">
        <v>64</v>
      </c>
      <c r="C12" s="14" t="s">
        <v>91</v>
      </c>
      <c r="D12" s="14" t="s">
        <v>66</v>
      </c>
      <c r="E12" s="14"/>
      <c r="F12" s="14" t="s">
        <v>67</v>
      </c>
      <c r="G12" s="14" t="s">
        <v>68</v>
      </c>
      <c r="H12" s="14" t="s">
        <v>69</v>
      </c>
      <c r="I12" s="14" t="s">
        <v>70</v>
      </c>
      <c r="J12" s="14" t="s">
        <v>71</v>
      </c>
    </row>
    <row r="13" customFormat="false" ht="35.05" hidden="false" customHeight="false" outlineLevel="0" collapsed="false">
      <c r="A13" s="14" t="s">
        <v>92</v>
      </c>
      <c r="B13" s="14" t="s">
        <v>64</v>
      </c>
      <c r="C13" s="14" t="s">
        <v>93</v>
      </c>
      <c r="D13" s="14" t="s">
        <v>66</v>
      </c>
      <c r="E13" s="14"/>
      <c r="F13" s="14" t="s">
        <v>67</v>
      </c>
      <c r="G13" s="14" t="s">
        <v>68</v>
      </c>
      <c r="H13" s="14" t="s">
        <v>69</v>
      </c>
      <c r="I13" s="14" t="s">
        <v>70</v>
      </c>
      <c r="J13" s="14" t="s">
        <v>71</v>
      </c>
    </row>
    <row r="14" customFormat="false" ht="35.05" hidden="false" customHeight="false" outlineLevel="0" collapsed="false">
      <c r="A14" s="14" t="s">
        <v>94</v>
      </c>
      <c r="B14" s="14" t="s">
        <v>64</v>
      </c>
      <c r="C14" s="14" t="s">
        <v>95</v>
      </c>
      <c r="D14" s="14" t="s">
        <v>66</v>
      </c>
      <c r="E14" s="14"/>
      <c r="F14" s="14" t="s">
        <v>67</v>
      </c>
      <c r="G14" s="14" t="s">
        <v>68</v>
      </c>
      <c r="H14" s="14" t="s">
        <v>69</v>
      </c>
      <c r="I14" s="14" t="s">
        <v>70</v>
      </c>
      <c r="J14" s="14" t="s">
        <v>71</v>
      </c>
    </row>
    <row r="15" customFormat="false" ht="35.05" hidden="false" customHeight="false" outlineLevel="0" collapsed="false">
      <c r="A15" s="14" t="s">
        <v>96</v>
      </c>
      <c r="B15" s="14" t="s">
        <v>64</v>
      </c>
      <c r="C15" s="14" t="s">
        <v>97</v>
      </c>
      <c r="D15" s="14" t="s">
        <v>66</v>
      </c>
      <c r="E15" s="14"/>
      <c r="F15" s="14" t="s">
        <v>67</v>
      </c>
      <c r="G15" s="14" t="s">
        <v>68</v>
      </c>
      <c r="H15" s="14" t="s">
        <v>69</v>
      </c>
      <c r="I15" s="14" t="s">
        <v>70</v>
      </c>
      <c r="J15" s="14" t="s">
        <v>71</v>
      </c>
    </row>
    <row r="16" customFormat="false" ht="35.05" hidden="false" customHeight="false" outlineLevel="0" collapsed="false">
      <c r="A16" s="14" t="s">
        <v>98</v>
      </c>
      <c r="B16" s="14" t="s">
        <v>64</v>
      </c>
      <c r="C16" s="14" t="s">
        <v>99</v>
      </c>
      <c r="D16" s="14" t="s">
        <v>66</v>
      </c>
      <c r="E16" s="14"/>
      <c r="F16" s="14" t="s">
        <v>67</v>
      </c>
      <c r="G16" s="14" t="s">
        <v>68</v>
      </c>
      <c r="H16" s="14" t="s">
        <v>69</v>
      </c>
      <c r="I16" s="14" t="s">
        <v>70</v>
      </c>
      <c r="J16" s="14" t="s">
        <v>71</v>
      </c>
    </row>
    <row r="17" customFormat="false" ht="35.05" hidden="false" customHeight="false" outlineLevel="0" collapsed="false">
      <c r="A17" s="14" t="s">
        <v>100</v>
      </c>
      <c r="B17" s="14" t="s">
        <v>64</v>
      </c>
      <c r="C17" s="14" t="s">
        <v>101</v>
      </c>
      <c r="D17" s="14" t="s">
        <v>66</v>
      </c>
      <c r="E17" s="14"/>
      <c r="F17" s="14" t="s">
        <v>67</v>
      </c>
      <c r="G17" s="14" t="s">
        <v>68</v>
      </c>
      <c r="H17" s="14" t="s">
        <v>69</v>
      </c>
      <c r="I17" s="14" t="s">
        <v>70</v>
      </c>
      <c r="J17" s="14" t="s">
        <v>71</v>
      </c>
    </row>
    <row r="18" customFormat="false" ht="35.05" hidden="false" customHeight="false" outlineLevel="0" collapsed="false">
      <c r="A18" s="14" t="s">
        <v>102</v>
      </c>
      <c r="B18" s="14" t="s">
        <v>64</v>
      </c>
      <c r="C18" s="14" t="s">
        <v>103</v>
      </c>
      <c r="D18" s="14" t="s">
        <v>66</v>
      </c>
      <c r="E18" s="14"/>
      <c r="F18" s="14" t="s">
        <v>67</v>
      </c>
      <c r="G18" s="14" t="s">
        <v>68</v>
      </c>
      <c r="H18" s="14" t="s">
        <v>69</v>
      </c>
      <c r="I18" s="14" t="s">
        <v>70</v>
      </c>
      <c r="J18" s="14" t="s">
        <v>71</v>
      </c>
    </row>
    <row r="19" customFormat="false" ht="35.05" hidden="false" customHeight="false" outlineLevel="0" collapsed="false">
      <c r="A19" s="14" t="s">
        <v>104</v>
      </c>
      <c r="B19" s="14" t="s">
        <v>64</v>
      </c>
      <c r="C19" s="14" t="s">
        <v>105</v>
      </c>
      <c r="D19" s="14" t="s">
        <v>66</v>
      </c>
      <c r="E19" s="14"/>
      <c r="F19" s="14" t="s">
        <v>67</v>
      </c>
      <c r="G19" s="14" t="s">
        <v>68</v>
      </c>
      <c r="H19" s="14" t="s">
        <v>69</v>
      </c>
      <c r="I19" s="14" t="s">
        <v>70</v>
      </c>
      <c r="J19" s="14" t="s">
        <v>71</v>
      </c>
    </row>
    <row r="20" customFormat="false" ht="35.05" hidden="false" customHeight="false" outlineLevel="0" collapsed="false">
      <c r="A20" s="14" t="s">
        <v>106</v>
      </c>
      <c r="B20" s="14" t="s">
        <v>64</v>
      </c>
      <c r="C20" s="14" t="s">
        <v>107</v>
      </c>
      <c r="D20" s="14" t="s">
        <v>66</v>
      </c>
      <c r="E20" s="14"/>
      <c r="F20" s="14" t="s">
        <v>67</v>
      </c>
      <c r="G20" s="14" t="s">
        <v>68</v>
      </c>
      <c r="H20" s="14" t="s">
        <v>69</v>
      </c>
      <c r="I20" s="14" t="s">
        <v>70</v>
      </c>
      <c r="J20" s="14" t="s">
        <v>71</v>
      </c>
    </row>
    <row r="21" customFormat="false" ht="35.05" hidden="false" customHeight="false" outlineLevel="0" collapsed="false">
      <c r="A21" s="14" t="s">
        <v>108</v>
      </c>
      <c r="B21" s="14" t="s">
        <v>64</v>
      </c>
      <c r="C21" s="14" t="s">
        <v>109</v>
      </c>
      <c r="D21" s="14" t="s">
        <v>66</v>
      </c>
      <c r="E21" s="14"/>
      <c r="F21" s="14" t="s">
        <v>67</v>
      </c>
      <c r="G21" s="14" t="s">
        <v>68</v>
      </c>
      <c r="H21" s="14" t="s">
        <v>69</v>
      </c>
      <c r="I21" s="14" t="s">
        <v>70</v>
      </c>
      <c r="J21" s="14" t="s">
        <v>71</v>
      </c>
    </row>
    <row r="22" customFormat="false" ht="35.05" hidden="false" customHeight="false" outlineLevel="0" collapsed="false">
      <c r="A22" s="14" t="s">
        <v>110</v>
      </c>
      <c r="B22" s="14" t="s">
        <v>64</v>
      </c>
      <c r="C22" s="14" t="s">
        <v>111</v>
      </c>
      <c r="D22" s="14" t="s">
        <v>66</v>
      </c>
      <c r="E22" s="14"/>
      <c r="F22" s="14" t="s">
        <v>67</v>
      </c>
      <c r="G22" s="14" t="s">
        <v>68</v>
      </c>
      <c r="H22" s="14" t="s">
        <v>69</v>
      </c>
      <c r="I22" s="14" t="s">
        <v>70</v>
      </c>
      <c r="J22" s="14" t="s">
        <v>71</v>
      </c>
    </row>
    <row r="23" customFormat="false" ht="35.05" hidden="false" customHeight="false" outlineLevel="0" collapsed="false">
      <c r="A23" s="14" t="s">
        <v>112</v>
      </c>
      <c r="B23" s="14" t="s">
        <v>64</v>
      </c>
      <c r="C23" s="14" t="s">
        <v>113</v>
      </c>
      <c r="D23" s="14" t="s">
        <v>66</v>
      </c>
      <c r="E23" s="14"/>
      <c r="F23" s="14" t="s">
        <v>67</v>
      </c>
      <c r="G23" s="14" t="s">
        <v>68</v>
      </c>
      <c r="H23" s="14" t="s">
        <v>69</v>
      </c>
      <c r="I23" s="14" t="s">
        <v>70</v>
      </c>
      <c r="J23" s="14" t="s">
        <v>71</v>
      </c>
    </row>
    <row r="24" customFormat="false" ht="35.05" hidden="false" customHeight="false" outlineLevel="0" collapsed="false">
      <c r="A24" s="14" t="s">
        <v>114</v>
      </c>
      <c r="B24" s="14" t="s">
        <v>64</v>
      </c>
      <c r="C24" s="14" t="s">
        <v>115</v>
      </c>
      <c r="D24" s="14" t="s">
        <v>66</v>
      </c>
      <c r="E24" s="14"/>
      <c r="F24" s="14" t="s">
        <v>67</v>
      </c>
      <c r="G24" s="14" t="s">
        <v>68</v>
      </c>
      <c r="H24" s="14" t="s">
        <v>69</v>
      </c>
      <c r="I24" s="14" t="s">
        <v>70</v>
      </c>
      <c r="J24" s="14" t="s">
        <v>71</v>
      </c>
    </row>
    <row r="25" customFormat="false" ht="35.05" hidden="false" customHeight="false" outlineLevel="0" collapsed="false">
      <c r="A25" s="14" t="s">
        <v>116</v>
      </c>
      <c r="B25" s="14" t="s">
        <v>64</v>
      </c>
      <c r="C25" s="14" t="s">
        <v>117</v>
      </c>
      <c r="D25" s="14" t="s">
        <v>66</v>
      </c>
      <c r="E25" s="14"/>
      <c r="F25" s="14" t="s">
        <v>67</v>
      </c>
      <c r="G25" s="14" t="s">
        <v>68</v>
      </c>
      <c r="H25" s="14" t="s">
        <v>69</v>
      </c>
      <c r="I25" s="14" t="s">
        <v>70</v>
      </c>
      <c r="J25" s="14" t="s">
        <v>71</v>
      </c>
    </row>
    <row r="26" customFormat="false" ht="35.05" hidden="false" customHeight="false" outlineLevel="0" collapsed="false">
      <c r="A26" s="14" t="s">
        <v>118</v>
      </c>
      <c r="B26" s="14" t="s">
        <v>64</v>
      </c>
      <c r="C26" s="14" t="s">
        <v>119</v>
      </c>
      <c r="D26" s="14" t="s">
        <v>66</v>
      </c>
      <c r="E26" s="14"/>
      <c r="F26" s="14" t="s">
        <v>67</v>
      </c>
      <c r="G26" s="14" t="s">
        <v>68</v>
      </c>
      <c r="H26" s="14" t="s">
        <v>69</v>
      </c>
      <c r="I26" s="14" t="s">
        <v>70</v>
      </c>
      <c r="J26" s="14" t="s">
        <v>71</v>
      </c>
    </row>
    <row r="27" customFormat="false" ht="35.05" hidden="false" customHeight="false" outlineLevel="0" collapsed="false">
      <c r="A27" s="14" t="s">
        <v>120</v>
      </c>
      <c r="B27" s="14" t="s">
        <v>64</v>
      </c>
      <c r="C27" s="14" t="s">
        <v>121</v>
      </c>
      <c r="D27" s="14" t="s">
        <v>66</v>
      </c>
      <c r="E27" s="14"/>
      <c r="F27" s="14" t="s">
        <v>67</v>
      </c>
      <c r="G27" s="14" t="s">
        <v>68</v>
      </c>
      <c r="H27" s="14" t="s">
        <v>69</v>
      </c>
      <c r="I27" s="14" t="s">
        <v>70</v>
      </c>
      <c r="J27" s="14" t="s">
        <v>71</v>
      </c>
    </row>
    <row r="28" customFormat="false" ht="35.05" hidden="false" customHeight="false" outlineLevel="0" collapsed="false">
      <c r="A28" s="14" t="s">
        <v>122</v>
      </c>
      <c r="B28" s="14" t="s">
        <v>64</v>
      </c>
      <c r="C28" s="14" t="s">
        <v>123</v>
      </c>
      <c r="D28" s="14" t="s">
        <v>66</v>
      </c>
      <c r="E28" s="14"/>
      <c r="F28" s="14" t="s">
        <v>67</v>
      </c>
      <c r="G28" s="14" t="s">
        <v>68</v>
      </c>
      <c r="H28" s="14" t="s">
        <v>69</v>
      </c>
      <c r="I28" s="14" t="s">
        <v>70</v>
      </c>
      <c r="J28" s="14" t="s">
        <v>71</v>
      </c>
    </row>
    <row r="29" customFormat="false" ht="35.05" hidden="false" customHeight="false" outlineLevel="0" collapsed="false">
      <c r="A29" s="14" t="s">
        <v>124</v>
      </c>
      <c r="B29" s="14" t="s">
        <v>64</v>
      </c>
      <c r="C29" s="14" t="s">
        <v>125</v>
      </c>
      <c r="D29" s="14" t="s">
        <v>66</v>
      </c>
      <c r="E29" s="14"/>
      <c r="F29" s="14" t="s">
        <v>67</v>
      </c>
      <c r="G29" s="14" t="s">
        <v>68</v>
      </c>
      <c r="H29" s="14" t="s">
        <v>69</v>
      </c>
      <c r="I29" s="14" t="s">
        <v>70</v>
      </c>
      <c r="J29" s="14" t="s">
        <v>71</v>
      </c>
    </row>
    <row r="30" customFormat="false" ht="35.05" hidden="false" customHeight="false" outlineLevel="0" collapsed="false">
      <c r="A30" s="14" t="s">
        <v>126</v>
      </c>
      <c r="B30" s="14" t="s">
        <v>64</v>
      </c>
      <c r="C30" s="14" t="s">
        <v>127</v>
      </c>
      <c r="D30" s="14" t="s">
        <v>66</v>
      </c>
      <c r="E30" s="14"/>
      <c r="F30" s="14" t="s">
        <v>67</v>
      </c>
      <c r="G30" s="14" t="s">
        <v>68</v>
      </c>
      <c r="H30" s="14" t="s">
        <v>69</v>
      </c>
      <c r="I30" s="14" t="s">
        <v>70</v>
      </c>
      <c r="J30" s="14" t="s">
        <v>71</v>
      </c>
    </row>
    <row r="31" customFormat="false" ht="35.05" hidden="false" customHeight="false" outlineLevel="0" collapsed="false">
      <c r="A31" s="14" t="s">
        <v>128</v>
      </c>
      <c r="B31" s="14" t="s">
        <v>64</v>
      </c>
      <c r="C31" s="14" t="s">
        <v>129</v>
      </c>
      <c r="D31" s="14" t="s">
        <v>66</v>
      </c>
      <c r="E31" s="14"/>
      <c r="F31" s="14" t="s">
        <v>67</v>
      </c>
      <c r="G31" s="14" t="s">
        <v>68</v>
      </c>
      <c r="H31" s="14" t="s">
        <v>69</v>
      </c>
      <c r="I31" s="14" t="s">
        <v>70</v>
      </c>
      <c r="J31" s="14" t="s">
        <v>71</v>
      </c>
    </row>
    <row r="32" customFormat="false" ht="35.05" hidden="false" customHeight="false" outlineLevel="0" collapsed="false">
      <c r="A32" s="14" t="s">
        <v>130</v>
      </c>
      <c r="B32" s="14" t="s">
        <v>64</v>
      </c>
      <c r="C32" s="14" t="s">
        <v>131</v>
      </c>
      <c r="D32" s="14" t="s">
        <v>66</v>
      </c>
      <c r="E32" s="14"/>
      <c r="F32" s="14" t="s">
        <v>67</v>
      </c>
      <c r="G32" s="14" t="s">
        <v>68</v>
      </c>
      <c r="H32" s="14" t="s">
        <v>69</v>
      </c>
      <c r="I32" s="14" t="s">
        <v>70</v>
      </c>
      <c r="J32" s="14" t="s">
        <v>71</v>
      </c>
    </row>
    <row r="33" customFormat="false" ht="35.05" hidden="false" customHeight="false" outlineLevel="0" collapsed="false">
      <c r="A33" s="14" t="s">
        <v>132</v>
      </c>
      <c r="B33" s="14" t="s">
        <v>64</v>
      </c>
      <c r="C33" s="14" t="s">
        <v>133</v>
      </c>
      <c r="D33" s="14" t="s">
        <v>66</v>
      </c>
      <c r="E33" s="14"/>
      <c r="F33" s="14" t="s">
        <v>67</v>
      </c>
      <c r="G33" s="14" t="s">
        <v>68</v>
      </c>
      <c r="H33" s="14" t="s">
        <v>69</v>
      </c>
      <c r="I33" s="14" t="s">
        <v>70</v>
      </c>
      <c r="J33" s="14" t="s">
        <v>71</v>
      </c>
    </row>
    <row r="34" customFormat="false" ht="35.05" hidden="false" customHeight="false" outlineLevel="0" collapsed="false">
      <c r="A34" s="14" t="s">
        <v>134</v>
      </c>
      <c r="B34" s="14" t="s">
        <v>64</v>
      </c>
      <c r="C34" s="14" t="s">
        <v>135</v>
      </c>
      <c r="D34" s="14" t="s">
        <v>66</v>
      </c>
      <c r="E34" s="14"/>
      <c r="F34" s="14" t="s">
        <v>67</v>
      </c>
      <c r="G34" s="14" t="s">
        <v>68</v>
      </c>
      <c r="H34" s="14" t="s">
        <v>69</v>
      </c>
      <c r="I34" s="14" t="s">
        <v>70</v>
      </c>
      <c r="J34" s="14" t="s">
        <v>71</v>
      </c>
    </row>
    <row r="35" customFormat="false" ht="35.05" hidden="false" customHeight="false" outlineLevel="0" collapsed="false">
      <c r="A35" s="14" t="s">
        <v>136</v>
      </c>
      <c r="B35" s="14" t="s">
        <v>64</v>
      </c>
      <c r="C35" s="14" t="s">
        <v>137</v>
      </c>
      <c r="D35" s="14" t="s">
        <v>66</v>
      </c>
      <c r="E35" s="14"/>
      <c r="F35" s="14" t="s">
        <v>67</v>
      </c>
      <c r="G35" s="14" t="s">
        <v>68</v>
      </c>
      <c r="H35" s="14" t="s">
        <v>69</v>
      </c>
      <c r="I35" s="14" t="s">
        <v>70</v>
      </c>
      <c r="J35" s="14" t="s">
        <v>71</v>
      </c>
    </row>
    <row r="36" customFormat="false" ht="23.85" hidden="false" customHeight="false" outlineLevel="0" collapsed="false">
      <c r="A36" s="14" t="s">
        <v>138</v>
      </c>
      <c r="B36" s="14" t="s">
        <v>139</v>
      </c>
      <c r="C36" s="14" t="s">
        <v>140</v>
      </c>
      <c r="D36" s="14" t="s">
        <v>141</v>
      </c>
      <c r="E36" s="14" t="n">
        <v>2019</v>
      </c>
      <c r="F36" s="14" t="s">
        <v>142</v>
      </c>
      <c r="G36" s="14" t="s">
        <v>143</v>
      </c>
      <c r="H36" s="14" t="s">
        <v>69</v>
      </c>
      <c r="I36" s="14" t="s">
        <v>70</v>
      </c>
      <c r="J36" s="14" t="s">
        <v>144</v>
      </c>
    </row>
    <row r="37" customFormat="false" ht="23.85" hidden="false" customHeight="false" outlineLevel="0" collapsed="false">
      <c r="A37" s="14" t="s">
        <v>145</v>
      </c>
      <c r="B37" s="14" t="s">
        <v>139</v>
      </c>
      <c r="C37" s="14" t="s">
        <v>146</v>
      </c>
      <c r="D37" s="14" t="s">
        <v>147</v>
      </c>
      <c r="E37" s="14" t="n">
        <v>2019</v>
      </c>
      <c r="F37" s="14" t="s">
        <v>148</v>
      </c>
      <c r="G37" s="14" t="s">
        <v>143</v>
      </c>
      <c r="H37" s="14" t="s">
        <v>69</v>
      </c>
      <c r="I37" s="14" t="s">
        <v>70</v>
      </c>
      <c r="J37" s="14" t="s">
        <v>144</v>
      </c>
    </row>
    <row r="38" customFormat="false" ht="23.85" hidden="false" customHeight="false" outlineLevel="0" collapsed="false">
      <c r="A38" s="14" t="s">
        <v>149</v>
      </c>
      <c r="B38" s="14" t="s">
        <v>139</v>
      </c>
      <c r="C38" s="14" t="s">
        <v>146</v>
      </c>
      <c r="D38" s="14" t="s">
        <v>150</v>
      </c>
      <c r="E38" s="14" t="n">
        <v>2021</v>
      </c>
      <c r="F38" s="14" t="s">
        <v>148</v>
      </c>
      <c r="G38" s="14" t="s">
        <v>143</v>
      </c>
      <c r="H38" s="14" t="s">
        <v>69</v>
      </c>
      <c r="I38" s="14" t="s">
        <v>70</v>
      </c>
      <c r="J38" s="14" t="s">
        <v>144</v>
      </c>
    </row>
    <row r="39" customFormat="false" ht="23.85" hidden="false" customHeight="false" outlineLevel="0" collapsed="false">
      <c r="A39" s="14" t="s">
        <v>151</v>
      </c>
      <c r="B39" s="14" t="s">
        <v>139</v>
      </c>
      <c r="C39" s="14" t="s">
        <v>146</v>
      </c>
      <c r="D39" s="14" t="s">
        <v>152</v>
      </c>
      <c r="E39" s="14" t="n">
        <v>2022</v>
      </c>
      <c r="F39" s="14" t="s">
        <v>148</v>
      </c>
      <c r="G39" s="14" t="s">
        <v>143</v>
      </c>
      <c r="H39" s="14" t="s">
        <v>69</v>
      </c>
      <c r="I39" s="14" t="s">
        <v>70</v>
      </c>
      <c r="J39" s="14" t="s">
        <v>144</v>
      </c>
    </row>
    <row r="40" customFormat="false" ht="23.85" hidden="false" customHeight="false" outlineLevel="0" collapsed="false">
      <c r="A40" s="14" t="s">
        <v>153</v>
      </c>
      <c r="B40" s="14" t="s">
        <v>139</v>
      </c>
      <c r="C40" s="14" t="s">
        <v>146</v>
      </c>
      <c r="D40" s="14" t="s">
        <v>154</v>
      </c>
      <c r="E40" s="14" t="n">
        <v>2023</v>
      </c>
      <c r="F40" s="14" t="s">
        <v>148</v>
      </c>
      <c r="G40" s="14" t="s">
        <v>143</v>
      </c>
      <c r="H40" s="14" t="s">
        <v>69</v>
      </c>
      <c r="I40" s="14" t="s">
        <v>70</v>
      </c>
      <c r="J40" s="14" t="s">
        <v>144</v>
      </c>
    </row>
    <row r="41" customFormat="false" ht="23.85" hidden="false" customHeight="false" outlineLevel="0" collapsed="false">
      <c r="A41" s="14" t="s">
        <v>155</v>
      </c>
      <c r="B41" s="14" t="s">
        <v>139</v>
      </c>
      <c r="C41" s="14" t="s">
        <v>146</v>
      </c>
      <c r="D41" s="14" t="s">
        <v>156</v>
      </c>
      <c r="E41" s="14" t="n">
        <v>2024</v>
      </c>
      <c r="F41" s="14" t="s">
        <v>148</v>
      </c>
      <c r="G41" s="14" t="s">
        <v>143</v>
      </c>
      <c r="H41" s="14" t="s">
        <v>69</v>
      </c>
      <c r="I41" s="14" t="s">
        <v>70</v>
      </c>
      <c r="J41" s="14" t="s">
        <v>144</v>
      </c>
    </row>
    <row r="42" customFormat="false" ht="35.05" hidden="false" customHeight="false" outlineLevel="0" collapsed="false">
      <c r="A42" s="14" t="s">
        <v>157</v>
      </c>
      <c r="B42" s="14" t="s">
        <v>158</v>
      </c>
      <c r="C42" s="14" t="s">
        <v>159</v>
      </c>
      <c r="D42" s="14" t="s">
        <v>160</v>
      </c>
      <c r="E42" s="14" t="n">
        <v>2024</v>
      </c>
      <c r="F42" s="14" t="s">
        <v>161</v>
      </c>
      <c r="G42" s="14" t="s">
        <v>143</v>
      </c>
      <c r="H42" s="14" t="s">
        <v>69</v>
      </c>
      <c r="I42" s="14" t="s">
        <v>70</v>
      </c>
      <c r="J42" s="14" t="s">
        <v>162</v>
      </c>
    </row>
    <row r="43" customFormat="false" ht="23.85" hidden="false" customHeight="false" outlineLevel="0" collapsed="false">
      <c r="A43" s="14" t="s">
        <v>163</v>
      </c>
      <c r="B43" s="14" t="s">
        <v>164</v>
      </c>
      <c r="C43" s="14" t="s">
        <v>165</v>
      </c>
      <c r="D43" s="14" t="s">
        <v>166</v>
      </c>
      <c r="E43" s="14"/>
      <c r="F43" s="14" t="s">
        <v>167</v>
      </c>
      <c r="G43" s="14" t="s">
        <v>168</v>
      </c>
      <c r="H43" s="14"/>
      <c r="I43" s="14" t="s">
        <v>169</v>
      </c>
      <c r="J43" s="14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6"/>
    <col collapsed="false" customWidth="true" hidden="false" outlineLevel="0" max="13" min="11" style="0" width="9"/>
    <col collapsed="false" customWidth="true" hidden="false" outlineLevel="0" max="14" min="14" style="0" width="22"/>
    <col collapsed="false" customWidth="true" hidden="false" outlineLevel="0" max="15" min="15" style="0" width="10"/>
    <col collapsed="false" customWidth="true" hidden="false" outlineLevel="0" max="16" min="16" style="0" width="18"/>
    <col collapsed="false" customWidth="true" hidden="false" outlineLevel="0" max="17" min="17" style="0" width="13"/>
    <col collapsed="false" customWidth="true" hidden="false" outlineLevel="0" max="19" min="18" style="0" width="11"/>
    <col collapsed="false" customWidth="true" hidden="false" outlineLevel="0" max="20" min="20" style="0" width="12"/>
    <col collapsed="false" customWidth="true" hidden="false" outlineLevel="0" max="21" min="21" style="0" width="11"/>
    <col collapsed="false" customWidth="true" hidden="false" outlineLevel="0" max="22" min="22" style="0" width="16"/>
    <col collapsed="false" customWidth="true" hidden="false" outlineLevel="0" max="23" min="23" style="0" width="11"/>
    <col collapsed="false" customWidth="true" hidden="false" outlineLevel="0" max="24" min="24" style="0" width="70"/>
  </cols>
  <sheetData>
    <row r="1" customFormat="false" ht="46.25" hidden="false" customHeight="false" outlineLevel="0" collapsed="false">
      <c r="A1" s="6" t="s">
        <v>171</v>
      </c>
      <c r="B1" s="6" t="s">
        <v>172</v>
      </c>
      <c r="C1" s="6" t="s">
        <v>54</v>
      </c>
      <c r="D1" s="6" t="s">
        <v>173</v>
      </c>
      <c r="E1" s="6" t="s">
        <v>23</v>
      </c>
      <c r="F1" s="6" t="s">
        <v>174</v>
      </c>
      <c r="G1" s="6" t="s">
        <v>175</v>
      </c>
      <c r="H1" s="6" t="s">
        <v>176</v>
      </c>
      <c r="I1" s="6" t="s">
        <v>177</v>
      </c>
      <c r="J1" s="6" t="s">
        <v>178</v>
      </c>
      <c r="K1" s="6" t="s">
        <v>179</v>
      </c>
      <c r="L1" s="6" t="s">
        <v>180</v>
      </c>
      <c r="M1" s="6" t="s">
        <v>181</v>
      </c>
      <c r="N1" s="6" t="s">
        <v>182</v>
      </c>
      <c r="O1" s="6" t="s">
        <v>183</v>
      </c>
      <c r="P1" s="6" t="s">
        <v>184</v>
      </c>
      <c r="Q1" s="6" t="s">
        <v>42</v>
      </c>
      <c r="R1" s="6" t="s">
        <v>185</v>
      </c>
      <c r="S1" s="6" t="s">
        <v>186</v>
      </c>
      <c r="T1" s="6" t="s">
        <v>187</v>
      </c>
      <c r="U1" s="6" t="s">
        <v>188</v>
      </c>
      <c r="V1" s="6" t="s">
        <v>189</v>
      </c>
      <c r="W1" s="6" t="s">
        <v>61</v>
      </c>
      <c r="X1" s="6" t="s">
        <v>190</v>
      </c>
    </row>
    <row r="2" customFormat="false" ht="15" hidden="false" customHeight="false" outlineLevel="0" collapsed="false">
      <c r="A2" s="5" t="s">
        <v>191</v>
      </c>
      <c r="B2" s="5" t="s">
        <v>64</v>
      </c>
      <c r="C2" s="5" t="s">
        <v>63</v>
      </c>
      <c r="D2" s="5" t="s">
        <v>192</v>
      </c>
      <c r="E2" s="5" t="s">
        <v>193</v>
      </c>
      <c r="F2" s="5" t="s">
        <v>194</v>
      </c>
      <c r="G2" s="15" t="n">
        <v>837.45901</v>
      </c>
      <c r="H2" s="15" t="n">
        <v>1164.5901</v>
      </c>
      <c r="I2" s="15" t="n">
        <v>1596.4073</v>
      </c>
      <c r="J2" s="5" t="s">
        <v>195</v>
      </c>
      <c r="K2" s="5" t="n">
        <v>2015</v>
      </c>
      <c r="L2" s="5" t="str">
        <f aca="false">IF(AND(K2&gt;=Hypothèses!$B$9,K2&lt;=Hypothèses!$B$10),"actuel",IF(K2=2030,"2030",IF(K2=2050,"2050","autre")))</f>
        <v>autre</v>
      </c>
      <c r="M2" s="5"/>
      <c r="N2" s="5" t="s">
        <v>196</v>
      </c>
      <c r="O2" s="5"/>
      <c r="P2" s="5" t="s">
        <v>197</v>
      </c>
      <c r="Q2" s="5" t="s">
        <v>45</v>
      </c>
      <c r="R2" s="12" t="n">
        <f aca="false">INDEX(Hypothèses!$B$14:$B$17,MATCH(Q2,Hypothèses!$A$14:$A$17,0))</f>
        <v>1</v>
      </c>
      <c r="S2" s="15" t="n">
        <f aca="false">IF(G2="","",G2*R2)</f>
        <v>837.45901</v>
      </c>
      <c r="T2" s="15" t="n">
        <f aca="false">IF(H2="","",H2*R2)</f>
        <v>1164.5901</v>
      </c>
      <c r="U2" s="15" t="n">
        <f aca="false">IF(I2="","",I2*R2)</f>
        <v>1596.4073</v>
      </c>
      <c r="V2" s="5" t="s">
        <v>195</v>
      </c>
      <c r="W2" s="5" t="s">
        <v>70</v>
      </c>
      <c r="X2" s="5" t="s">
        <v>198</v>
      </c>
    </row>
    <row r="3" customFormat="false" ht="15" hidden="false" customHeight="false" outlineLevel="0" collapsed="false">
      <c r="A3" s="5" t="s">
        <v>199</v>
      </c>
      <c r="B3" s="5" t="s">
        <v>64</v>
      </c>
      <c r="C3" s="5" t="s">
        <v>63</v>
      </c>
      <c r="D3" s="5" t="s">
        <v>192</v>
      </c>
      <c r="E3" s="5" t="s">
        <v>193</v>
      </c>
      <c r="F3" s="5" t="s">
        <v>194</v>
      </c>
      <c r="G3" s="15" t="n">
        <v>850.54413</v>
      </c>
      <c r="H3" s="15" t="n">
        <v>1138.4178</v>
      </c>
      <c r="I3" s="15" t="n">
        <v>1478.6371</v>
      </c>
      <c r="J3" s="5" t="s">
        <v>195</v>
      </c>
      <c r="K3" s="5" t="n">
        <v>2016</v>
      </c>
      <c r="L3" s="5" t="str">
        <f aca="false">IF(AND(K3&gt;=Hypothèses!$B$9,K3&lt;=Hypothèses!$B$10),"actuel",IF(K3=2030,"2030",IF(K3=2050,"2050","autre")))</f>
        <v>autre</v>
      </c>
      <c r="M3" s="5"/>
      <c r="N3" s="5" t="s">
        <v>196</v>
      </c>
      <c r="O3" s="5"/>
      <c r="P3" s="5" t="s">
        <v>197</v>
      </c>
      <c r="Q3" s="5" t="s">
        <v>45</v>
      </c>
      <c r="R3" s="12" t="n">
        <f aca="false">INDEX(Hypothèses!$B$14:$B$17,MATCH(Q3,Hypothèses!$A$14:$A$17,0))</f>
        <v>1</v>
      </c>
      <c r="S3" s="15" t="n">
        <f aca="false">IF(G3="","",G3*R3)</f>
        <v>850.54413</v>
      </c>
      <c r="T3" s="15" t="n">
        <f aca="false">IF(H3="","",H3*R3)</f>
        <v>1138.4178</v>
      </c>
      <c r="U3" s="15" t="n">
        <f aca="false">IF(I3="","",I3*R3)</f>
        <v>1478.6371</v>
      </c>
      <c r="V3" s="5" t="s">
        <v>195</v>
      </c>
      <c r="W3" s="5" t="s">
        <v>70</v>
      </c>
      <c r="X3" s="5" t="s">
        <v>198</v>
      </c>
    </row>
    <row r="4" customFormat="false" ht="15" hidden="false" customHeight="false" outlineLevel="0" collapsed="false">
      <c r="A4" s="5" t="s">
        <v>200</v>
      </c>
      <c r="B4" s="5" t="s">
        <v>64</v>
      </c>
      <c r="C4" s="5" t="s">
        <v>63</v>
      </c>
      <c r="D4" s="5" t="s">
        <v>192</v>
      </c>
      <c r="E4" s="5" t="s">
        <v>193</v>
      </c>
      <c r="F4" s="5" t="s">
        <v>194</v>
      </c>
      <c r="G4" s="15" t="n">
        <v>1417.6096</v>
      </c>
      <c r="H4" s="15" t="n">
        <v>978.5</v>
      </c>
      <c r="I4" s="15" t="n">
        <v>1498.9178</v>
      </c>
      <c r="J4" s="5" t="s">
        <v>195</v>
      </c>
      <c r="K4" s="5" t="n">
        <v>2017</v>
      </c>
      <c r="L4" s="5" t="str">
        <f aca="false">IF(AND(K4&gt;=Hypothèses!$B$9,K4&lt;=Hypothèses!$B$10),"actuel",IF(K4=2030,"2030",IF(K4=2050,"2050","autre")))</f>
        <v>autre</v>
      </c>
      <c r="M4" s="5"/>
      <c r="N4" s="5" t="s">
        <v>196</v>
      </c>
      <c r="O4" s="5"/>
      <c r="P4" s="5" t="s">
        <v>197</v>
      </c>
      <c r="Q4" s="5" t="s">
        <v>45</v>
      </c>
      <c r="R4" s="12" t="n">
        <f aca="false">INDEX(Hypothèses!$B$14:$B$17,MATCH(Q4,Hypothèses!$A$14:$A$17,0))</f>
        <v>1</v>
      </c>
      <c r="S4" s="15" t="n">
        <f aca="false">IF(G4="","",G4*R4)</f>
        <v>1417.6096</v>
      </c>
      <c r="T4" s="15" t="n">
        <f aca="false">IF(H4="","",H4*R4)</f>
        <v>978.5</v>
      </c>
      <c r="U4" s="15" t="n">
        <f aca="false">IF(I4="","",I4*R4)</f>
        <v>1498.9178</v>
      </c>
      <c r="V4" s="5" t="s">
        <v>195</v>
      </c>
      <c r="W4" s="5" t="s">
        <v>70</v>
      </c>
      <c r="X4" s="5" t="s">
        <v>198</v>
      </c>
    </row>
    <row r="5" customFormat="false" ht="15" hidden="false" customHeight="false" outlineLevel="0" collapsed="false">
      <c r="A5" s="5" t="s">
        <v>201</v>
      </c>
      <c r="B5" s="5" t="s">
        <v>64</v>
      </c>
      <c r="C5" s="5" t="s">
        <v>63</v>
      </c>
      <c r="D5" s="5" t="s">
        <v>192</v>
      </c>
      <c r="E5" s="5" t="s">
        <v>193</v>
      </c>
      <c r="F5" s="5" t="s">
        <v>194</v>
      </c>
      <c r="G5" s="15" t="n">
        <v>824</v>
      </c>
      <c r="H5" s="15" t="n">
        <v>1184.5</v>
      </c>
      <c r="I5" s="15" t="n">
        <v>1545</v>
      </c>
      <c r="J5" s="5" t="s">
        <v>195</v>
      </c>
      <c r="K5" s="5" t="n">
        <v>2019</v>
      </c>
      <c r="L5" s="5" t="str">
        <f aca="false">IF(AND(K5&gt;=Hypothèses!$B$9,K5&lt;=Hypothèses!$B$10),"actuel",IF(K5=2030,"2030",IF(K5=2050,"2050","autre")))</f>
        <v>autre</v>
      </c>
      <c r="M5" s="5"/>
      <c r="N5" s="5" t="s">
        <v>196</v>
      </c>
      <c r="O5" s="5"/>
      <c r="P5" s="5" t="s">
        <v>197</v>
      </c>
      <c r="Q5" s="5" t="s">
        <v>45</v>
      </c>
      <c r="R5" s="12" t="n">
        <f aca="false">INDEX(Hypothèses!$B$14:$B$17,MATCH(Q5,Hypothèses!$A$14:$A$17,0))</f>
        <v>1</v>
      </c>
      <c r="S5" s="15" t="n">
        <f aca="false">IF(G5="","",G5*R5)</f>
        <v>824</v>
      </c>
      <c r="T5" s="15" t="n">
        <f aca="false">IF(H5="","",H5*R5)</f>
        <v>1184.5</v>
      </c>
      <c r="U5" s="15" t="n">
        <f aca="false">IF(I5="","",I5*R5)</f>
        <v>1545</v>
      </c>
      <c r="V5" s="5" t="s">
        <v>195</v>
      </c>
      <c r="W5" s="5" t="s">
        <v>70</v>
      </c>
      <c r="X5" s="5" t="s">
        <v>198</v>
      </c>
    </row>
    <row r="6" customFormat="false" ht="15" hidden="false" customHeight="false" outlineLevel="0" collapsed="false">
      <c r="A6" s="5" t="s">
        <v>202</v>
      </c>
      <c r="B6" s="5" t="s">
        <v>64</v>
      </c>
      <c r="C6" s="5" t="s">
        <v>63</v>
      </c>
      <c r="D6" s="5" t="s">
        <v>192</v>
      </c>
      <c r="E6" s="5" t="s">
        <v>193</v>
      </c>
      <c r="F6" s="5" t="s">
        <v>194</v>
      </c>
      <c r="G6" s="15" t="n">
        <v>772.5</v>
      </c>
      <c r="H6" s="15" t="n">
        <v>983.65</v>
      </c>
      <c r="I6" s="15" t="n">
        <v>1194.8</v>
      </c>
      <c r="J6" s="5" t="s">
        <v>195</v>
      </c>
      <c r="K6" s="5" t="n">
        <v>2020</v>
      </c>
      <c r="L6" s="5" t="str">
        <f aca="false">IF(AND(K6&gt;=Hypothèses!$B$9,K6&lt;=Hypothèses!$B$10),"actuel",IF(K6=2030,"2030",IF(K6=2050,"2050","autre")))</f>
        <v>actuel</v>
      </c>
      <c r="M6" s="5"/>
      <c r="N6" s="5" t="s">
        <v>196</v>
      </c>
      <c r="O6" s="5"/>
      <c r="P6" s="5" t="s">
        <v>197</v>
      </c>
      <c r="Q6" s="5" t="s">
        <v>45</v>
      </c>
      <c r="R6" s="12" t="n">
        <f aca="false">INDEX(Hypothèses!$B$14:$B$17,MATCH(Q6,Hypothèses!$A$14:$A$17,0))</f>
        <v>1</v>
      </c>
      <c r="S6" s="15" t="n">
        <f aca="false">IF(G6="","",G6*R6)</f>
        <v>772.5</v>
      </c>
      <c r="T6" s="15" t="n">
        <f aca="false">IF(H6="","",H6*R6)</f>
        <v>983.65</v>
      </c>
      <c r="U6" s="15" t="n">
        <f aca="false">IF(I6="","",I6*R6)</f>
        <v>1194.8</v>
      </c>
      <c r="V6" s="5" t="s">
        <v>195</v>
      </c>
      <c r="W6" s="5" t="s">
        <v>70</v>
      </c>
      <c r="X6" s="5" t="s">
        <v>198</v>
      </c>
    </row>
    <row r="7" customFormat="false" ht="15" hidden="false" customHeight="false" outlineLevel="0" collapsed="false">
      <c r="A7" s="5" t="s">
        <v>203</v>
      </c>
      <c r="B7" s="5" t="s">
        <v>64</v>
      </c>
      <c r="C7" s="5" t="s">
        <v>63</v>
      </c>
      <c r="D7" s="5" t="s">
        <v>192</v>
      </c>
      <c r="E7" s="5" t="s">
        <v>193</v>
      </c>
      <c r="F7" s="5" t="s">
        <v>194</v>
      </c>
      <c r="G7" s="15" t="n">
        <v>613.88</v>
      </c>
      <c r="H7" s="15" t="n">
        <v>965.625</v>
      </c>
      <c r="I7" s="15" t="n">
        <v>1317.37</v>
      </c>
      <c r="J7" s="5" t="s">
        <v>195</v>
      </c>
      <c r="K7" s="5" t="n">
        <v>2021</v>
      </c>
      <c r="L7" s="5" t="str">
        <f aca="false">IF(AND(K7&gt;=Hypothèses!$B$9,K7&lt;=Hypothèses!$B$10),"actuel",IF(K7=2030,"2030",IF(K7=2050,"2050","autre")))</f>
        <v>actuel</v>
      </c>
      <c r="M7" s="5"/>
      <c r="N7" s="5" t="s">
        <v>196</v>
      </c>
      <c r="O7" s="5"/>
      <c r="P7" s="5" t="s">
        <v>197</v>
      </c>
      <c r="Q7" s="5" t="s">
        <v>45</v>
      </c>
      <c r="R7" s="12" t="n">
        <f aca="false">INDEX(Hypothèses!$B$14:$B$17,MATCH(Q7,Hypothèses!$A$14:$A$17,0))</f>
        <v>1</v>
      </c>
      <c r="S7" s="15" t="n">
        <f aca="false">IF(G7="","",G7*R7)</f>
        <v>613.88</v>
      </c>
      <c r="T7" s="15" t="n">
        <f aca="false">IF(H7="","",H7*R7)</f>
        <v>965.625</v>
      </c>
      <c r="U7" s="15" t="n">
        <f aca="false">IF(I7="","",I7*R7)</f>
        <v>1317.37</v>
      </c>
      <c r="V7" s="5" t="s">
        <v>195</v>
      </c>
      <c r="W7" s="5" t="s">
        <v>70</v>
      </c>
      <c r="X7" s="5" t="s">
        <v>198</v>
      </c>
    </row>
    <row r="8" customFormat="false" ht="15" hidden="false" customHeight="false" outlineLevel="0" collapsed="false">
      <c r="A8" s="5" t="s">
        <v>204</v>
      </c>
      <c r="B8" s="5" t="s">
        <v>64</v>
      </c>
      <c r="C8" s="5" t="s">
        <v>63</v>
      </c>
      <c r="D8" s="5" t="s">
        <v>192</v>
      </c>
      <c r="E8" s="5" t="s">
        <v>193</v>
      </c>
      <c r="F8" s="5" t="s">
        <v>194</v>
      </c>
      <c r="G8" s="15" t="n">
        <v>515</v>
      </c>
      <c r="H8" s="15" t="n">
        <v>978.5</v>
      </c>
      <c r="I8" s="15" t="n">
        <v>1442</v>
      </c>
      <c r="J8" s="5" t="s">
        <v>195</v>
      </c>
      <c r="K8" s="5" t="n">
        <v>2022</v>
      </c>
      <c r="L8" s="5" t="str">
        <f aca="false">IF(AND(K8&gt;=Hypothèses!$B$9,K8&lt;=Hypothèses!$B$10),"actuel",IF(K8=2030,"2030",IF(K8=2050,"2050","autre")))</f>
        <v>actuel</v>
      </c>
      <c r="M8" s="5"/>
      <c r="N8" s="5" t="s">
        <v>196</v>
      </c>
      <c r="O8" s="5"/>
      <c r="P8" s="5" t="s">
        <v>197</v>
      </c>
      <c r="Q8" s="5" t="s">
        <v>45</v>
      </c>
      <c r="R8" s="12" t="n">
        <f aca="false">INDEX(Hypothèses!$B$14:$B$17,MATCH(Q8,Hypothèses!$A$14:$A$17,0))</f>
        <v>1</v>
      </c>
      <c r="S8" s="15" t="n">
        <f aca="false">IF(G8="","",G8*R8)</f>
        <v>515</v>
      </c>
      <c r="T8" s="15" t="n">
        <f aca="false">IF(H8="","",H8*R8)</f>
        <v>978.5</v>
      </c>
      <c r="U8" s="15" t="n">
        <f aca="false">IF(I8="","",I8*R8)</f>
        <v>1442</v>
      </c>
      <c r="V8" s="5" t="s">
        <v>195</v>
      </c>
      <c r="W8" s="5" t="s">
        <v>70</v>
      </c>
      <c r="X8" s="5" t="s">
        <v>198</v>
      </c>
    </row>
    <row r="9" customFormat="false" ht="15" hidden="false" customHeight="false" outlineLevel="0" collapsed="false">
      <c r="A9" s="5" t="s">
        <v>205</v>
      </c>
      <c r="B9" s="5" t="s">
        <v>64</v>
      </c>
      <c r="C9" s="5" t="s">
        <v>74</v>
      </c>
      <c r="D9" s="5" t="s">
        <v>192</v>
      </c>
      <c r="E9" s="5" t="s">
        <v>193</v>
      </c>
      <c r="F9" s="5" t="s">
        <v>206</v>
      </c>
      <c r="G9" s="15"/>
      <c r="H9" s="15" t="n">
        <v>206</v>
      </c>
      <c r="I9" s="15"/>
      <c r="J9" s="5" t="s">
        <v>195</v>
      </c>
      <c r="K9" s="5" t="n">
        <v>2020</v>
      </c>
      <c r="L9" s="5" t="str">
        <f aca="false">IF(AND(K9&gt;=Hypothèses!$B$9,K9&lt;=Hypothèses!$B$10),"actuel",IF(K9=2030,"2030",IF(K9=2050,"2050","autre")))</f>
        <v>actuel</v>
      </c>
      <c r="M9" s="5"/>
      <c r="N9" s="5" t="s">
        <v>196</v>
      </c>
      <c r="O9" s="5"/>
      <c r="P9" s="5" t="s">
        <v>207</v>
      </c>
      <c r="Q9" s="5" t="s">
        <v>45</v>
      </c>
      <c r="R9" s="12" t="n">
        <f aca="false">INDEX(Hypothèses!$B$14:$B$17,MATCH(Q9,Hypothèses!$A$14:$A$17,0))</f>
        <v>1</v>
      </c>
      <c r="S9" s="15" t="str">
        <f aca="false">IF(G9="","",G9*R9)</f>
        <v/>
      </c>
      <c r="T9" s="15" t="n">
        <f aca="false">IF(H9="","",H9*R9)</f>
        <v>206</v>
      </c>
      <c r="U9" s="15" t="str">
        <f aca="false">IF(I9="","",I9*R9)</f>
        <v/>
      </c>
      <c r="V9" s="5" t="s">
        <v>195</v>
      </c>
      <c r="W9" s="5" t="s">
        <v>70</v>
      </c>
      <c r="X9" s="5" t="s">
        <v>198</v>
      </c>
    </row>
    <row r="10" customFormat="false" ht="15" hidden="false" customHeight="false" outlineLevel="0" collapsed="false">
      <c r="A10" s="5" t="s">
        <v>208</v>
      </c>
      <c r="B10" s="5" t="s">
        <v>64</v>
      </c>
      <c r="C10" s="5" t="s">
        <v>74</v>
      </c>
      <c r="D10" s="5" t="s">
        <v>192</v>
      </c>
      <c r="E10" s="5" t="s">
        <v>193</v>
      </c>
      <c r="F10" s="5" t="s">
        <v>206</v>
      </c>
      <c r="G10" s="15"/>
      <c r="H10" s="15" t="n">
        <v>128.75</v>
      </c>
      <c r="I10" s="15"/>
      <c r="J10" s="5" t="s">
        <v>195</v>
      </c>
      <c r="K10" s="5" t="n">
        <v>2030</v>
      </c>
      <c r="L10" s="5" t="str">
        <f aca="false">IF(AND(K10&gt;=Hypothèses!$B$9,K10&lt;=Hypothèses!$B$10),"actuel",IF(K10=2030,"2030",IF(K10=2050,"2050","autre")))</f>
        <v>2030</v>
      </c>
      <c r="M10" s="5"/>
      <c r="N10" s="5" t="s">
        <v>196</v>
      </c>
      <c r="O10" s="5"/>
      <c r="P10" s="5" t="s">
        <v>207</v>
      </c>
      <c r="Q10" s="5" t="s">
        <v>45</v>
      </c>
      <c r="R10" s="12" t="n">
        <f aca="false">INDEX(Hypothèses!$B$14:$B$17,MATCH(Q10,Hypothèses!$A$14:$A$17,0))</f>
        <v>1</v>
      </c>
      <c r="S10" s="15" t="str">
        <f aca="false">IF(G10="","",G10*R10)</f>
        <v/>
      </c>
      <c r="T10" s="15" t="n">
        <f aca="false">IF(H10="","",H10*R10)</f>
        <v>128.75</v>
      </c>
      <c r="U10" s="15" t="str">
        <f aca="false">IF(I10="","",I10*R10)</f>
        <v/>
      </c>
      <c r="V10" s="5" t="s">
        <v>195</v>
      </c>
      <c r="W10" s="5" t="s">
        <v>70</v>
      </c>
      <c r="X10" s="5" t="s">
        <v>198</v>
      </c>
    </row>
    <row r="11" customFormat="false" ht="15" hidden="false" customHeight="false" outlineLevel="0" collapsed="false">
      <c r="A11" s="5" t="s">
        <v>209</v>
      </c>
      <c r="B11" s="5" t="s">
        <v>64</v>
      </c>
      <c r="C11" s="5" t="s">
        <v>74</v>
      </c>
      <c r="D11" s="5" t="s">
        <v>192</v>
      </c>
      <c r="E11" s="5" t="s">
        <v>193</v>
      </c>
      <c r="F11" s="5" t="s">
        <v>206</v>
      </c>
      <c r="G11" s="15"/>
      <c r="H11" s="15" t="n">
        <v>92.7</v>
      </c>
      <c r="I11" s="15"/>
      <c r="J11" s="5" t="s">
        <v>195</v>
      </c>
      <c r="K11" s="5" t="n">
        <v>2050</v>
      </c>
      <c r="L11" s="5" t="str">
        <f aca="false">IF(AND(K11&gt;=Hypothèses!$B$9,K11&lt;=Hypothèses!$B$10),"actuel",IF(K11=2030,"2030",IF(K11=2050,"2050","autre")))</f>
        <v>2050</v>
      </c>
      <c r="M11" s="5"/>
      <c r="N11" s="5" t="s">
        <v>196</v>
      </c>
      <c r="O11" s="5"/>
      <c r="P11" s="5" t="s">
        <v>207</v>
      </c>
      <c r="Q11" s="5" t="s">
        <v>45</v>
      </c>
      <c r="R11" s="12" t="n">
        <f aca="false">INDEX(Hypothèses!$B$14:$B$17,MATCH(Q11,Hypothèses!$A$14:$A$17,0))</f>
        <v>1</v>
      </c>
      <c r="S11" s="15" t="str">
        <f aca="false">IF(G11="","",G11*R11)</f>
        <v/>
      </c>
      <c r="T11" s="15" t="n">
        <f aca="false">IF(H11="","",H11*R11)</f>
        <v>92.7</v>
      </c>
      <c r="U11" s="15" t="str">
        <f aca="false">IF(I11="","",I11*R11)</f>
        <v/>
      </c>
      <c r="V11" s="5" t="s">
        <v>195</v>
      </c>
      <c r="W11" s="5" t="s">
        <v>70</v>
      </c>
      <c r="X11" s="5" t="s">
        <v>198</v>
      </c>
    </row>
    <row r="12" customFormat="false" ht="15" hidden="false" customHeight="false" outlineLevel="0" collapsed="false">
      <c r="A12" s="5" t="s">
        <v>210</v>
      </c>
      <c r="B12" s="5" t="s">
        <v>64</v>
      </c>
      <c r="C12" s="5" t="s">
        <v>80</v>
      </c>
      <c r="D12" s="5" t="s">
        <v>192</v>
      </c>
      <c r="E12" s="5" t="s">
        <v>193</v>
      </c>
      <c r="F12" s="5" t="s">
        <v>206</v>
      </c>
      <c r="G12" s="15" t="n">
        <v>1647</v>
      </c>
      <c r="H12" s="15" t="n">
        <v>2052</v>
      </c>
      <c r="I12" s="15" t="n">
        <v>2457</v>
      </c>
      <c r="J12" s="5" t="s">
        <v>195</v>
      </c>
      <c r="K12" s="5" t="n">
        <v>2020</v>
      </c>
      <c r="L12" s="5" t="str">
        <f aca="false">IF(AND(K12&gt;=Hypothèses!$B$9,K12&lt;=Hypothèses!$B$10),"actuel",IF(K12=2030,"2030",IF(K12=2050,"2050","autre")))</f>
        <v>actuel</v>
      </c>
      <c r="M12" s="5" t="s">
        <v>211</v>
      </c>
      <c r="N12" s="5" t="s">
        <v>196</v>
      </c>
      <c r="O12" s="5"/>
      <c r="P12" s="5" t="s">
        <v>212</v>
      </c>
      <c r="Q12" s="5" t="s">
        <v>45</v>
      </c>
      <c r="R12" s="12" t="n">
        <f aca="false">INDEX(Hypothèses!$B$14:$B$17,MATCH(Q12,Hypothèses!$A$14:$A$17,0))</f>
        <v>1</v>
      </c>
      <c r="S12" s="15" t="n">
        <f aca="false">IF(G12="","",G12*R12)</f>
        <v>1647</v>
      </c>
      <c r="T12" s="15" t="n">
        <f aca="false">IF(H12="","",H12*R12)</f>
        <v>2052</v>
      </c>
      <c r="U12" s="15" t="n">
        <f aca="false">IF(I12="","",I12*R12)</f>
        <v>2457</v>
      </c>
      <c r="V12" s="5" t="s">
        <v>195</v>
      </c>
      <c r="W12" s="5" t="s">
        <v>70</v>
      </c>
      <c r="X12" s="5" t="s">
        <v>198</v>
      </c>
    </row>
    <row r="13" customFormat="false" ht="15" hidden="false" customHeight="false" outlineLevel="0" collapsed="false">
      <c r="A13" s="5" t="s">
        <v>213</v>
      </c>
      <c r="B13" s="5" t="s">
        <v>64</v>
      </c>
      <c r="C13" s="5" t="s">
        <v>80</v>
      </c>
      <c r="D13" s="5" t="s">
        <v>192</v>
      </c>
      <c r="E13" s="5" t="s">
        <v>193</v>
      </c>
      <c r="F13" s="5" t="s">
        <v>206</v>
      </c>
      <c r="G13" s="15"/>
      <c r="H13" s="15" t="n">
        <v>1512</v>
      </c>
      <c r="I13" s="15"/>
      <c r="J13" s="5" t="s">
        <v>195</v>
      </c>
      <c r="K13" s="5" t="n">
        <v>2025</v>
      </c>
      <c r="L13" s="5" t="str">
        <f aca="false">IF(AND(K13&gt;=Hypothèses!$B$9,K13&lt;=Hypothèses!$B$10),"actuel",IF(K13=2030,"2030",IF(K13=2050,"2050","autre")))</f>
        <v>actuel</v>
      </c>
      <c r="M13" s="5" t="s">
        <v>211</v>
      </c>
      <c r="N13" s="5" t="s">
        <v>196</v>
      </c>
      <c r="O13" s="5"/>
      <c r="P13" s="5" t="s">
        <v>212</v>
      </c>
      <c r="Q13" s="5" t="s">
        <v>45</v>
      </c>
      <c r="R13" s="12" t="n">
        <f aca="false">INDEX(Hypothèses!$B$14:$B$17,MATCH(Q13,Hypothèses!$A$14:$A$17,0))</f>
        <v>1</v>
      </c>
      <c r="S13" s="15" t="str">
        <f aca="false">IF(G13="","",G13*R13)</f>
        <v/>
      </c>
      <c r="T13" s="15" t="n">
        <f aca="false">IF(H13="","",H13*R13)</f>
        <v>1512</v>
      </c>
      <c r="U13" s="15" t="str">
        <f aca="false">IF(I13="","",I13*R13)</f>
        <v/>
      </c>
      <c r="V13" s="5" t="s">
        <v>195</v>
      </c>
      <c r="W13" s="5" t="s">
        <v>70</v>
      </c>
      <c r="X13" s="5" t="s">
        <v>198</v>
      </c>
    </row>
    <row r="14" customFormat="false" ht="15" hidden="false" customHeight="false" outlineLevel="0" collapsed="false">
      <c r="A14" s="5" t="s">
        <v>214</v>
      </c>
      <c r="B14" s="5" t="s">
        <v>64</v>
      </c>
      <c r="C14" s="5" t="s">
        <v>80</v>
      </c>
      <c r="D14" s="5" t="s">
        <v>192</v>
      </c>
      <c r="E14" s="5" t="s">
        <v>193</v>
      </c>
      <c r="F14" s="5" t="s">
        <v>206</v>
      </c>
      <c r="G14" s="15"/>
      <c r="H14" s="15" t="n">
        <v>945</v>
      </c>
      <c r="I14" s="15"/>
      <c r="J14" s="5" t="s">
        <v>195</v>
      </c>
      <c r="K14" s="5" t="n">
        <v>2030</v>
      </c>
      <c r="L14" s="5" t="str">
        <f aca="false">IF(AND(K14&gt;=Hypothèses!$B$9,K14&lt;=Hypothèses!$B$10),"actuel",IF(K14=2030,"2030",IF(K14=2050,"2050","autre")))</f>
        <v>2030</v>
      </c>
      <c r="M14" s="5" t="s">
        <v>211</v>
      </c>
      <c r="N14" s="5" t="s">
        <v>196</v>
      </c>
      <c r="O14" s="5"/>
      <c r="P14" s="5" t="s">
        <v>212</v>
      </c>
      <c r="Q14" s="5" t="s">
        <v>45</v>
      </c>
      <c r="R14" s="12" t="n">
        <f aca="false">INDEX(Hypothèses!$B$14:$B$17,MATCH(Q14,Hypothèses!$A$14:$A$17,0))</f>
        <v>1</v>
      </c>
      <c r="S14" s="15" t="str">
        <f aca="false">IF(G14="","",G14*R14)</f>
        <v/>
      </c>
      <c r="T14" s="15" t="n">
        <f aca="false">IF(H14="","",H14*R14)</f>
        <v>945</v>
      </c>
      <c r="U14" s="15" t="str">
        <f aca="false">IF(I14="","",I14*R14)</f>
        <v/>
      </c>
      <c r="V14" s="5" t="s">
        <v>195</v>
      </c>
      <c r="W14" s="5" t="s">
        <v>70</v>
      </c>
      <c r="X14" s="5" t="s">
        <v>198</v>
      </c>
    </row>
    <row r="15" customFormat="false" ht="15" hidden="false" customHeight="false" outlineLevel="0" collapsed="false">
      <c r="A15" s="5" t="s">
        <v>215</v>
      </c>
      <c r="B15" s="5" t="s">
        <v>64</v>
      </c>
      <c r="C15" s="5" t="s">
        <v>80</v>
      </c>
      <c r="D15" s="5" t="s">
        <v>192</v>
      </c>
      <c r="E15" s="5" t="s">
        <v>193</v>
      </c>
      <c r="F15" s="5" t="s">
        <v>206</v>
      </c>
      <c r="G15" s="15"/>
      <c r="H15" s="15" t="n">
        <v>729</v>
      </c>
      <c r="I15" s="15"/>
      <c r="J15" s="5" t="s">
        <v>195</v>
      </c>
      <c r="K15" s="5" t="n">
        <v>2040</v>
      </c>
      <c r="L15" s="5" t="str">
        <f aca="false">IF(AND(K15&gt;=Hypothèses!$B$9,K15&lt;=Hypothèses!$B$10),"actuel",IF(K15=2030,"2030",IF(K15=2050,"2050","autre")))</f>
        <v>autre</v>
      </c>
      <c r="M15" s="5" t="s">
        <v>211</v>
      </c>
      <c r="N15" s="5" t="s">
        <v>196</v>
      </c>
      <c r="O15" s="5"/>
      <c r="P15" s="5" t="s">
        <v>212</v>
      </c>
      <c r="Q15" s="5" t="s">
        <v>45</v>
      </c>
      <c r="R15" s="12" t="n">
        <f aca="false">INDEX(Hypothèses!$B$14:$B$17,MATCH(Q15,Hypothèses!$A$14:$A$17,0))</f>
        <v>1</v>
      </c>
      <c r="S15" s="15" t="str">
        <f aca="false">IF(G15="","",G15*R15)</f>
        <v/>
      </c>
      <c r="T15" s="15" t="n">
        <f aca="false">IF(H15="","",H15*R15)</f>
        <v>729</v>
      </c>
      <c r="U15" s="15" t="str">
        <f aca="false">IF(I15="","",I15*R15)</f>
        <v/>
      </c>
      <c r="V15" s="5" t="s">
        <v>195</v>
      </c>
      <c r="W15" s="5" t="s">
        <v>70</v>
      </c>
      <c r="X15" s="5" t="s">
        <v>198</v>
      </c>
    </row>
    <row r="16" customFormat="false" ht="15" hidden="false" customHeight="false" outlineLevel="0" collapsed="false">
      <c r="A16" s="5" t="s">
        <v>216</v>
      </c>
      <c r="B16" s="5" t="s">
        <v>64</v>
      </c>
      <c r="C16" s="5" t="s">
        <v>80</v>
      </c>
      <c r="D16" s="5" t="s">
        <v>192</v>
      </c>
      <c r="E16" s="5" t="s">
        <v>193</v>
      </c>
      <c r="F16" s="5" t="s">
        <v>206</v>
      </c>
      <c r="G16" s="15" t="n">
        <v>405</v>
      </c>
      <c r="H16" s="15" t="n">
        <v>513</v>
      </c>
      <c r="I16" s="15" t="n">
        <v>621</v>
      </c>
      <c r="J16" s="5" t="s">
        <v>195</v>
      </c>
      <c r="K16" s="5" t="n">
        <v>2050</v>
      </c>
      <c r="L16" s="5" t="str">
        <f aca="false">IF(AND(K16&gt;=Hypothèses!$B$9,K16&lt;=Hypothèses!$B$10),"actuel",IF(K16=2030,"2030",IF(K16=2050,"2050","autre")))</f>
        <v>2050</v>
      </c>
      <c r="M16" s="5" t="s">
        <v>211</v>
      </c>
      <c r="N16" s="5" t="s">
        <v>196</v>
      </c>
      <c r="O16" s="5"/>
      <c r="P16" s="5" t="s">
        <v>212</v>
      </c>
      <c r="Q16" s="5" t="s">
        <v>45</v>
      </c>
      <c r="R16" s="12" t="n">
        <f aca="false">INDEX(Hypothèses!$B$14:$B$17,MATCH(Q16,Hypothèses!$A$14:$A$17,0))</f>
        <v>1</v>
      </c>
      <c r="S16" s="15" t="n">
        <f aca="false">IF(G16="","",G16*R16)</f>
        <v>405</v>
      </c>
      <c r="T16" s="15" t="n">
        <f aca="false">IF(H16="","",H16*R16)</f>
        <v>513</v>
      </c>
      <c r="U16" s="15" t="n">
        <f aca="false">IF(I16="","",I16*R16)</f>
        <v>621</v>
      </c>
      <c r="V16" s="5" t="s">
        <v>195</v>
      </c>
      <c r="W16" s="5" t="s">
        <v>70</v>
      </c>
      <c r="X16" s="5" t="s">
        <v>198</v>
      </c>
    </row>
    <row r="17" customFormat="false" ht="15" hidden="false" customHeight="false" outlineLevel="0" collapsed="false">
      <c r="A17" s="5" t="s">
        <v>217</v>
      </c>
      <c r="B17" s="5" t="s">
        <v>64</v>
      </c>
      <c r="C17" s="5" t="s">
        <v>82</v>
      </c>
      <c r="D17" s="5" t="s">
        <v>192</v>
      </c>
      <c r="E17" s="5" t="s">
        <v>193</v>
      </c>
      <c r="F17" s="5" t="s">
        <v>206</v>
      </c>
      <c r="G17" s="15" t="n">
        <v>1026</v>
      </c>
      <c r="H17" s="15" t="n">
        <v>1296</v>
      </c>
      <c r="I17" s="15" t="n">
        <v>1566</v>
      </c>
      <c r="J17" s="5" t="s">
        <v>195</v>
      </c>
      <c r="K17" s="5" t="n">
        <v>2020</v>
      </c>
      <c r="L17" s="5" t="str">
        <f aca="false">IF(AND(K17&gt;=Hypothèses!$B$9,K17&lt;=Hypothèses!$B$10),"actuel",IF(K17=2030,"2030",IF(K17=2050,"2050","autre")))</f>
        <v>actuel</v>
      </c>
      <c r="M17" s="5" t="s">
        <v>218</v>
      </c>
      <c r="N17" s="5" t="s">
        <v>196</v>
      </c>
      <c r="O17" s="5"/>
      <c r="P17" s="5" t="s">
        <v>212</v>
      </c>
      <c r="Q17" s="5" t="s">
        <v>45</v>
      </c>
      <c r="R17" s="12" t="n">
        <f aca="false">INDEX(Hypothèses!$B$14:$B$17,MATCH(Q17,Hypothèses!$A$14:$A$17,0))</f>
        <v>1</v>
      </c>
      <c r="S17" s="15" t="n">
        <f aca="false">IF(G17="","",G17*R17)</f>
        <v>1026</v>
      </c>
      <c r="T17" s="15" t="n">
        <f aca="false">IF(H17="","",H17*R17)</f>
        <v>1296</v>
      </c>
      <c r="U17" s="15" t="n">
        <f aca="false">IF(I17="","",I17*R17)</f>
        <v>1566</v>
      </c>
      <c r="V17" s="5" t="s">
        <v>195</v>
      </c>
      <c r="W17" s="5" t="s">
        <v>70</v>
      </c>
      <c r="X17" s="5" t="s">
        <v>198</v>
      </c>
    </row>
    <row r="18" customFormat="false" ht="15" hidden="false" customHeight="false" outlineLevel="0" collapsed="false">
      <c r="A18" s="5" t="s">
        <v>219</v>
      </c>
      <c r="B18" s="5" t="s">
        <v>64</v>
      </c>
      <c r="C18" s="5" t="s">
        <v>82</v>
      </c>
      <c r="D18" s="5" t="s">
        <v>192</v>
      </c>
      <c r="E18" s="5" t="s">
        <v>193</v>
      </c>
      <c r="F18" s="5" t="s">
        <v>206</v>
      </c>
      <c r="G18" s="15"/>
      <c r="H18" s="15" t="n">
        <v>945</v>
      </c>
      <c r="I18" s="15"/>
      <c r="J18" s="5" t="s">
        <v>195</v>
      </c>
      <c r="K18" s="5" t="n">
        <v>2025</v>
      </c>
      <c r="L18" s="5" t="str">
        <f aca="false">IF(AND(K18&gt;=Hypothèses!$B$9,K18&lt;=Hypothèses!$B$10),"actuel",IF(K18=2030,"2030",IF(K18=2050,"2050","autre")))</f>
        <v>actuel</v>
      </c>
      <c r="M18" s="5" t="s">
        <v>218</v>
      </c>
      <c r="N18" s="5" t="s">
        <v>196</v>
      </c>
      <c r="O18" s="5"/>
      <c r="P18" s="5" t="s">
        <v>212</v>
      </c>
      <c r="Q18" s="5" t="s">
        <v>45</v>
      </c>
      <c r="R18" s="12" t="n">
        <f aca="false">INDEX(Hypothèses!$B$14:$B$17,MATCH(Q18,Hypothèses!$A$14:$A$17,0))</f>
        <v>1</v>
      </c>
      <c r="S18" s="15" t="str">
        <f aca="false">IF(G18="","",G18*R18)</f>
        <v/>
      </c>
      <c r="T18" s="15" t="n">
        <f aca="false">IF(H18="","",H18*R18)</f>
        <v>945</v>
      </c>
      <c r="U18" s="15" t="str">
        <f aca="false">IF(I18="","",I18*R18)</f>
        <v/>
      </c>
      <c r="V18" s="5" t="s">
        <v>195</v>
      </c>
      <c r="W18" s="5" t="s">
        <v>70</v>
      </c>
      <c r="X18" s="5" t="s">
        <v>198</v>
      </c>
    </row>
    <row r="19" customFormat="false" ht="15" hidden="false" customHeight="false" outlineLevel="0" collapsed="false">
      <c r="A19" s="5" t="s">
        <v>220</v>
      </c>
      <c r="B19" s="5" t="s">
        <v>64</v>
      </c>
      <c r="C19" s="5" t="s">
        <v>82</v>
      </c>
      <c r="D19" s="5" t="s">
        <v>192</v>
      </c>
      <c r="E19" s="5" t="s">
        <v>193</v>
      </c>
      <c r="F19" s="5" t="s">
        <v>206</v>
      </c>
      <c r="G19" s="15"/>
      <c r="H19" s="15" t="n">
        <v>594</v>
      </c>
      <c r="I19" s="15"/>
      <c r="J19" s="5" t="s">
        <v>195</v>
      </c>
      <c r="K19" s="5" t="n">
        <v>2030</v>
      </c>
      <c r="L19" s="5" t="str">
        <f aca="false">IF(AND(K19&gt;=Hypothèses!$B$9,K19&lt;=Hypothèses!$B$10),"actuel",IF(K19=2030,"2030",IF(K19=2050,"2050","autre")))</f>
        <v>2030</v>
      </c>
      <c r="M19" s="5" t="s">
        <v>218</v>
      </c>
      <c r="N19" s="5" t="s">
        <v>196</v>
      </c>
      <c r="O19" s="5"/>
      <c r="P19" s="5" t="s">
        <v>212</v>
      </c>
      <c r="Q19" s="5" t="s">
        <v>45</v>
      </c>
      <c r="R19" s="12" t="n">
        <f aca="false">INDEX(Hypothèses!$B$14:$B$17,MATCH(Q19,Hypothèses!$A$14:$A$17,0))</f>
        <v>1</v>
      </c>
      <c r="S19" s="15" t="str">
        <f aca="false">IF(G19="","",G19*R19)</f>
        <v/>
      </c>
      <c r="T19" s="15" t="n">
        <f aca="false">IF(H19="","",H19*R19)</f>
        <v>594</v>
      </c>
      <c r="U19" s="15" t="str">
        <f aca="false">IF(I19="","",I19*R19)</f>
        <v/>
      </c>
      <c r="V19" s="5" t="s">
        <v>195</v>
      </c>
      <c r="W19" s="5" t="s">
        <v>70</v>
      </c>
      <c r="X19" s="5" t="s">
        <v>198</v>
      </c>
    </row>
    <row r="20" customFormat="false" ht="15" hidden="false" customHeight="false" outlineLevel="0" collapsed="false">
      <c r="A20" s="5" t="s">
        <v>221</v>
      </c>
      <c r="B20" s="5" t="s">
        <v>64</v>
      </c>
      <c r="C20" s="5" t="s">
        <v>82</v>
      </c>
      <c r="D20" s="5" t="s">
        <v>192</v>
      </c>
      <c r="E20" s="5" t="s">
        <v>193</v>
      </c>
      <c r="F20" s="5" t="s">
        <v>206</v>
      </c>
      <c r="G20" s="15"/>
      <c r="H20" s="15" t="n">
        <v>459</v>
      </c>
      <c r="I20" s="15"/>
      <c r="J20" s="5" t="s">
        <v>195</v>
      </c>
      <c r="K20" s="5" t="n">
        <v>2040</v>
      </c>
      <c r="L20" s="5" t="str">
        <f aca="false">IF(AND(K20&gt;=Hypothèses!$B$9,K20&lt;=Hypothèses!$B$10),"actuel",IF(K20=2030,"2030",IF(K20=2050,"2050","autre")))</f>
        <v>autre</v>
      </c>
      <c r="M20" s="5" t="s">
        <v>218</v>
      </c>
      <c r="N20" s="5" t="s">
        <v>196</v>
      </c>
      <c r="O20" s="5"/>
      <c r="P20" s="5" t="s">
        <v>212</v>
      </c>
      <c r="Q20" s="5" t="s">
        <v>45</v>
      </c>
      <c r="R20" s="12" t="n">
        <f aca="false">INDEX(Hypothèses!$B$14:$B$17,MATCH(Q20,Hypothèses!$A$14:$A$17,0))</f>
        <v>1</v>
      </c>
      <c r="S20" s="15" t="str">
        <f aca="false">IF(G20="","",G20*R20)</f>
        <v/>
      </c>
      <c r="T20" s="15" t="n">
        <f aca="false">IF(H20="","",H20*R20)</f>
        <v>459</v>
      </c>
      <c r="U20" s="15" t="str">
        <f aca="false">IF(I20="","",I20*R20)</f>
        <v/>
      </c>
      <c r="V20" s="5" t="s">
        <v>195</v>
      </c>
      <c r="W20" s="5" t="s">
        <v>70</v>
      </c>
      <c r="X20" s="5" t="s">
        <v>198</v>
      </c>
    </row>
    <row r="21" customFormat="false" ht="15" hidden="false" customHeight="false" outlineLevel="0" collapsed="false">
      <c r="A21" s="5" t="s">
        <v>222</v>
      </c>
      <c r="B21" s="5" t="s">
        <v>64</v>
      </c>
      <c r="C21" s="5" t="s">
        <v>82</v>
      </c>
      <c r="D21" s="5" t="s">
        <v>192</v>
      </c>
      <c r="E21" s="5" t="s">
        <v>193</v>
      </c>
      <c r="F21" s="5" t="s">
        <v>206</v>
      </c>
      <c r="G21" s="15" t="n">
        <v>270</v>
      </c>
      <c r="H21" s="15" t="n">
        <v>324</v>
      </c>
      <c r="I21" s="15" t="n">
        <v>378</v>
      </c>
      <c r="J21" s="5" t="s">
        <v>195</v>
      </c>
      <c r="K21" s="5" t="n">
        <v>2050</v>
      </c>
      <c r="L21" s="5" t="str">
        <f aca="false">IF(AND(K21&gt;=Hypothèses!$B$9,K21&lt;=Hypothèses!$B$10),"actuel",IF(K21=2030,"2030",IF(K21=2050,"2050","autre")))</f>
        <v>2050</v>
      </c>
      <c r="M21" s="5" t="s">
        <v>218</v>
      </c>
      <c r="N21" s="5" t="s">
        <v>196</v>
      </c>
      <c r="O21" s="5"/>
      <c r="P21" s="5" t="s">
        <v>212</v>
      </c>
      <c r="Q21" s="5" t="s">
        <v>45</v>
      </c>
      <c r="R21" s="12" t="n">
        <f aca="false">INDEX(Hypothèses!$B$14:$B$17,MATCH(Q21,Hypothèses!$A$14:$A$17,0))</f>
        <v>1</v>
      </c>
      <c r="S21" s="15" t="n">
        <f aca="false">IF(G21="","",G21*R21)</f>
        <v>270</v>
      </c>
      <c r="T21" s="15" t="n">
        <f aca="false">IF(H21="","",H21*R21)</f>
        <v>324</v>
      </c>
      <c r="U21" s="15" t="n">
        <f aca="false">IF(I21="","",I21*R21)</f>
        <v>378</v>
      </c>
      <c r="V21" s="5" t="s">
        <v>195</v>
      </c>
      <c r="W21" s="5" t="s">
        <v>70</v>
      </c>
      <c r="X21" s="5" t="s">
        <v>198</v>
      </c>
    </row>
    <row r="22" customFormat="false" ht="15" hidden="false" customHeight="false" outlineLevel="0" collapsed="false">
      <c r="A22" s="5" t="s">
        <v>223</v>
      </c>
      <c r="B22" s="5" t="s">
        <v>64</v>
      </c>
      <c r="C22" s="5" t="s">
        <v>84</v>
      </c>
      <c r="D22" s="5" t="s">
        <v>192</v>
      </c>
      <c r="E22" s="5" t="s">
        <v>193</v>
      </c>
      <c r="F22" s="5" t="s">
        <v>206</v>
      </c>
      <c r="G22" s="15" t="n">
        <v>945</v>
      </c>
      <c r="H22" s="15" t="n">
        <v>1188</v>
      </c>
      <c r="I22" s="15" t="n">
        <v>1431</v>
      </c>
      <c r="J22" s="5" t="s">
        <v>195</v>
      </c>
      <c r="K22" s="5" t="n">
        <v>2020</v>
      </c>
      <c r="L22" s="5" t="str">
        <f aca="false">IF(AND(K22&gt;=Hypothèses!$B$9,K22&lt;=Hypothèses!$B$10),"actuel",IF(K22=2030,"2030",IF(K22=2050,"2050","autre")))</f>
        <v>actuel</v>
      </c>
      <c r="M22" s="5" t="s">
        <v>224</v>
      </c>
      <c r="N22" s="5" t="s">
        <v>196</v>
      </c>
      <c r="O22" s="5"/>
      <c r="P22" s="5" t="s">
        <v>212</v>
      </c>
      <c r="Q22" s="5" t="s">
        <v>45</v>
      </c>
      <c r="R22" s="12" t="n">
        <f aca="false">INDEX(Hypothèses!$B$14:$B$17,MATCH(Q22,Hypothèses!$A$14:$A$17,0))</f>
        <v>1</v>
      </c>
      <c r="S22" s="15" t="n">
        <f aca="false">IF(G22="","",G22*R22)</f>
        <v>945</v>
      </c>
      <c r="T22" s="15" t="n">
        <f aca="false">IF(H22="","",H22*R22)</f>
        <v>1188</v>
      </c>
      <c r="U22" s="15" t="n">
        <f aca="false">IF(I22="","",I22*R22)</f>
        <v>1431</v>
      </c>
      <c r="V22" s="5" t="s">
        <v>195</v>
      </c>
      <c r="W22" s="5" t="s">
        <v>70</v>
      </c>
      <c r="X22" s="5" t="s">
        <v>198</v>
      </c>
    </row>
    <row r="23" customFormat="false" ht="15" hidden="false" customHeight="false" outlineLevel="0" collapsed="false">
      <c r="A23" s="5" t="s">
        <v>225</v>
      </c>
      <c r="B23" s="5" t="s">
        <v>64</v>
      </c>
      <c r="C23" s="5" t="s">
        <v>84</v>
      </c>
      <c r="D23" s="5" t="s">
        <v>192</v>
      </c>
      <c r="E23" s="5" t="s">
        <v>193</v>
      </c>
      <c r="F23" s="5" t="s">
        <v>206</v>
      </c>
      <c r="G23" s="15"/>
      <c r="H23" s="15" t="n">
        <v>864</v>
      </c>
      <c r="I23" s="15"/>
      <c r="J23" s="5" t="s">
        <v>195</v>
      </c>
      <c r="K23" s="5" t="n">
        <v>2025</v>
      </c>
      <c r="L23" s="5" t="str">
        <f aca="false">IF(AND(K23&gt;=Hypothèses!$B$9,K23&lt;=Hypothèses!$B$10),"actuel",IF(K23=2030,"2030",IF(K23=2050,"2050","autre")))</f>
        <v>actuel</v>
      </c>
      <c r="M23" s="5" t="s">
        <v>224</v>
      </c>
      <c r="N23" s="5" t="s">
        <v>196</v>
      </c>
      <c r="O23" s="5"/>
      <c r="P23" s="5" t="s">
        <v>212</v>
      </c>
      <c r="Q23" s="5" t="s">
        <v>45</v>
      </c>
      <c r="R23" s="12" t="n">
        <f aca="false">INDEX(Hypothèses!$B$14:$B$17,MATCH(Q23,Hypothèses!$A$14:$A$17,0))</f>
        <v>1</v>
      </c>
      <c r="S23" s="15" t="str">
        <f aca="false">IF(G23="","",G23*R23)</f>
        <v/>
      </c>
      <c r="T23" s="15" t="n">
        <f aca="false">IF(H23="","",H23*R23)</f>
        <v>864</v>
      </c>
      <c r="U23" s="15" t="str">
        <f aca="false">IF(I23="","",I23*R23)</f>
        <v/>
      </c>
      <c r="V23" s="5" t="s">
        <v>195</v>
      </c>
      <c r="W23" s="5" t="s">
        <v>70</v>
      </c>
      <c r="X23" s="5" t="s">
        <v>198</v>
      </c>
    </row>
    <row r="24" customFormat="false" ht="15" hidden="false" customHeight="false" outlineLevel="0" collapsed="false">
      <c r="A24" s="5" t="s">
        <v>226</v>
      </c>
      <c r="B24" s="5" t="s">
        <v>64</v>
      </c>
      <c r="C24" s="5" t="s">
        <v>84</v>
      </c>
      <c r="D24" s="5" t="s">
        <v>192</v>
      </c>
      <c r="E24" s="5" t="s">
        <v>193</v>
      </c>
      <c r="F24" s="5" t="s">
        <v>206</v>
      </c>
      <c r="G24" s="15"/>
      <c r="H24" s="15" t="n">
        <v>540</v>
      </c>
      <c r="I24" s="15"/>
      <c r="J24" s="5" t="s">
        <v>195</v>
      </c>
      <c r="K24" s="5" t="n">
        <v>2030</v>
      </c>
      <c r="L24" s="5" t="str">
        <f aca="false">IF(AND(K24&gt;=Hypothèses!$B$9,K24&lt;=Hypothèses!$B$10),"actuel",IF(K24=2030,"2030",IF(K24=2050,"2050","autre")))</f>
        <v>2030</v>
      </c>
      <c r="M24" s="5" t="s">
        <v>224</v>
      </c>
      <c r="N24" s="5" t="s">
        <v>196</v>
      </c>
      <c r="O24" s="5"/>
      <c r="P24" s="5" t="s">
        <v>212</v>
      </c>
      <c r="Q24" s="5" t="s">
        <v>45</v>
      </c>
      <c r="R24" s="12" t="n">
        <f aca="false">INDEX(Hypothèses!$B$14:$B$17,MATCH(Q24,Hypothèses!$A$14:$A$17,0))</f>
        <v>1</v>
      </c>
      <c r="S24" s="15" t="str">
        <f aca="false">IF(G24="","",G24*R24)</f>
        <v/>
      </c>
      <c r="T24" s="15" t="n">
        <f aca="false">IF(H24="","",H24*R24)</f>
        <v>540</v>
      </c>
      <c r="U24" s="15" t="str">
        <f aca="false">IF(I24="","",I24*R24)</f>
        <v/>
      </c>
      <c r="V24" s="5" t="s">
        <v>195</v>
      </c>
      <c r="W24" s="5" t="s">
        <v>70</v>
      </c>
      <c r="X24" s="5" t="s">
        <v>198</v>
      </c>
    </row>
    <row r="25" customFormat="false" ht="15" hidden="false" customHeight="false" outlineLevel="0" collapsed="false">
      <c r="A25" s="5" t="s">
        <v>227</v>
      </c>
      <c r="B25" s="5" t="s">
        <v>64</v>
      </c>
      <c r="C25" s="5" t="s">
        <v>84</v>
      </c>
      <c r="D25" s="5" t="s">
        <v>192</v>
      </c>
      <c r="E25" s="5" t="s">
        <v>193</v>
      </c>
      <c r="F25" s="5" t="s">
        <v>206</v>
      </c>
      <c r="G25" s="15"/>
      <c r="H25" s="15" t="n">
        <v>432</v>
      </c>
      <c r="I25" s="15"/>
      <c r="J25" s="5" t="s">
        <v>195</v>
      </c>
      <c r="K25" s="5" t="n">
        <v>2040</v>
      </c>
      <c r="L25" s="5" t="str">
        <f aca="false">IF(AND(K25&gt;=Hypothèses!$B$9,K25&lt;=Hypothèses!$B$10),"actuel",IF(K25=2030,"2030",IF(K25=2050,"2050","autre")))</f>
        <v>autre</v>
      </c>
      <c r="M25" s="5" t="s">
        <v>224</v>
      </c>
      <c r="N25" s="5" t="s">
        <v>196</v>
      </c>
      <c r="O25" s="5"/>
      <c r="P25" s="5" t="s">
        <v>212</v>
      </c>
      <c r="Q25" s="5" t="s">
        <v>45</v>
      </c>
      <c r="R25" s="12" t="n">
        <f aca="false">INDEX(Hypothèses!$B$14:$B$17,MATCH(Q25,Hypothèses!$A$14:$A$17,0))</f>
        <v>1</v>
      </c>
      <c r="S25" s="15" t="str">
        <f aca="false">IF(G25="","",G25*R25)</f>
        <v/>
      </c>
      <c r="T25" s="15" t="n">
        <f aca="false">IF(H25="","",H25*R25)</f>
        <v>432</v>
      </c>
      <c r="U25" s="15" t="str">
        <f aca="false">IF(I25="","",I25*R25)</f>
        <v/>
      </c>
      <c r="V25" s="5" t="s">
        <v>195</v>
      </c>
      <c r="W25" s="5" t="s">
        <v>70</v>
      </c>
      <c r="X25" s="5" t="s">
        <v>198</v>
      </c>
    </row>
    <row r="26" customFormat="false" ht="15" hidden="false" customHeight="false" outlineLevel="0" collapsed="false">
      <c r="A26" s="5" t="s">
        <v>228</v>
      </c>
      <c r="B26" s="5" t="s">
        <v>64</v>
      </c>
      <c r="C26" s="5" t="s">
        <v>84</v>
      </c>
      <c r="D26" s="5" t="s">
        <v>192</v>
      </c>
      <c r="E26" s="5" t="s">
        <v>193</v>
      </c>
      <c r="F26" s="5" t="s">
        <v>206</v>
      </c>
      <c r="G26" s="15" t="n">
        <v>243</v>
      </c>
      <c r="H26" s="15" t="n">
        <v>297</v>
      </c>
      <c r="I26" s="15" t="n">
        <v>351</v>
      </c>
      <c r="J26" s="5" t="s">
        <v>195</v>
      </c>
      <c r="K26" s="5" t="n">
        <v>2050</v>
      </c>
      <c r="L26" s="5" t="str">
        <f aca="false">IF(AND(K26&gt;=Hypothèses!$B$9,K26&lt;=Hypothèses!$B$10),"actuel",IF(K26=2030,"2030",IF(K26=2050,"2050","autre")))</f>
        <v>2050</v>
      </c>
      <c r="M26" s="5" t="s">
        <v>224</v>
      </c>
      <c r="N26" s="5" t="s">
        <v>196</v>
      </c>
      <c r="O26" s="5"/>
      <c r="P26" s="5" t="s">
        <v>212</v>
      </c>
      <c r="Q26" s="5" t="s">
        <v>45</v>
      </c>
      <c r="R26" s="12" t="n">
        <f aca="false">INDEX(Hypothèses!$B$14:$B$17,MATCH(Q26,Hypothèses!$A$14:$A$17,0))</f>
        <v>1</v>
      </c>
      <c r="S26" s="15" t="n">
        <f aca="false">IF(G26="","",G26*R26)</f>
        <v>243</v>
      </c>
      <c r="T26" s="15" t="n">
        <f aca="false">IF(H26="","",H26*R26)</f>
        <v>297</v>
      </c>
      <c r="U26" s="15" t="n">
        <f aca="false">IF(I26="","",I26*R26)</f>
        <v>351</v>
      </c>
      <c r="V26" s="5" t="s">
        <v>195</v>
      </c>
      <c r="W26" s="5" t="s">
        <v>70</v>
      </c>
      <c r="X26" s="5" t="s">
        <v>198</v>
      </c>
    </row>
    <row r="27" customFormat="false" ht="15" hidden="false" customHeight="false" outlineLevel="0" collapsed="false">
      <c r="A27" s="5" t="s">
        <v>229</v>
      </c>
      <c r="B27" s="5" t="s">
        <v>64</v>
      </c>
      <c r="C27" s="5" t="s">
        <v>86</v>
      </c>
      <c r="D27" s="5" t="s">
        <v>192</v>
      </c>
      <c r="E27" s="5" t="s">
        <v>193</v>
      </c>
      <c r="F27" s="5" t="s">
        <v>206</v>
      </c>
      <c r="G27" s="15" t="n">
        <v>926.28518</v>
      </c>
      <c r="H27" s="15" t="n">
        <v>1051.4549</v>
      </c>
      <c r="I27" s="15" t="n">
        <v>1166.6192</v>
      </c>
      <c r="J27" s="5" t="s">
        <v>195</v>
      </c>
      <c r="K27" s="5" t="n">
        <v>2020</v>
      </c>
      <c r="L27" s="5" t="str">
        <f aca="false">IF(AND(K27&gt;=Hypothèses!$B$9,K27&lt;=Hypothèses!$B$10),"actuel",IF(K27=2030,"2030",IF(K27=2050,"2050","autre")))</f>
        <v>actuel</v>
      </c>
      <c r="M27" s="5"/>
      <c r="N27" s="5" t="s">
        <v>196</v>
      </c>
      <c r="O27" s="5"/>
      <c r="P27" s="5" t="s">
        <v>230</v>
      </c>
      <c r="Q27" s="5" t="s">
        <v>45</v>
      </c>
      <c r="R27" s="12" t="n">
        <f aca="false">INDEX(Hypothèses!$B$14:$B$17,MATCH(Q27,Hypothèses!$A$14:$A$17,0))</f>
        <v>1</v>
      </c>
      <c r="S27" s="15" t="n">
        <f aca="false">IF(G27="","",G27*R27)</f>
        <v>926.28518</v>
      </c>
      <c r="T27" s="15" t="n">
        <f aca="false">IF(H27="","",H27*R27)</f>
        <v>1051.4549</v>
      </c>
      <c r="U27" s="15" t="n">
        <f aca="false">IF(I27="","",I27*R27)</f>
        <v>1166.6192</v>
      </c>
      <c r="V27" s="5" t="s">
        <v>195</v>
      </c>
      <c r="W27" s="5" t="s">
        <v>70</v>
      </c>
      <c r="X27" s="5" t="s">
        <v>198</v>
      </c>
    </row>
    <row r="28" customFormat="false" ht="15" hidden="false" customHeight="false" outlineLevel="0" collapsed="false">
      <c r="A28" s="5" t="s">
        <v>231</v>
      </c>
      <c r="B28" s="5" t="s">
        <v>64</v>
      </c>
      <c r="C28" s="5" t="s">
        <v>86</v>
      </c>
      <c r="D28" s="5" t="s">
        <v>192</v>
      </c>
      <c r="E28" s="5" t="s">
        <v>193</v>
      </c>
      <c r="F28" s="5" t="s">
        <v>206</v>
      </c>
      <c r="G28" s="15" t="n">
        <v>841.16701</v>
      </c>
      <c r="H28" s="15" t="n">
        <v>936.29884</v>
      </c>
      <c r="I28" s="15" t="n">
        <v>1031.4317</v>
      </c>
      <c r="J28" s="5" t="s">
        <v>195</v>
      </c>
      <c r="K28" s="5" t="n">
        <v>2025</v>
      </c>
      <c r="L28" s="5" t="str">
        <f aca="false">IF(AND(K28&gt;=Hypothèses!$B$9,K28&lt;=Hypothèses!$B$10),"actuel",IF(K28=2030,"2030",IF(K28=2050,"2050","autre")))</f>
        <v>actuel</v>
      </c>
      <c r="M28" s="5"/>
      <c r="N28" s="5" t="s">
        <v>196</v>
      </c>
      <c r="O28" s="5"/>
      <c r="P28" s="5" t="s">
        <v>230</v>
      </c>
      <c r="Q28" s="5" t="s">
        <v>45</v>
      </c>
      <c r="R28" s="12" t="n">
        <f aca="false">INDEX(Hypothèses!$B$14:$B$17,MATCH(Q28,Hypothèses!$A$14:$A$17,0))</f>
        <v>1</v>
      </c>
      <c r="S28" s="15" t="n">
        <f aca="false">IF(G28="","",G28*R28)</f>
        <v>841.16701</v>
      </c>
      <c r="T28" s="15" t="n">
        <f aca="false">IF(H28="","",H28*R28)</f>
        <v>936.29884</v>
      </c>
      <c r="U28" s="15" t="n">
        <f aca="false">IF(I28="","",I28*R28)</f>
        <v>1031.4317</v>
      </c>
      <c r="V28" s="5" t="s">
        <v>195</v>
      </c>
      <c r="W28" s="5" t="s">
        <v>70</v>
      </c>
      <c r="X28" s="5" t="s">
        <v>198</v>
      </c>
    </row>
    <row r="29" customFormat="false" ht="15" hidden="false" customHeight="false" outlineLevel="0" collapsed="false">
      <c r="A29" s="5" t="s">
        <v>232</v>
      </c>
      <c r="B29" s="5" t="s">
        <v>64</v>
      </c>
      <c r="C29" s="5" t="s">
        <v>86</v>
      </c>
      <c r="D29" s="5" t="s">
        <v>192</v>
      </c>
      <c r="E29" s="5" t="s">
        <v>193</v>
      </c>
      <c r="F29" s="5" t="s">
        <v>206</v>
      </c>
      <c r="G29" s="15" t="n">
        <v>736.02049</v>
      </c>
      <c r="H29" s="15" t="n">
        <v>836.16018</v>
      </c>
      <c r="I29" s="15" t="n">
        <v>941.30567</v>
      </c>
      <c r="J29" s="5" t="s">
        <v>195</v>
      </c>
      <c r="K29" s="5" t="n">
        <v>2030</v>
      </c>
      <c r="L29" s="5" t="str">
        <f aca="false">IF(AND(K29&gt;=Hypothèses!$B$9,K29&lt;=Hypothèses!$B$10),"actuel",IF(K29=2030,"2030",IF(K29=2050,"2050","autre")))</f>
        <v>2030</v>
      </c>
      <c r="M29" s="5"/>
      <c r="N29" s="5" t="s">
        <v>196</v>
      </c>
      <c r="O29" s="5"/>
      <c r="P29" s="5" t="s">
        <v>230</v>
      </c>
      <c r="Q29" s="5" t="s">
        <v>45</v>
      </c>
      <c r="R29" s="12" t="n">
        <f aca="false">INDEX(Hypothèses!$B$14:$B$17,MATCH(Q29,Hypothèses!$A$14:$A$17,0))</f>
        <v>1</v>
      </c>
      <c r="S29" s="15" t="n">
        <f aca="false">IF(G29="","",G29*R29)</f>
        <v>736.02049</v>
      </c>
      <c r="T29" s="15" t="n">
        <f aca="false">IF(H29="","",H29*R29)</f>
        <v>836.16018</v>
      </c>
      <c r="U29" s="15" t="n">
        <f aca="false">IF(I29="","",I29*R29)</f>
        <v>941.30567</v>
      </c>
      <c r="V29" s="5" t="s">
        <v>195</v>
      </c>
      <c r="W29" s="5" t="s">
        <v>70</v>
      </c>
      <c r="X29" s="5" t="s">
        <v>198</v>
      </c>
    </row>
    <row r="30" customFormat="false" ht="15" hidden="false" customHeight="false" outlineLevel="0" collapsed="false">
      <c r="A30" s="5" t="s">
        <v>233</v>
      </c>
      <c r="B30" s="5" t="s">
        <v>64</v>
      </c>
      <c r="C30" s="5" t="s">
        <v>86</v>
      </c>
      <c r="D30" s="5" t="s">
        <v>192</v>
      </c>
      <c r="E30" s="5" t="s">
        <v>193</v>
      </c>
      <c r="F30" s="5" t="s">
        <v>206</v>
      </c>
      <c r="G30" s="15" t="n">
        <v>620.86134</v>
      </c>
      <c r="H30" s="15" t="n">
        <v>751.04201</v>
      </c>
      <c r="I30" s="15" t="n">
        <v>881.22268</v>
      </c>
      <c r="J30" s="5" t="s">
        <v>195</v>
      </c>
      <c r="K30" s="5" t="n">
        <v>2035</v>
      </c>
      <c r="L30" s="5" t="str">
        <f aca="false">IF(AND(K30&gt;=Hypothèses!$B$9,K30&lt;=Hypothèses!$B$10),"actuel",IF(K30=2030,"2030",IF(K30=2050,"2050","autre")))</f>
        <v>autre</v>
      </c>
      <c r="M30" s="5"/>
      <c r="N30" s="5" t="s">
        <v>196</v>
      </c>
      <c r="O30" s="5"/>
      <c r="P30" s="5" t="s">
        <v>230</v>
      </c>
      <c r="Q30" s="5" t="s">
        <v>45</v>
      </c>
      <c r="R30" s="12" t="n">
        <f aca="false">INDEX(Hypothèses!$B$14:$B$17,MATCH(Q30,Hypothèses!$A$14:$A$17,0))</f>
        <v>1</v>
      </c>
      <c r="S30" s="15" t="n">
        <f aca="false">IF(G30="","",G30*R30)</f>
        <v>620.86134</v>
      </c>
      <c r="T30" s="15" t="n">
        <f aca="false">IF(H30="","",H30*R30)</f>
        <v>751.04201</v>
      </c>
      <c r="U30" s="15" t="n">
        <f aca="false">IF(I30="","",I30*R30)</f>
        <v>881.22268</v>
      </c>
      <c r="V30" s="5" t="s">
        <v>195</v>
      </c>
      <c r="W30" s="5" t="s">
        <v>70</v>
      </c>
      <c r="X30" s="5" t="s">
        <v>198</v>
      </c>
    </row>
    <row r="31" customFormat="false" ht="15" hidden="false" customHeight="false" outlineLevel="0" collapsed="false">
      <c r="A31" s="5" t="s">
        <v>234</v>
      </c>
      <c r="B31" s="5" t="s">
        <v>64</v>
      </c>
      <c r="C31" s="5" t="s">
        <v>86</v>
      </c>
      <c r="D31" s="5" t="s">
        <v>192</v>
      </c>
      <c r="E31" s="5" t="s">
        <v>193</v>
      </c>
      <c r="F31" s="5" t="s">
        <v>206</v>
      </c>
      <c r="G31" s="15" t="n">
        <v>520.72268</v>
      </c>
      <c r="H31" s="15" t="n">
        <v>670.93067</v>
      </c>
      <c r="I31" s="15" t="n">
        <v>826.14549</v>
      </c>
      <c r="J31" s="5" t="s">
        <v>195</v>
      </c>
      <c r="K31" s="5" t="n">
        <v>2040</v>
      </c>
      <c r="L31" s="5" t="str">
        <f aca="false">IF(AND(K31&gt;=Hypothèses!$B$9,K31&lt;=Hypothèses!$B$10),"actuel",IF(K31=2030,"2030",IF(K31=2050,"2050","autre")))</f>
        <v>autre</v>
      </c>
      <c r="M31" s="5"/>
      <c r="N31" s="5" t="s">
        <v>196</v>
      </c>
      <c r="O31" s="5"/>
      <c r="P31" s="5" t="s">
        <v>230</v>
      </c>
      <c r="Q31" s="5" t="s">
        <v>45</v>
      </c>
      <c r="R31" s="12" t="n">
        <f aca="false">INDEX(Hypothèses!$B$14:$B$17,MATCH(Q31,Hypothèses!$A$14:$A$17,0))</f>
        <v>1</v>
      </c>
      <c r="S31" s="15" t="n">
        <f aca="false">IF(G31="","",G31*R31)</f>
        <v>520.72268</v>
      </c>
      <c r="T31" s="15" t="n">
        <f aca="false">IF(H31="","",H31*R31)</f>
        <v>670.93067</v>
      </c>
      <c r="U31" s="15" t="n">
        <f aca="false">IF(I31="","",I31*R31)</f>
        <v>826.14549</v>
      </c>
      <c r="V31" s="5" t="s">
        <v>195</v>
      </c>
      <c r="W31" s="5" t="s">
        <v>70</v>
      </c>
      <c r="X31" s="5" t="s">
        <v>198</v>
      </c>
    </row>
    <row r="32" customFormat="false" ht="15" hidden="false" customHeight="false" outlineLevel="0" collapsed="false">
      <c r="A32" s="5" t="s">
        <v>235</v>
      </c>
      <c r="B32" s="5" t="s">
        <v>64</v>
      </c>
      <c r="C32" s="5" t="s">
        <v>86</v>
      </c>
      <c r="D32" s="5" t="s">
        <v>192</v>
      </c>
      <c r="E32" s="5" t="s">
        <v>193</v>
      </c>
      <c r="F32" s="5" t="s">
        <v>206</v>
      </c>
      <c r="G32" s="15" t="n">
        <v>430.59768</v>
      </c>
      <c r="H32" s="15" t="n">
        <v>600.83299</v>
      </c>
      <c r="I32" s="15" t="n">
        <v>776.07616</v>
      </c>
      <c r="J32" s="5" t="s">
        <v>195</v>
      </c>
      <c r="K32" s="5" t="n">
        <v>2045</v>
      </c>
      <c r="L32" s="5" t="str">
        <f aca="false">IF(AND(K32&gt;=Hypothèses!$B$9,K32&lt;=Hypothèses!$B$10),"actuel",IF(K32=2030,"2030",IF(K32=2050,"2050","autre")))</f>
        <v>autre</v>
      </c>
      <c r="M32" s="5"/>
      <c r="N32" s="5" t="s">
        <v>196</v>
      </c>
      <c r="O32" s="5"/>
      <c r="P32" s="5" t="s">
        <v>230</v>
      </c>
      <c r="Q32" s="5" t="s">
        <v>45</v>
      </c>
      <c r="R32" s="12" t="n">
        <f aca="false">INDEX(Hypothèses!$B$14:$B$17,MATCH(Q32,Hypothèses!$A$14:$A$17,0))</f>
        <v>1</v>
      </c>
      <c r="S32" s="15" t="n">
        <f aca="false">IF(G32="","",G32*R32)</f>
        <v>430.59768</v>
      </c>
      <c r="T32" s="15" t="n">
        <f aca="false">IF(H32="","",H32*R32)</f>
        <v>600.83299</v>
      </c>
      <c r="U32" s="15" t="n">
        <f aca="false">IF(I32="","",I32*R32)</f>
        <v>776.07616</v>
      </c>
      <c r="V32" s="5" t="s">
        <v>195</v>
      </c>
      <c r="W32" s="5" t="s">
        <v>70</v>
      </c>
      <c r="X32" s="5" t="s">
        <v>198</v>
      </c>
    </row>
    <row r="33" customFormat="false" ht="15" hidden="false" customHeight="false" outlineLevel="0" collapsed="false">
      <c r="A33" s="5" t="s">
        <v>236</v>
      </c>
      <c r="B33" s="5" t="s">
        <v>64</v>
      </c>
      <c r="C33" s="5" t="s">
        <v>86</v>
      </c>
      <c r="D33" s="5" t="s">
        <v>192</v>
      </c>
      <c r="E33" s="5" t="s">
        <v>193</v>
      </c>
      <c r="F33" s="5" t="s">
        <v>206</v>
      </c>
      <c r="G33" s="15" t="n">
        <v>355.49317</v>
      </c>
      <c r="H33" s="15" t="n">
        <v>535.74317</v>
      </c>
      <c r="I33" s="15" t="n">
        <v>731.01366</v>
      </c>
      <c r="J33" s="5" t="s">
        <v>195</v>
      </c>
      <c r="K33" s="5" t="n">
        <v>2050</v>
      </c>
      <c r="L33" s="5" t="str">
        <f aca="false">IF(AND(K33&gt;=Hypothèses!$B$9,K33&lt;=Hypothèses!$B$10),"actuel",IF(K33=2030,"2030",IF(K33=2050,"2050","autre")))</f>
        <v>2050</v>
      </c>
      <c r="M33" s="5"/>
      <c r="N33" s="5" t="s">
        <v>196</v>
      </c>
      <c r="O33" s="5"/>
      <c r="P33" s="5" t="s">
        <v>230</v>
      </c>
      <c r="Q33" s="5" t="s">
        <v>45</v>
      </c>
      <c r="R33" s="12" t="n">
        <f aca="false">INDEX(Hypothèses!$B$14:$B$17,MATCH(Q33,Hypothèses!$A$14:$A$17,0))</f>
        <v>1</v>
      </c>
      <c r="S33" s="15" t="n">
        <f aca="false">IF(G33="","",G33*R33)</f>
        <v>355.49317</v>
      </c>
      <c r="T33" s="15" t="n">
        <f aca="false">IF(H33="","",H33*R33)</f>
        <v>535.74317</v>
      </c>
      <c r="U33" s="15" t="n">
        <f aca="false">IF(I33="","",I33*R33)</f>
        <v>731.01366</v>
      </c>
      <c r="V33" s="5" t="s">
        <v>195</v>
      </c>
      <c r="W33" s="5" t="s">
        <v>70</v>
      </c>
      <c r="X33" s="5" t="s">
        <v>198</v>
      </c>
    </row>
    <row r="34" customFormat="false" ht="15" hidden="false" customHeight="false" outlineLevel="0" collapsed="false">
      <c r="A34" s="5" t="s">
        <v>237</v>
      </c>
      <c r="B34" s="5" t="s">
        <v>64</v>
      </c>
      <c r="C34" s="5" t="s">
        <v>92</v>
      </c>
      <c r="D34" s="5" t="s">
        <v>192</v>
      </c>
      <c r="E34" s="5" t="s">
        <v>193</v>
      </c>
      <c r="F34" s="5" t="s">
        <v>206</v>
      </c>
      <c r="G34" s="15" t="n">
        <v>824</v>
      </c>
      <c r="H34" s="15"/>
      <c r="I34" s="15"/>
      <c r="J34" s="5" t="s">
        <v>195</v>
      </c>
      <c r="K34" s="5" t="n">
        <v>2020</v>
      </c>
      <c r="L34" s="5" t="str">
        <f aca="false">IF(AND(K34&gt;=Hypothèses!$B$9,K34&lt;=Hypothèses!$B$10),"actuel",IF(K34=2030,"2030",IF(K34=2050,"2050","autre")))</f>
        <v>actuel</v>
      </c>
      <c r="M34" s="5"/>
      <c r="N34" s="5" t="s">
        <v>196</v>
      </c>
      <c r="O34" s="5"/>
      <c r="P34" s="5" t="s">
        <v>238</v>
      </c>
      <c r="Q34" s="5" t="s">
        <v>45</v>
      </c>
      <c r="R34" s="12" t="n">
        <f aca="false">INDEX(Hypothèses!$B$14:$B$17,MATCH(Q34,Hypothèses!$A$14:$A$17,0))</f>
        <v>1</v>
      </c>
      <c r="S34" s="15" t="n">
        <f aca="false">IF(G34="","",G34*R34)</f>
        <v>824</v>
      </c>
      <c r="T34" s="15" t="str">
        <f aca="false">IF(H34="","",H34*R34)</f>
        <v/>
      </c>
      <c r="U34" s="15" t="str">
        <f aca="false">IF(I34="","",I34*R34)</f>
        <v/>
      </c>
      <c r="V34" s="5" t="s">
        <v>195</v>
      </c>
      <c r="W34" s="5" t="s">
        <v>70</v>
      </c>
      <c r="X34" s="5" t="s">
        <v>198</v>
      </c>
    </row>
    <row r="35" customFormat="false" ht="15" hidden="false" customHeight="false" outlineLevel="0" collapsed="false">
      <c r="A35" s="5" t="s">
        <v>239</v>
      </c>
      <c r="B35" s="5" t="s">
        <v>64</v>
      </c>
      <c r="C35" s="5" t="s">
        <v>92</v>
      </c>
      <c r="D35" s="5" t="s">
        <v>192</v>
      </c>
      <c r="E35" s="5" t="s">
        <v>193</v>
      </c>
      <c r="F35" s="5" t="s">
        <v>206</v>
      </c>
      <c r="G35" s="15" t="n">
        <v>352.26</v>
      </c>
      <c r="H35" s="15"/>
      <c r="I35" s="15"/>
      <c r="J35" s="5" t="s">
        <v>195</v>
      </c>
      <c r="K35" s="5" t="n">
        <v>2025</v>
      </c>
      <c r="L35" s="5" t="str">
        <f aca="false">IF(AND(K35&gt;=Hypothèses!$B$9,K35&lt;=Hypothèses!$B$10),"actuel",IF(K35=2030,"2030",IF(K35=2050,"2050","autre")))</f>
        <v>actuel</v>
      </c>
      <c r="M35" s="5"/>
      <c r="N35" s="5" t="s">
        <v>196</v>
      </c>
      <c r="O35" s="5"/>
      <c r="P35" s="5" t="s">
        <v>238</v>
      </c>
      <c r="Q35" s="5" t="s">
        <v>45</v>
      </c>
      <c r="R35" s="12" t="n">
        <f aca="false">INDEX(Hypothèses!$B$14:$B$17,MATCH(Q35,Hypothèses!$A$14:$A$17,0))</f>
        <v>1</v>
      </c>
      <c r="S35" s="15" t="n">
        <f aca="false">IF(G35="","",G35*R35)</f>
        <v>352.26</v>
      </c>
      <c r="T35" s="15" t="str">
        <f aca="false">IF(H35="","",H35*R35)</f>
        <v/>
      </c>
      <c r="U35" s="15" t="str">
        <f aca="false">IF(I35="","",I35*R35)</f>
        <v/>
      </c>
      <c r="V35" s="5" t="s">
        <v>195</v>
      </c>
      <c r="W35" s="5" t="s">
        <v>70</v>
      </c>
      <c r="X35" s="5" t="s">
        <v>198</v>
      </c>
    </row>
    <row r="36" customFormat="false" ht="15" hidden="false" customHeight="false" outlineLevel="0" collapsed="false">
      <c r="A36" s="5" t="s">
        <v>240</v>
      </c>
      <c r="B36" s="5" t="s">
        <v>64</v>
      </c>
      <c r="C36" s="5" t="s">
        <v>92</v>
      </c>
      <c r="D36" s="5" t="s">
        <v>192</v>
      </c>
      <c r="E36" s="5" t="s">
        <v>193</v>
      </c>
      <c r="F36" s="5" t="s">
        <v>206</v>
      </c>
      <c r="G36" s="15" t="n">
        <v>196.73</v>
      </c>
      <c r="H36" s="15"/>
      <c r="I36" s="15"/>
      <c r="J36" s="5" t="s">
        <v>195</v>
      </c>
      <c r="K36" s="5" t="n">
        <v>2030</v>
      </c>
      <c r="L36" s="5" t="str">
        <f aca="false">IF(AND(K36&gt;=Hypothèses!$B$9,K36&lt;=Hypothèses!$B$10),"actuel",IF(K36=2030,"2030",IF(K36=2050,"2050","autre")))</f>
        <v>2030</v>
      </c>
      <c r="M36" s="5"/>
      <c r="N36" s="5" t="s">
        <v>196</v>
      </c>
      <c r="O36" s="5"/>
      <c r="P36" s="5" t="s">
        <v>238</v>
      </c>
      <c r="Q36" s="5" t="s">
        <v>45</v>
      </c>
      <c r="R36" s="12" t="n">
        <f aca="false">INDEX(Hypothèses!$B$14:$B$17,MATCH(Q36,Hypothèses!$A$14:$A$17,0))</f>
        <v>1</v>
      </c>
      <c r="S36" s="15" t="n">
        <f aca="false">IF(G36="","",G36*R36)</f>
        <v>196.73</v>
      </c>
      <c r="T36" s="15" t="str">
        <f aca="false">IF(H36="","",H36*R36)</f>
        <v/>
      </c>
      <c r="U36" s="15" t="str">
        <f aca="false">IF(I36="","",I36*R36)</f>
        <v/>
      </c>
      <c r="V36" s="5" t="s">
        <v>195</v>
      </c>
      <c r="W36" s="5" t="s">
        <v>70</v>
      </c>
      <c r="X36" s="5" t="s">
        <v>198</v>
      </c>
    </row>
    <row r="37" customFormat="false" ht="15" hidden="false" customHeight="false" outlineLevel="0" collapsed="false">
      <c r="A37" s="5" t="s">
        <v>241</v>
      </c>
      <c r="B37" s="5" t="s">
        <v>64</v>
      </c>
      <c r="C37" s="5" t="s">
        <v>92</v>
      </c>
      <c r="D37" s="5" t="s">
        <v>192</v>
      </c>
      <c r="E37" s="5" t="s">
        <v>193</v>
      </c>
      <c r="F37" s="5" t="s">
        <v>206</v>
      </c>
      <c r="G37" s="15" t="n">
        <v>76.22</v>
      </c>
      <c r="H37" s="15"/>
      <c r="I37" s="15"/>
      <c r="J37" s="5" t="s">
        <v>195</v>
      </c>
      <c r="K37" s="5" t="n">
        <v>2050</v>
      </c>
      <c r="L37" s="5" t="str">
        <f aca="false">IF(AND(K37&gt;=Hypothèses!$B$9,K37&lt;=Hypothèses!$B$10),"actuel",IF(K37=2030,"2030",IF(K37=2050,"2050","autre")))</f>
        <v>2050</v>
      </c>
      <c r="M37" s="5"/>
      <c r="N37" s="5" t="s">
        <v>196</v>
      </c>
      <c r="O37" s="5"/>
      <c r="P37" s="5" t="s">
        <v>238</v>
      </c>
      <c r="Q37" s="5" t="s">
        <v>45</v>
      </c>
      <c r="R37" s="12" t="n">
        <f aca="false">INDEX(Hypothèses!$B$14:$B$17,MATCH(Q37,Hypothèses!$A$14:$A$17,0))</f>
        <v>1</v>
      </c>
      <c r="S37" s="15" t="n">
        <f aca="false">IF(G37="","",G37*R37)</f>
        <v>76.22</v>
      </c>
      <c r="T37" s="15" t="str">
        <f aca="false">IF(H37="","",H37*R37)</f>
        <v/>
      </c>
      <c r="U37" s="15" t="str">
        <f aca="false">IF(I37="","",I37*R37)</f>
        <v/>
      </c>
      <c r="V37" s="5" t="s">
        <v>195</v>
      </c>
      <c r="W37" s="5" t="s">
        <v>70</v>
      </c>
      <c r="X37" s="5" t="s">
        <v>198</v>
      </c>
    </row>
    <row r="38" customFormat="false" ht="15" hidden="false" customHeight="false" outlineLevel="0" collapsed="false">
      <c r="A38" s="5" t="s">
        <v>242</v>
      </c>
      <c r="B38" s="5" t="s">
        <v>64</v>
      </c>
      <c r="C38" s="5" t="s">
        <v>94</v>
      </c>
      <c r="D38" s="5" t="s">
        <v>192</v>
      </c>
      <c r="E38" s="5" t="s">
        <v>193</v>
      </c>
      <c r="F38" s="5" t="s">
        <v>206</v>
      </c>
      <c r="G38" s="15" t="n">
        <v>667.363740384615</v>
      </c>
      <c r="H38" s="15" t="n">
        <v>742.788461538461</v>
      </c>
      <c r="I38" s="15" t="n">
        <v>811.337932692308</v>
      </c>
      <c r="J38" s="5" t="s">
        <v>195</v>
      </c>
      <c r="K38" s="5" t="n">
        <v>2020</v>
      </c>
      <c r="L38" s="5" t="str">
        <f aca="false">IF(AND(K38&gt;=Hypothèses!$B$9,K38&lt;=Hypothèses!$B$10),"actuel",IF(K38=2030,"2030",IF(K38=2050,"2050","autre")))</f>
        <v>actuel</v>
      </c>
      <c r="M38" s="5"/>
      <c r="N38" s="5" t="s">
        <v>196</v>
      </c>
      <c r="O38" s="5"/>
      <c r="P38" s="5" t="s">
        <v>243</v>
      </c>
      <c r="Q38" s="5" t="s">
        <v>45</v>
      </c>
      <c r="R38" s="12" t="n">
        <f aca="false">INDEX(Hypothèses!$B$14:$B$17,MATCH(Q38,Hypothèses!$A$14:$A$17,0))</f>
        <v>1</v>
      </c>
      <c r="S38" s="15" t="n">
        <f aca="false">IF(G38="","",G38*R38)</f>
        <v>667.363740384615</v>
      </c>
      <c r="T38" s="15" t="n">
        <f aca="false">IF(H38="","",H38*R38)</f>
        <v>742.788461538461</v>
      </c>
      <c r="U38" s="15" t="n">
        <f aca="false">IF(I38="","",I38*R38)</f>
        <v>811.337932692308</v>
      </c>
      <c r="V38" s="5" t="s">
        <v>195</v>
      </c>
      <c r="W38" s="5" t="s">
        <v>70</v>
      </c>
      <c r="X38" s="5" t="s">
        <v>198</v>
      </c>
    </row>
    <row r="39" customFormat="false" ht="15" hidden="false" customHeight="false" outlineLevel="0" collapsed="false">
      <c r="A39" s="5" t="s">
        <v>244</v>
      </c>
      <c r="B39" s="5" t="s">
        <v>64</v>
      </c>
      <c r="C39" s="5" t="s">
        <v>94</v>
      </c>
      <c r="D39" s="5" t="s">
        <v>192</v>
      </c>
      <c r="E39" s="5" t="s">
        <v>193</v>
      </c>
      <c r="F39" s="5" t="s">
        <v>206</v>
      </c>
      <c r="G39" s="15" t="n">
        <v>397.199692307692</v>
      </c>
      <c r="H39" s="15" t="n">
        <v>575.897759615385</v>
      </c>
      <c r="I39" s="15" t="n">
        <v>775.768269230769</v>
      </c>
      <c r="J39" s="5" t="s">
        <v>195</v>
      </c>
      <c r="K39" s="5" t="n">
        <v>2025</v>
      </c>
      <c r="L39" s="5" t="str">
        <f aca="false">IF(AND(K39&gt;=Hypothèses!$B$9,K39&lt;=Hypothèses!$B$10),"actuel",IF(K39=2030,"2030",IF(K39=2050,"2050","autre")))</f>
        <v>actuel</v>
      </c>
      <c r="M39" s="5"/>
      <c r="N39" s="5" t="s">
        <v>196</v>
      </c>
      <c r="O39" s="5"/>
      <c r="P39" s="5" t="s">
        <v>243</v>
      </c>
      <c r="Q39" s="5" t="s">
        <v>45</v>
      </c>
      <c r="R39" s="12" t="n">
        <f aca="false">INDEX(Hypothèses!$B$14:$B$17,MATCH(Q39,Hypothèses!$A$14:$A$17,0))</f>
        <v>1</v>
      </c>
      <c r="S39" s="15" t="n">
        <f aca="false">IF(G39="","",G39*R39)</f>
        <v>397.199692307692</v>
      </c>
      <c r="T39" s="15" t="n">
        <f aca="false">IF(H39="","",H39*R39)</f>
        <v>575.897759615385</v>
      </c>
      <c r="U39" s="15" t="n">
        <f aca="false">IF(I39="","",I39*R39)</f>
        <v>775.768269230769</v>
      </c>
      <c r="V39" s="5" t="s">
        <v>195</v>
      </c>
      <c r="W39" s="5" t="s">
        <v>70</v>
      </c>
      <c r="X39" s="5" t="s">
        <v>198</v>
      </c>
    </row>
    <row r="40" customFormat="false" ht="15" hidden="false" customHeight="false" outlineLevel="0" collapsed="false">
      <c r="A40" s="5" t="s">
        <v>245</v>
      </c>
      <c r="B40" s="5" t="s">
        <v>64</v>
      </c>
      <c r="C40" s="5" t="s">
        <v>94</v>
      </c>
      <c r="D40" s="5" t="s">
        <v>192</v>
      </c>
      <c r="E40" s="5" t="s">
        <v>193</v>
      </c>
      <c r="F40" s="5" t="s">
        <v>206</v>
      </c>
      <c r="G40" s="15" t="n">
        <v>245.6035</v>
      </c>
      <c r="H40" s="15" t="n">
        <v>444.627230769231</v>
      </c>
      <c r="I40" s="15" t="n">
        <v>744.4325</v>
      </c>
      <c r="J40" s="5" t="s">
        <v>195</v>
      </c>
      <c r="K40" s="5" t="n">
        <v>2030</v>
      </c>
      <c r="L40" s="5" t="str">
        <f aca="false">IF(AND(K40&gt;=Hypothèses!$B$9,K40&lt;=Hypothèses!$B$10),"actuel",IF(K40=2030,"2030",IF(K40=2050,"2050","autre")))</f>
        <v>2030</v>
      </c>
      <c r="M40" s="5"/>
      <c r="N40" s="5" t="s">
        <v>196</v>
      </c>
      <c r="O40" s="5"/>
      <c r="P40" s="5" t="s">
        <v>243</v>
      </c>
      <c r="Q40" s="5" t="s">
        <v>45</v>
      </c>
      <c r="R40" s="12" t="n">
        <f aca="false">INDEX(Hypothèses!$B$14:$B$17,MATCH(Q40,Hypothèses!$A$14:$A$17,0))</f>
        <v>1</v>
      </c>
      <c r="S40" s="15" t="n">
        <f aca="false">IF(G40="","",G40*R40)</f>
        <v>245.6035</v>
      </c>
      <c r="T40" s="15" t="n">
        <f aca="false">IF(H40="","",H40*R40)</f>
        <v>444.627230769231</v>
      </c>
      <c r="U40" s="15" t="n">
        <f aca="false">IF(I40="","",I40*R40)</f>
        <v>744.4325</v>
      </c>
      <c r="V40" s="5" t="s">
        <v>195</v>
      </c>
      <c r="W40" s="5" t="s">
        <v>70</v>
      </c>
      <c r="X40" s="5" t="s">
        <v>198</v>
      </c>
    </row>
    <row r="41" customFormat="false" ht="15" hidden="false" customHeight="false" outlineLevel="0" collapsed="false">
      <c r="A41" s="5" t="s">
        <v>246</v>
      </c>
      <c r="B41" s="5" t="s">
        <v>64</v>
      </c>
      <c r="C41" s="5" t="s">
        <v>94</v>
      </c>
      <c r="D41" s="5" t="s">
        <v>192</v>
      </c>
      <c r="E41" s="5" t="s">
        <v>193</v>
      </c>
      <c r="F41" s="5" t="s">
        <v>206</v>
      </c>
      <c r="G41" s="15" t="n">
        <v>177.850298076923</v>
      </c>
      <c r="H41" s="15" t="n">
        <v>379.415355769231</v>
      </c>
      <c r="I41" s="15" t="n">
        <v>720.718730769231</v>
      </c>
      <c r="J41" s="5" t="s">
        <v>195</v>
      </c>
      <c r="K41" s="5" t="n">
        <v>2035</v>
      </c>
      <c r="L41" s="5" t="str">
        <f aca="false">IF(AND(K41&gt;=Hypothèses!$B$9,K41&lt;=Hypothèses!$B$10),"actuel",IF(K41=2030,"2030",IF(K41=2050,"2050","autre")))</f>
        <v>autre</v>
      </c>
      <c r="M41" s="5"/>
      <c r="N41" s="5" t="s">
        <v>196</v>
      </c>
      <c r="O41" s="5"/>
      <c r="P41" s="5" t="s">
        <v>243</v>
      </c>
      <c r="Q41" s="5" t="s">
        <v>45</v>
      </c>
      <c r="R41" s="12" t="n">
        <f aca="false">INDEX(Hypothèses!$B$14:$B$17,MATCH(Q41,Hypothèses!$A$14:$A$17,0))</f>
        <v>1</v>
      </c>
      <c r="S41" s="15" t="n">
        <f aca="false">IF(G41="","",G41*R41)</f>
        <v>177.850298076923</v>
      </c>
      <c r="T41" s="15" t="n">
        <f aca="false">IF(H41="","",H41*R41)</f>
        <v>379.415355769231</v>
      </c>
      <c r="U41" s="15" t="n">
        <f aca="false">IF(I41="","",I41*R41)</f>
        <v>720.718730769231</v>
      </c>
      <c r="V41" s="5" t="s">
        <v>195</v>
      </c>
      <c r="W41" s="5" t="s">
        <v>70</v>
      </c>
      <c r="X41" s="5" t="s">
        <v>198</v>
      </c>
    </row>
    <row r="42" customFormat="false" ht="15" hidden="false" customHeight="false" outlineLevel="0" collapsed="false">
      <c r="A42" s="5" t="s">
        <v>247</v>
      </c>
      <c r="B42" s="5" t="s">
        <v>64</v>
      </c>
      <c r="C42" s="5" t="s">
        <v>94</v>
      </c>
      <c r="D42" s="5" t="s">
        <v>192</v>
      </c>
      <c r="E42" s="5" t="s">
        <v>193</v>
      </c>
      <c r="F42" s="5" t="s">
        <v>206</v>
      </c>
      <c r="G42" s="15" t="n">
        <v>150.749413461538</v>
      </c>
      <c r="H42" s="15" t="n">
        <v>343.844701923077</v>
      </c>
      <c r="I42" s="15" t="n">
        <v>701.239846153846</v>
      </c>
      <c r="J42" s="5" t="s">
        <v>195</v>
      </c>
      <c r="K42" s="5" t="n">
        <v>2040</v>
      </c>
      <c r="L42" s="5" t="str">
        <f aca="false">IF(AND(K42&gt;=Hypothèses!$B$9,K42&lt;=Hypothèses!$B$10),"actuel",IF(K42=2030,"2030",IF(K42=2050,"2050","autre")))</f>
        <v>autre</v>
      </c>
      <c r="M42" s="5"/>
      <c r="N42" s="5" t="s">
        <v>196</v>
      </c>
      <c r="O42" s="5"/>
      <c r="P42" s="5" t="s">
        <v>243</v>
      </c>
      <c r="Q42" s="5" t="s">
        <v>45</v>
      </c>
      <c r="R42" s="12" t="n">
        <f aca="false">INDEX(Hypothèses!$B$14:$B$17,MATCH(Q42,Hypothèses!$A$14:$A$17,0))</f>
        <v>1</v>
      </c>
      <c r="S42" s="15" t="n">
        <f aca="false">IF(G42="","",G42*R42)</f>
        <v>150.749413461538</v>
      </c>
      <c r="T42" s="15" t="n">
        <f aca="false">IF(H42="","",H42*R42)</f>
        <v>343.844701923077</v>
      </c>
      <c r="U42" s="15" t="n">
        <f aca="false">IF(I42="","",I42*R42)</f>
        <v>701.239846153846</v>
      </c>
      <c r="V42" s="5" t="s">
        <v>195</v>
      </c>
      <c r="W42" s="5" t="s">
        <v>70</v>
      </c>
      <c r="X42" s="5" t="s">
        <v>198</v>
      </c>
    </row>
    <row r="43" customFormat="false" ht="15" hidden="false" customHeight="false" outlineLevel="0" collapsed="false">
      <c r="A43" s="5" t="s">
        <v>248</v>
      </c>
      <c r="B43" s="5" t="s">
        <v>64</v>
      </c>
      <c r="C43" s="5" t="s">
        <v>94</v>
      </c>
      <c r="D43" s="5" t="s">
        <v>192</v>
      </c>
      <c r="E43" s="5" t="s">
        <v>193</v>
      </c>
      <c r="F43" s="5" t="s">
        <v>206</v>
      </c>
      <c r="G43" s="15" t="n">
        <v>133.811855769231</v>
      </c>
      <c r="H43" s="15" t="n">
        <v>321.825480769231</v>
      </c>
      <c r="I43" s="15" t="n">
        <v>685.995846153846</v>
      </c>
      <c r="J43" s="5" t="s">
        <v>195</v>
      </c>
      <c r="K43" s="5" t="n">
        <v>2045</v>
      </c>
      <c r="L43" s="5" t="str">
        <f aca="false">IF(AND(K43&gt;=Hypothèses!$B$9,K43&lt;=Hypothèses!$B$10),"actuel",IF(K43=2030,"2030",IF(K43=2050,"2050","autre")))</f>
        <v>autre</v>
      </c>
      <c r="M43" s="5"/>
      <c r="N43" s="5" t="s">
        <v>196</v>
      </c>
      <c r="O43" s="5"/>
      <c r="P43" s="5" t="s">
        <v>243</v>
      </c>
      <c r="Q43" s="5" t="s">
        <v>45</v>
      </c>
      <c r="R43" s="12" t="n">
        <f aca="false">INDEX(Hypothèses!$B$14:$B$17,MATCH(Q43,Hypothèses!$A$14:$A$17,0))</f>
        <v>1</v>
      </c>
      <c r="S43" s="15" t="n">
        <f aca="false">IF(G43="","",G43*R43)</f>
        <v>133.811855769231</v>
      </c>
      <c r="T43" s="15" t="n">
        <f aca="false">IF(H43="","",H43*R43)</f>
        <v>321.825480769231</v>
      </c>
      <c r="U43" s="15" t="n">
        <f aca="false">IF(I43="","",I43*R43)</f>
        <v>685.995846153846</v>
      </c>
      <c r="V43" s="5" t="s">
        <v>195</v>
      </c>
      <c r="W43" s="5" t="s">
        <v>70</v>
      </c>
      <c r="X43" s="5" t="s">
        <v>198</v>
      </c>
    </row>
    <row r="44" customFormat="false" ht="15" hidden="false" customHeight="false" outlineLevel="0" collapsed="false">
      <c r="A44" s="5" t="s">
        <v>249</v>
      </c>
      <c r="B44" s="5" t="s">
        <v>64</v>
      </c>
      <c r="C44" s="5" t="s">
        <v>94</v>
      </c>
      <c r="D44" s="5" t="s">
        <v>192</v>
      </c>
      <c r="E44" s="5" t="s">
        <v>193</v>
      </c>
      <c r="F44" s="5" t="s">
        <v>206</v>
      </c>
      <c r="G44" s="15" t="n">
        <v>129.576971153846</v>
      </c>
      <c r="H44" s="15" t="n">
        <v>308.009615384615</v>
      </c>
      <c r="I44" s="15" t="n">
        <v>673.292182692308</v>
      </c>
      <c r="J44" s="5" t="s">
        <v>195</v>
      </c>
      <c r="K44" s="5" t="n">
        <v>2050</v>
      </c>
      <c r="L44" s="5" t="str">
        <f aca="false">IF(AND(K44&gt;=Hypothèses!$B$9,K44&lt;=Hypothèses!$B$10),"actuel",IF(K44=2030,"2030",IF(K44=2050,"2050","autre")))</f>
        <v>2050</v>
      </c>
      <c r="M44" s="5"/>
      <c r="N44" s="5" t="s">
        <v>196</v>
      </c>
      <c r="O44" s="5"/>
      <c r="P44" s="5" t="s">
        <v>243</v>
      </c>
      <c r="Q44" s="5" t="s">
        <v>45</v>
      </c>
      <c r="R44" s="12" t="n">
        <f aca="false">INDEX(Hypothèses!$B$14:$B$17,MATCH(Q44,Hypothèses!$A$14:$A$17,0))</f>
        <v>1</v>
      </c>
      <c r="S44" s="15" t="n">
        <f aca="false">IF(G44="","",G44*R44)</f>
        <v>129.576971153846</v>
      </c>
      <c r="T44" s="15" t="n">
        <f aca="false">IF(H44="","",H44*R44)</f>
        <v>308.009615384615</v>
      </c>
      <c r="U44" s="15" t="n">
        <f aca="false">IF(I44="","",I44*R44)</f>
        <v>673.292182692308</v>
      </c>
      <c r="V44" s="5" t="s">
        <v>195</v>
      </c>
      <c r="W44" s="5" t="s">
        <v>70</v>
      </c>
      <c r="X44" s="5" t="s">
        <v>198</v>
      </c>
    </row>
    <row r="45" customFormat="false" ht="15" hidden="false" customHeight="false" outlineLevel="0" collapsed="false">
      <c r="A45" s="5" t="s">
        <v>250</v>
      </c>
      <c r="B45" s="5" t="s">
        <v>64</v>
      </c>
      <c r="C45" s="5" t="s">
        <v>98</v>
      </c>
      <c r="D45" s="5" t="s">
        <v>192</v>
      </c>
      <c r="E45" s="5" t="s">
        <v>193</v>
      </c>
      <c r="F45" s="5" t="s">
        <v>206</v>
      </c>
      <c r="G45" s="15"/>
      <c r="H45" s="15" t="n">
        <v>1661.29032258065</v>
      </c>
      <c r="I45" s="15"/>
      <c r="J45" s="5" t="s">
        <v>195</v>
      </c>
      <c r="K45" s="5" t="n">
        <v>2020</v>
      </c>
      <c r="L45" s="5" t="str">
        <f aca="false">IF(AND(K45&gt;=Hypothèses!$B$9,K45&lt;=Hypothèses!$B$10),"actuel",IF(K45=2030,"2030",IF(K45=2050,"2050","autre")))</f>
        <v>actuel</v>
      </c>
      <c r="M45" s="5"/>
      <c r="N45" s="5" t="s">
        <v>196</v>
      </c>
      <c r="O45" s="5"/>
      <c r="P45" s="5" t="s">
        <v>251</v>
      </c>
      <c r="Q45" s="5" t="s">
        <v>45</v>
      </c>
      <c r="R45" s="12" t="n">
        <f aca="false">INDEX(Hypothèses!$B$14:$B$17,MATCH(Q45,Hypothèses!$A$14:$A$17,0))</f>
        <v>1</v>
      </c>
      <c r="S45" s="15" t="str">
        <f aca="false">IF(G45="","",G45*R45)</f>
        <v/>
      </c>
      <c r="T45" s="15" t="n">
        <f aca="false">IF(H45="","",H45*R45)</f>
        <v>1661.29032258065</v>
      </c>
      <c r="U45" s="15" t="str">
        <f aca="false">IF(I45="","",I45*R45)</f>
        <v/>
      </c>
      <c r="V45" s="5" t="s">
        <v>195</v>
      </c>
      <c r="W45" s="5" t="s">
        <v>70</v>
      </c>
      <c r="X45" s="5" t="s">
        <v>198</v>
      </c>
    </row>
    <row r="46" customFormat="false" ht="15" hidden="false" customHeight="false" outlineLevel="0" collapsed="false">
      <c r="A46" s="5" t="s">
        <v>252</v>
      </c>
      <c r="B46" s="5" t="s">
        <v>64</v>
      </c>
      <c r="C46" s="5" t="s">
        <v>98</v>
      </c>
      <c r="D46" s="5" t="s">
        <v>192</v>
      </c>
      <c r="E46" s="5" t="s">
        <v>193</v>
      </c>
      <c r="F46" s="5" t="s">
        <v>206</v>
      </c>
      <c r="G46" s="15"/>
      <c r="H46" s="15" t="n">
        <v>1228.6504516129</v>
      </c>
      <c r="I46" s="15"/>
      <c r="J46" s="5" t="s">
        <v>195</v>
      </c>
      <c r="K46" s="5" t="n">
        <v>2021</v>
      </c>
      <c r="L46" s="5" t="str">
        <f aca="false">IF(AND(K46&gt;=Hypothèses!$B$9,K46&lt;=Hypothèses!$B$10),"actuel",IF(K46=2030,"2030",IF(K46=2050,"2050","autre")))</f>
        <v>actuel</v>
      </c>
      <c r="M46" s="5"/>
      <c r="N46" s="5" t="s">
        <v>196</v>
      </c>
      <c r="O46" s="5"/>
      <c r="P46" s="5" t="s">
        <v>251</v>
      </c>
      <c r="Q46" s="5" t="s">
        <v>45</v>
      </c>
      <c r="R46" s="12" t="n">
        <f aca="false">INDEX(Hypothèses!$B$14:$B$17,MATCH(Q46,Hypothèses!$A$14:$A$17,0))</f>
        <v>1</v>
      </c>
      <c r="S46" s="15" t="str">
        <f aca="false">IF(G46="","",G46*R46)</f>
        <v/>
      </c>
      <c r="T46" s="15" t="n">
        <f aca="false">IF(H46="","",H46*R46)</f>
        <v>1228.6504516129</v>
      </c>
      <c r="U46" s="15" t="str">
        <f aca="false">IF(I46="","",I46*R46)</f>
        <v/>
      </c>
      <c r="V46" s="5" t="s">
        <v>195</v>
      </c>
      <c r="W46" s="5" t="s">
        <v>70</v>
      </c>
      <c r="X46" s="5" t="s">
        <v>198</v>
      </c>
    </row>
    <row r="47" customFormat="false" ht="15" hidden="false" customHeight="false" outlineLevel="0" collapsed="false">
      <c r="A47" s="5" t="s">
        <v>253</v>
      </c>
      <c r="B47" s="5" t="s">
        <v>64</v>
      </c>
      <c r="C47" s="5" t="s">
        <v>98</v>
      </c>
      <c r="D47" s="5" t="s">
        <v>192</v>
      </c>
      <c r="E47" s="5" t="s">
        <v>193</v>
      </c>
      <c r="F47" s="5" t="s">
        <v>206</v>
      </c>
      <c r="G47" s="15"/>
      <c r="H47" s="15" t="n">
        <v>1084.10490322581</v>
      </c>
      <c r="I47" s="15"/>
      <c r="J47" s="5" t="s">
        <v>195</v>
      </c>
      <c r="K47" s="5" t="n">
        <v>2022</v>
      </c>
      <c r="L47" s="5" t="str">
        <f aca="false">IF(AND(K47&gt;=Hypothèses!$B$9,K47&lt;=Hypothèses!$B$10),"actuel",IF(K47=2030,"2030",IF(K47=2050,"2050","autre")))</f>
        <v>actuel</v>
      </c>
      <c r="M47" s="5"/>
      <c r="N47" s="5" t="s">
        <v>196</v>
      </c>
      <c r="O47" s="5"/>
      <c r="P47" s="5" t="s">
        <v>251</v>
      </c>
      <c r="Q47" s="5" t="s">
        <v>45</v>
      </c>
      <c r="R47" s="12" t="n">
        <f aca="false">INDEX(Hypothèses!$B$14:$B$17,MATCH(Q47,Hypothèses!$A$14:$A$17,0))</f>
        <v>1</v>
      </c>
      <c r="S47" s="15" t="str">
        <f aca="false">IF(G47="","",G47*R47)</f>
        <v/>
      </c>
      <c r="T47" s="15" t="n">
        <f aca="false">IF(H47="","",H47*R47)</f>
        <v>1084.10490322581</v>
      </c>
      <c r="U47" s="15" t="str">
        <f aca="false">IF(I47="","",I47*R47)</f>
        <v/>
      </c>
      <c r="V47" s="5" t="s">
        <v>195</v>
      </c>
      <c r="W47" s="5" t="s">
        <v>70</v>
      </c>
      <c r="X47" s="5" t="s">
        <v>198</v>
      </c>
    </row>
    <row r="48" customFormat="false" ht="15" hidden="false" customHeight="false" outlineLevel="0" collapsed="false">
      <c r="A48" s="5" t="s">
        <v>254</v>
      </c>
      <c r="B48" s="5" t="s">
        <v>64</v>
      </c>
      <c r="C48" s="5" t="s">
        <v>98</v>
      </c>
      <c r="D48" s="5" t="s">
        <v>192</v>
      </c>
      <c r="E48" s="5" t="s">
        <v>193</v>
      </c>
      <c r="F48" s="5" t="s">
        <v>206</v>
      </c>
      <c r="G48" s="15"/>
      <c r="H48" s="15" t="n">
        <v>991.757096774194</v>
      </c>
      <c r="I48" s="15"/>
      <c r="J48" s="5" t="s">
        <v>195</v>
      </c>
      <c r="K48" s="5" t="n">
        <v>2023</v>
      </c>
      <c r="L48" s="5" t="str">
        <f aca="false">IF(AND(K48&gt;=Hypothèses!$B$9,K48&lt;=Hypothèses!$B$10),"actuel",IF(K48=2030,"2030",IF(K48=2050,"2050","autre")))</f>
        <v>actuel</v>
      </c>
      <c r="M48" s="5"/>
      <c r="N48" s="5" t="s">
        <v>196</v>
      </c>
      <c r="O48" s="5"/>
      <c r="P48" s="5" t="s">
        <v>251</v>
      </c>
      <c r="Q48" s="5" t="s">
        <v>45</v>
      </c>
      <c r="R48" s="12" t="n">
        <f aca="false">INDEX(Hypothèses!$B$14:$B$17,MATCH(Q48,Hypothèses!$A$14:$A$17,0))</f>
        <v>1</v>
      </c>
      <c r="S48" s="15" t="str">
        <f aca="false">IF(G48="","",G48*R48)</f>
        <v/>
      </c>
      <c r="T48" s="15" t="n">
        <f aca="false">IF(H48="","",H48*R48)</f>
        <v>991.757096774194</v>
      </c>
      <c r="U48" s="15" t="str">
        <f aca="false">IF(I48="","",I48*R48)</f>
        <v/>
      </c>
      <c r="V48" s="5" t="s">
        <v>195</v>
      </c>
      <c r="W48" s="5" t="s">
        <v>70</v>
      </c>
      <c r="X48" s="5" t="s">
        <v>198</v>
      </c>
    </row>
    <row r="49" customFormat="false" ht="15" hidden="false" customHeight="false" outlineLevel="0" collapsed="false">
      <c r="A49" s="5" t="s">
        <v>255</v>
      </c>
      <c r="B49" s="5" t="s">
        <v>64</v>
      </c>
      <c r="C49" s="5" t="s">
        <v>98</v>
      </c>
      <c r="D49" s="5" t="s">
        <v>192</v>
      </c>
      <c r="E49" s="5" t="s">
        <v>193</v>
      </c>
      <c r="F49" s="5" t="s">
        <v>206</v>
      </c>
      <c r="G49" s="15"/>
      <c r="H49" s="15" t="n">
        <v>935.539032258065</v>
      </c>
      <c r="I49" s="15"/>
      <c r="J49" s="5" t="s">
        <v>195</v>
      </c>
      <c r="K49" s="5" t="n">
        <v>2024</v>
      </c>
      <c r="L49" s="5" t="str">
        <f aca="false">IF(AND(K49&gt;=Hypothèses!$B$9,K49&lt;=Hypothèses!$B$10),"actuel",IF(K49=2030,"2030",IF(K49=2050,"2050","autre")))</f>
        <v>actuel</v>
      </c>
      <c r="M49" s="5"/>
      <c r="N49" s="5" t="s">
        <v>196</v>
      </c>
      <c r="O49" s="5"/>
      <c r="P49" s="5" t="s">
        <v>251</v>
      </c>
      <c r="Q49" s="5" t="s">
        <v>45</v>
      </c>
      <c r="R49" s="12" t="n">
        <f aca="false">INDEX(Hypothèses!$B$14:$B$17,MATCH(Q49,Hypothèses!$A$14:$A$17,0))</f>
        <v>1</v>
      </c>
      <c r="S49" s="15" t="str">
        <f aca="false">IF(G49="","",G49*R49)</f>
        <v/>
      </c>
      <c r="T49" s="15" t="n">
        <f aca="false">IF(H49="","",H49*R49)</f>
        <v>935.539032258065</v>
      </c>
      <c r="U49" s="15" t="str">
        <f aca="false">IF(I49="","",I49*R49)</f>
        <v/>
      </c>
      <c r="V49" s="5" t="s">
        <v>195</v>
      </c>
      <c r="W49" s="5" t="s">
        <v>70</v>
      </c>
      <c r="X49" s="5" t="s">
        <v>198</v>
      </c>
    </row>
    <row r="50" customFormat="false" ht="15" hidden="false" customHeight="false" outlineLevel="0" collapsed="false">
      <c r="A50" s="5" t="s">
        <v>256</v>
      </c>
      <c r="B50" s="5" t="s">
        <v>64</v>
      </c>
      <c r="C50" s="5" t="s">
        <v>98</v>
      </c>
      <c r="D50" s="5" t="s">
        <v>192</v>
      </c>
      <c r="E50" s="5" t="s">
        <v>193</v>
      </c>
      <c r="F50" s="5" t="s">
        <v>206</v>
      </c>
      <c r="G50" s="15"/>
      <c r="H50" s="15" t="n">
        <v>911.450322580645</v>
      </c>
      <c r="I50" s="15"/>
      <c r="J50" s="5" t="s">
        <v>195</v>
      </c>
      <c r="K50" s="5" t="n">
        <v>2025</v>
      </c>
      <c r="L50" s="5" t="str">
        <f aca="false">IF(AND(K50&gt;=Hypothèses!$B$9,K50&lt;=Hypothèses!$B$10),"actuel",IF(K50=2030,"2030",IF(K50=2050,"2050","autre")))</f>
        <v>actuel</v>
      </c>
      <c r="M50" s="5"/>
      <c r="N50" s="5" t="s">
        <v>196</v>
      </c>
      <c r="O50" s="5"/>
      <c r="P50" s="5" t="s">
        <v>251</v>
      </c>
      <c r="Q50" s="5" t="s">
        <v>45</v>
      </c>
      <c r="R50" s="12" t="n">
        <f aca="false">INDEX(Hypothèses!$B$14:$B$17,MATCH(Q50,Hypothèses!$A$14:$A$17,0))</f>
        <v>1</v>
      </c>
      <c r="S50" s="15" t="str">
        <f aca="false">IF(G50="","",G50*R50)</f>
        <v/>
      </c>
      <c r="T50" s="15" t="n">
        <f aca="false">IF(H50="","",H50*R50)</f>
        <v>911.450322580645</v>
      </c>
      <c r="U50" s="15" t="str">
        <f aca="false">IF(I50="","",I50*R50)</f>
        <v/>
      </c>
      <c r="V50" s="5" t="s">
        <v>195</v>
      </c>
      <c r="W50" s="5" t="s">
        <v>70</v>
      </c>
      <c r="X50" s="5" t="s">
        <v>198</v>
      </c>
    </row>
    <row r="51" customFormat="false" ht="15" hidden="false" customHeight="false" outlineLevel="0" collapsed="false">
      <c r="A51" s="5" t="s">
        <v>257</v>
      </c>
      <c r="B51" s="5" t="s">
        <v>64</v>
      </c>
      <c r="C51" s="5" t="s">
        <v>98</v>
      </c>
      <c r="D51" s="5" t="s">
        <v>192</v>
      </c>
      <c r="E51" s="5" t="s">
        <v>193</v>
      </c>
      <c r="F51" s="5" t="s">
        <v>206</v>
      </c>
      <c r="G51" s="15"/>
      <c r="H51" s="15" t="n">
        <v>895.388967741936</v>
      </c>
      <c r="I51" s="15"/>
      <c r="J51" s="5" t="s">
        <v>195</v>
      </c>
      <c r="K51" s="5" t="n">
        <v>2026</v>
      </c>
      <c r="L51" s="5" t="str">
        <f aca="false">IF(AND(K51&gt;=Hypothèses!$B$9,K51&lt;=Hypothèses!$B$10),"actuel",IF(K51=2030,"2030",IF(K51=2050,"2050","autre")))</f>
        <v>autre</v>
      </c>
      <c r="M51" s="5"/>
      <c r="N51" s="5" t="s">
        <v>196</v>
      </c>
      <c r="O51" s="5"/>
      <c r="P51" s="5" t="s">
        <v>251</v>
      </c>
      <c r="Q51" s="5" t="s">
        <v>45</v>
      </c>
      <c r="R51" s="12" t="n">
        <f aca="false">INDEX(Hypothèses!$B$14:$B$17,MATCH(Q51,Hypothèses!$A$14:$A$17,0))</f>
        <v>1</v>
      </c>
      <c r="S51" s="15" t="str">
        <f aca="false">IF(G51="","",G51*R51)</f>
        <v/>
      </c>
      <c r="T51" s="15" t="n">
        <f aca="false">IF(H51="","",H51*R51)</f>
        <v>895.388967741936</v>
      </c>
      <c r="U51" s="15" t="str">
        <f aca="false">IF(I51="","",I51*R51)</f>
        <v/>
      </c>
      <c r="V51" s="5" t="s">
        <v>195</v>
      </c>
      <c r="W51" s="5" t="s">
        <v>70</v>
      </c>
      <c r="X51" s="5" t="s">
        <v>198</v>
      </c>
    </row>
    <row r="52" customFormat="false" ht="15" hidden="false" customHeight="false" outlineLevel="0" collapsed="false">
      <c r="A52" s="5" t="s">
        <v>258</v>
      </c>
      <c r="B52" s="5" t="s">
        <v>64</v>
      </c>
      <c r="C52" s="5" t="s">
        <v>98</v>
      </c>
      <c r="D52" s="5" t="s">
        <v>192</v>
      </c>
      <c r="E52" s="5" t="s">
        <v>193</v>
      </c>
      <c r="F52" s="5" t="s">
        <v>206</v>
      </c>
      <c r="G52" s="15"/>
      <c r="H52" s="15" t="n">
        <v>875.313935483871</v>
      </c>
      <c r="I52" s="15"/>
      <c r="J52" s="5" t="s">
        <v>195</v>
      </c>
      <c r="K52" s="5" t="n">
        <v>2027</v>
      </c>
      <c r="L52" s="5" t="str">
        <f aca="false">IF(AND(K52&gt;=Hypothèses!$B$9,K52&lt;=Hypothèses!$B$10),"actuel",IF(K52=2030,"2030",IF(K52=2050,"2050","autre")))</f>
        <v>autre</v>
      </c>
      <c r="M52" s="5"/>
      <c r="N52" s="5" t="s">
        <v>196</v>
      </c>
      <c r="O52" s="5"/>
      <c r="P52" s="5" t="s">
        <v>251</v>
      </c>
      <c r="Q52" s="5" t="s">
        <v>45</v>
      </c>
      <c r="R52" s="12" t="n">
        <f aca="false">INDEX(Hypothèses!$B$14:$B$17,MATCH(Q52,Hypothèses!$A$14:$A$17,0))</f>
        <v>1</v>
      </c>
      <c r="S52" s="15" t="str">
        <f aca="false">IF(G52="","",G52*R52)</f>
        <v/>
      </c>
      <c r="T52" s="15" t="n">
        <f aca="false">IF(H52="","",H52*R52)</f>
        <v>875.313935483871</v>
      </c>
      <c r="U52" s="15" t="str">
        <f aca="false">IF(I52="","",I52*R52)</f>
        <v/>
      </c>
      <c r="V52" s="5" t="s">
        <v>195</v>
      </c>
      <c r="W52" s="5" t="s">
        <v>70</v>
      </c>
      <c r="X52" s="5" t="s">
        <v>198</v>
      </c>
    </row>
    <row r="53" customFormat="false" ht="15" hidden="false" customHeight="false" outlineLevel="0" collapsed="false">
      <c r="A53" s="5" t="s">
        <v>259</v>
      </c>
      <c r="B53" s="5" t="s">
        <v>64</v>
      </c>
      <c r="C53" s="5" t="s">
        <v>98</v>
      </c>
      <c r="D53" s="5" t="s">
        <v>192</v>
      </c>
      <c r="E53" s="5" t="s">
        <v>193</v>
      </c>
      <c r="F53" s="5" t="s">
        <v>206</v>
      </c>
      <c r="G53" s="15"/>
      <c r="H53" s="15" t="n">
        <v>847.204903225806</v>
      </c>
      <c r="I53" s="15"/>
      <c r="J53" s="5" t="s">
        <v>195</v>
      </c>
      <c r="K53" s="5" t="n">
        <v>2028</v>
      </c>
      <c r="L53" s="5" t="str">
        <f aca="false">IF(AND(K53&gt;=Hypothèses!$B$9,K53&lt;=Hypothèses!$B$10),"actuel",IF(K53=2030,"2030",IF(K53=2050,"2050","autre")))</f>
        <v>autre</v>
      </c>
      <c r="M53" s="5"/>
      <c r="N53" s="5" t="s">
        <v>196</v>
      </c>
      <c r="O53" s="5"/>
      <c r="P53" s="5" t="s">
        <v>251</v>
      </c>
      <c r="Q53" s="5" t="s">
        <v>45</v>
      </c>
      <c r="R53" s="12" t="n">
        <f aca="false">INDEX(Hypothèses!$B$14:$B$17,MATCH(Q53,Hypothèses!$A$14:$A$17,0))</f>
        <v>1</v>
      </c>
      <c r="S53" s="15" t="str">
        <f aca="false">IF(G53="","",G53*R53)</f>
        <v/>
      </c>
      <c r="T53" s="15" t="n">
        <f aca="false">IF(H53="","",H53*R53)</f>
        <v>847.204903225806</v>
      </c>
      <c r="U53" s="15" t="str">
        <f aca="false">IF(I53="","",I53*R53)</f>
        <v/>
      </c>
      <c r="V53" s="5" t="s">
        <v>195</v>
      </c>
      <c r="W53" s="5" t="s">
        <v>70</v>
      </c>
      <c r="X53" s="5" t="s">
        <v>198</v>
      </c>
    </row>
    <row r="54" customFormat="false" ht="15" hidden="false" customHeight="false" outlineLevel="0" collapsed="false">
      <c r="A54" s="5" t="s">
        <v>260</v>
      </c>
      <c r="B54" s="5" t="s">
        <v>64</v>
      </c>
      <c r="C54" s="5" t="s">
        <v>98</v>
      </c>
      <c r="D54" s="5" t="s">
        <v>192</v>
      </c>
      <c r="E54" s="5" t="s">
        <v>193</v>
      </c>
      <c r="F54" s="5" t="s">
        <v>206</v>
      </c>
      <c r="G54" s="15"/>
      <c r="H54" s="15" t="n">
        <v>827.129870967742</v>
      </c>
      <c r="I54" s="15"/>
      <c r="J54" s="5" t="s">
        <v>195</v>
      </c>
      <c r="K54" s="5" t="n">
        <v>2029</v>
      </c>
      <c r="L54" s="5" t="str">
        <f aca="false">IF(AND(K54&gt;=Hypothèses!$B$9,K54&lt;=Hypothèses!$B$10),"actuel",IF(K54=2030,"2030",IF(K54=2050,"2050","autre")))</f>
        <v>autre</v>
      </c>
      <c r="M54" s="5"/>
      <c r="N54" s="5" t="s">
        <v>196</v>
      </c>
      <c r="O54" s="5"/>
      <c r="P54" s="5" t="s">
        <v>251</v>
      </c>
      <c r="Q54" s="5" t="s">
        <v>45</v>
      </c>
      <c r="R54" s="12" t="n">
        <f aca="false">INDEX(Hypothèses!$B$14:$B$17,MATCH(Q54,Hypothèses!$A$14:$A$17,0))</f>
        <v>1</v>
      </c>
      <c r="S54" s="15" t="str">
        <f aca="false">IF(G54="","",G54*R54)</f>
        <v/>
      </c>
      <c r="T54" s="15" t="n">
        <f aca="false">IF(H54="","",H54*R54)</f>
        <v>827.129870967742</v>
      </c>
      <c r="U54" s="15" t="str">
        <f aca="false">IF(I54="","",I54*R54)</f>
        <v/>
      </c>
      <c r="V54" s="5" t="s">
        <v>195</v>
      </c>
      <c r="W54" s="5" t="s">
        <v>70</v>
      </c>
      <c r="X54" s="5" t="s">
        <v>198</v>
      </c>
    </row>
    <row r="55" customFormat="false" ht="15" hidden="false" customHeight="false" outlineLevel="0" collapsed="false">
      <c r="A55" s="5" t="s">
        <v>261</v>
      </c>
      <c r="B55" s="5" t="s">
        <v>64</v>
      </c>
      <c r="C55" s="5" t="s">
        <v>98</v>
      </c>
      <c r="D55" s="5" t="s">
        <v>192</v>
      </c>
      <c r="E55" s="5" t="s">
        <v>193</v>
      </c>
      <c r="F55" s="5" t="s">
        <v>206</v>
      </c>
      <c r="G55" s="15"/>
      <c r="H55" s="15" t="n">
        <v>803.041161290323</v>
      </c>
      <c r="I55" s="15"/>
      <c r="J55" s="5" t="s">
        <v>195</v>
      </c>
      <c r="K55" s="5" t="n">
        <v>2030</v>
      </c>
      <c r="L55" s="5" t="str">
        <f aca="false">IF(AND(K55&gt;=Hypothèses!$B$9,K55&lt;=Hypothèses!$B$10),"actuel",IF(K55=2030,"2030",IF(K55=2050,"2050","autre")))</f>
        <v>2030</v>
      </c>
      <c r="M55" s="5"/>
      <c r="N55" s="5" t="s">
        <v>196</v>
      </c>
      <c r="O55" s="5"/>
      <c r="P55" s="5" t="s">
        <v>251</v>
      </c>
      <c r="Q55" s="5" t="s">
        <v>45</v>
      </c>
      <c r="R55" s="12" t="n">
        <f aca="false">INDEX(Hypothèses!$B$14:$B$17,MATCH(Q55,Hypothèses!$A$14:$A$17,0))</f>
        <v>1</v>
      </c>
      <c r="S55" s="15" t="str">
        <f aca="false">IF(G55="","",G55*R55)</f>
        <v/>
      </c>
      <c r="T55" s="15" t="n">
        <f aca="false">IF(H55="","",H55*R55)</f>
        <v>803.041161290323</v>
      </c>
      <c r="U55" s="15" t="str">
        <f aca="false">IF(I55="","",I55*R55)</f>
        <v/>
      </c>
      <c r="V55" s="5" t="s">
        <v>195</v>
      </c>
      <c r="W55" s="5" t="s">
        <v>70</v>
      </c>
      <c r="X55" s="5" t="s">
        <v>198</v>
      </c>
    </row>
    <row r="56" customFormat="false" ht="15" hidden="false" customHeight="false" outlineLevel="0" collapsed="false">
      <c r="A56" s="5" t="s">
        <v>262</v>
      </c>
      <c r="B56" s="5" t="s">
        <v>64</v>
      </c>
      <c r="C56" s="5" t="s">
        <v>98</v>
      </c>
      <c r="D56" s="5" t="s">
        <v>192</v>
      </c>
      <c r="E56" s="5" t="s">
        <v>193</v>
      </c>
      <c r="F56" s="5" t="s">
        <v>206</v>
      </c>
      <c r="G56" s="15"/>
      <c r="H56" s="15" t="n">
        <v>770.918451612903</v>
      </c>
      <c r="I56" s="15"/>
      <c r="J56" s="5" t="s">
        <v>195</v>
      </c>
      <c r="K56" s="5" t="n">
        <v>2031</v>
      </c>
      <c r="L56" s="5" t="str">
        <f aca="false">IF(AND(K56&gt;=Hypothèses!$B$9,K56&lt;=Hypothèses!$B$10),"actuel",IF(K56=2030,"2030",IF(K56=2050,"2050","autre")))</f>
        <v>autre</v>
      </c>
      <c r="M56" s="5"/>
      <c r="N56" s="5" t="s">
        <v>196</v>
      </c>
      <c r="O56" s="5"/>
      <c r="P56" s="5" t="s">
        <v>251</v>
      </c>
      <c r="Q56" s="5" t="s">
        <v>45</v>
      </c>
      <c r="R56" s="12" t="n">
        <f aca="false">INDEX(Hypothèses!$B$14:$B$17,MATCH(Q56,Hypothèses!$A$14:$A$17,0))</f>
        <v>1</v>
      </c>
      <c r="S56" s="15" t="str">
        <f aca="false">IF(G56="","",G56*R56)</f>
        <v/>
      </c>
      <c r="T56" s="15" t="n">
        <f aca="false">IF(H56="","",H56*R56)</f>
        <v>770.918451612903</v>
      </c>
      <c r="U56" s="15" t="str">
        <f aca="false">IF(I56="","",I56*R56)</f>
        <v/>
      </c>
      <c r="V56" s="5" t="s">
        <v>195</v>
      </c>
      <c r="W56" s="5" t="s">
        <v>70</v>
      </c>
      <c r="X56" s="5" t="s">
        <v>198</v>
      </c>
    </row>
    <row r="57" customFormat="false" ht="15" hidden="false" customHeight="false" outlineLevel="0" collapsed="false">
      <c r="A57" s="5" t="s">
        <v>263</v>
      </c>
      <c r="B57" s="5" t="s">
        <v>64</v>
      </c>
      <c r="C57" s="5" t="s">
        <v>98</v>
      </c>
      <c r="D57" s="5" t="s">
        <v>192</v>
      </c>
      <c r="E57" s="5" t="s">
        <v>193</v>
      </c>
      <c r="F57" s="5" t="s">
        <v>206</v>
      </c>
      <c r="G57" s="15"/>
      <c r="H57" s="15" t="n">
        <v>750.843419354839</v>
      </c>
      <c r="I57" s="15"/>
      <c r="J57" s="5" t="s">
        <v>195</v>
      </c>
      <c r="K57" s="5" t="n">
        <v>2032</v>
      </c>
      <c r="L57" s="5" t="str">
        <f aca="false">IF(AND(K57&gt;=Hypothèses!$B$9,K57&lt;=Hypothèses!$B$10),"actuel",IF(K57=2030,"2030",IF(K57=2050,"2050","autre")))</f>
        <v>autre</v>
      </c>
      <c r="M57" s="5"/>
      <c r="N57" s="5" t="s">
        <v>196</v>
      </c>
      <c r="O57" s="5"/>
      <c r="P57" s="5" t="s">
        <v>251</v>
      </c>
      <c r="Q57" s="5" t="s">
        <v>45</v>
      </c>
      <c r="R57" s="12" t="n">
        <f aca="false">INDEX(Hypothèses!$B$14:$B$17,MATCH(Q57,Hypothèses!$A$14:$A$17,0))</f>
        <v>1</v>
      </c>
      <c r="S57" s="15" t="str">
        <f aca="false">IF(G57="","",G57*R57)</f>
        <v/>
      </c>
      <c r="T57" s="15" t="n">
        <f aca="false">IF(H57="","",H57*R57)</f>
        <v>750.843419354839</v>
      </c>
      <c r="U57" s="15" t="str">
        <f aca="false">IF(I57="","",I57*R57)</f>
        <v/>
      </c>
      <c r="V57" s="5" t="s">
        <v>195</v>
      </c>
      <c r="W57" s="5" t="s">
        <v>70</v>
      </c>
      <c r="X57" s="5" t="s">
        <v>198</v>
      </c>
    </row>
    <row r="58" customFormat="false" ht="15" hidden="false" customHeight="false" outlineLevel="0" collapsed="false">
      <c r="A58" s="5" t="s">
        <v>264</v>
      </c>
      <c r="B58" s="5" t="s">
        <v>64</v>
      </c>
      <c r="C58" s="5" t="s">
        <v>98</v>
      </c>
      <c r="D58" s="5" t="s">
        <v>192</v>
      </c>
      <c r="E58" s="5" t="s">
        <v>193</v>
      </c>
      <c r="F58" s="5" t="s">
        <v>206</v>
      </c>
      <c r="G58" s="15"/>
      <c r="H58" s="15" t="n">
        <v>710.69335483871</v>
      </c>
      <c r="I58" s="15"/>
      <c r="J58" s="5" t="s">
        <v>195</v>
      </c>
      <c r="K58" s="5" t="n">
        <v>2033</v>
      </c>
      <c r="L58" s="5" t="str">
        <f aca="false">IF(AND(K58&gt;=Hypothèses!$B$9,K58&lt;=Hypothèses!$B$10),"actuel",IF(K58=2030,"2030",IF(K58=2050,"2050","autre")))</f>
        <v>autre</v>
      </c>
      <c r="M58" s="5"/>
      <c r="N58" s="5" t="s">
        <v>196</v>
      </c>
      <c r="O58" s="5"/>
      <c r="P58" s="5" t="s">
        <v>251</v>
      </c>
      <c r="Q58" s="5" t="s">
        <v>45</v>
      </c>
      <c r="R58" s="12" t="n">
        <f aca="false">INDEX(Hypothèses!$B$14:$B$17,MATCH(Q58,Hypothèses!$A$14:$A$17,0))</f>
        <v>1</v>
      </c>
      <c r="S58" s="15" t="str">
        <f aca="false">IF(G58="","",G58*R58)</f>
        <v/>
      </c>
      <c r="T58" s="15" t="n">
        <f aca="false">IF(H58="","",H58*R58)</f>
        <v>710.69335483871</v>
      </c>
      <c r="U58" s="15" t="str">
        <f aca="false">IF(I58="","",I58*R58)</f>
        <v/>
      </c>
      <c r="V58" s="5" t="s">
        <v>195</v>
      </c>
      <c r="W58" s="5" t="s">
        <v>70</v>
      </c>
      <c r="X58" s="5" t="s">
        <v>198</v>
      </c>
    </row>
    <row r="59" customFormat="false" ht="15" hidden="false" customHeight="false" outlineLevel="0" collapsed="false">
      <c r="A59" s="5" t="s">
        <v>265</v>
      </c>
      <c r="B59" s="5" t="s">
        <v>64</v>
      </c>
      <c r="C59" s="5" t="s">
        <v>98</v>
      </c>
      <c r="D59" s="5" t="s">
        <v>192</v>
      </c>
      <c r="E59" s="5" t="s">
        <v>193</v>
      </c>
      <c r="F59" s="5" t="s">
        <v>206</v>
      </c>
      <c r="G59" s="15"/>
      <c r="H59" s="15" t="n">
        <v>686.598</v>
      </c>
      <c r="I59" s="15"/>
      <c r="J59" s="5" t="s">
        <v>195</v>
      </c>
      <c r="K59" s="5" t="n">
        <v>2034</v>
      </c>
      <c r="L59" s="5" t="str">
        <f aca="false">IF(AND(K59&gt;=Hypothèses!$B$9,K59&lt;=Hypothèses!$B$10),"actuel",IF(K59=2030,"2030",IF(K59=2050,"2050","autre")))</f>
        <v>autre</v>
      </c>
      <c r="M59" s="5"/>
      <c r="N59" s="5" t="s">
        <v>196</v>
      </c>
      <c r="O59" s="5"/>
      <c r="P59" s="5" t="s">
        <v>251</v>
      </c>
      <c r="Q59" s="5" t="s">
        <v>45</v>
      </c>
      <c r="R59" s="12" t="n">
        <f aca="false">INDEX(Hypothèses!$B$14:$B$17,MATCH(Q59,Hypothèses!$A$14:$A$17,0))</f>
        <v>1</v>
      </c>
      <c r="S59" s="15" t="str">
        <f aca="false">IF(G59="","",G59*R59)</f>
        <v/>
      </c>
      <c r="T59" s="15" t="n">
        <f aca="false">IF(H59="","",H59*R59)</f>
        <v>686.598</v>
      </c>
      <c r="U59" s="15" t="str">
        <f aca="false">IF(I59="","",I59*R59)</f>
        <v/>
      </c>
      <c r="V59" s="5" t="s">
        <v>195</v>
      </c>
      <c r="W59" s="5" t="s">
        <v>70</v>
      </c>
      <c r="X59" s="5" t="s">
        <v>198</v>
      </c>
    </row>
    <row r="60" customFormat="false" ht="15" hidden="false" customHeight="false" outlineLevel="0" collapsed="false">
      <c r="A60" s="5" t="s">
        <v>266</v>
      </c>
      <c r="B60" s="5" t="s">
        <v>64</v>
      </c>
      <c r="C60" s="5" t="s">
        <v>98</v>
      </c>
      <c r="D60" s="5" t="s">
        <v>192</v>
      </c>
      <c r="E60" s="5" t="s">
        <v>193</v>
      </c>
      <c r="F60" s="5" t="s">
        <v>206</v>
      </c>
      <c r="G60" s="15"/>
      <c r="H60" s="15" t="n">
        <v>654.477948387097</v>
      </c>
      <c r="I60" s="15"/>
      <c r="J60" s="5" t="s">
        <v>195</v>
      </c>
      <c r="K60" s="5" t="n">
        <v>2035</v>
      </c>
      <c r="L60" s="5" t="str">
        <f aca="false">IF(AND(K60&gt;=Hypothèses!$B$9,K60&lt;=Hypothèses!$B$10),"actuel",IF(K60=2030,"2030",IF(K60=2050,"2050","autre")))</f>
        <v>autre</v>
      </c>
      <c r="M60" s="5"/>
      <c r="N60" s="5" t="s">
        <v>196</v>
      </c>
      <c r="O60" s="5"/>
      <c r="P60" s="5" t="s">
        <v>251</v>
      </c>
      <c r="Q60" s="5" t="s">
        <v>45</v>
      </c>
      <c r="R60" s="12" t="n">
        <f aca="false">INDEX(Hypothèses!$B$14:$B$17,MATCH(Q60,Hypothèses!$A$14:$A$17,0))</f>
        <v>1</v>
      </c>
      <c r="S60" s="15" t="str">
        <f aca="false">IF(G60="","",G60*R60)</f>
        <v/>
      </c>
      <c r="T60" s="15" t="n">
        <f aca="false">IF(H60="","",H60*R60)</f>
        <v>654.477948387097</v>
      </c>
      <c r="U60" s="15" t="str">
        <f aca="false">IF(I60="","",I60*R60)</f>
        <v/>
      </c>
      <c r="V60" s="5" t="s">
        <v>195</v>
      </c>
      <c r="W60" s="5" t="s">
        <v>70</v>
      </c>
      <c r="X60" s="5" t="s">
        <v>198</v>
      </c>
    </row>
    <row r="61" customFormat="false" ht="15" hidden="false" customHeight="false" outlineLevel="0" collapsed="false">
      <c r="A61" s="5" t="s">
        <v>267</v>
      </c>
      <c r="B61" s="5" t="s">
        <v>64</v>
      </c>
      <c r="C61" s="5" t="s">
        <v>98</v>
      </c>
      <c r="D61" s="5" t="s">
        <v>192</v>
      </c>
      <c r="E61" s="5" t="s">
        <v>193</v>
      </c>
      <c r="F61" s="5" t="s">
        <v>206</v>
      </c>
      <c r="G61" s="15"/>
      <c r="H61" s="15" t="n">
        <v>622.356567741936</v>
      </c>
      <c r="I61" s="15"/>
      <c r="J61" s="5" t="s">
        <v>195</v>
      </c>
      <c r="K61" s="5" t="n">
        <v>2036</v>
      </c>
      <c r="L61" s="5" t="str">
        <f aca="false">IF(AND(K61&gt;=Hypothèses!$B$9,K61&lt;=Hypothèses!$B$10),"actuel",IF(K61=2030,"2030",IF(K61=2050,"2050","autre")))</f>
        <v>autre</v>
      </c>
      <c r="M61" s="5"/>
      <c r="N61" s="5" t="s">
        <v>196</v>
      </c>
      <c r="O61" s="5"/>
      <c r="P61" s="5" t="s">
        <v>251</v>
      </c>
      <c r="Q61" s="5" t="s">
        <v>45</v>
      </c>
      <c r="R61" s="12" t="n">
        <f aca="false">INDEX(Hypothèses!$B$14:$B$17,MATCH(Q61,Hypothèses!$A$14:$A$17,0))</f>
        <v>1</v>
      </c>
      <c r="S61" s="15" t="str">
        <f aca="false">IF(G61="","",G61*R61)</f>
        <v/>
      </c>
      <c r="T61" s="15" t="n">
        <f aca="false">IF(H61="","",H61*R61)</f>
        <v>622.356567741936</v>
      </c>
      <c r="U61" s="15" t="str">
        <f aca="false">IF(I61="","",I61*R61)</f>
        <v/>
      </c>
      <c r="V61" s="5" t="s">
        <v>195</v>
      </c>
      <c r="W61" s="5" t="s">
        <v>70</v>
      </c>
      <c r="X61" s="5" t="s">
        <v>198</v>
      </c>
    </row>
    <row r="62" customFormat="false" ht="15" hidden="false" customHeight="false" outlineLevel="0" collapsed="false">
      <c r="A62" s="5" t="s">
        <v>268</v>
      </c>
      <c r="B62" s="5" t="s">
        <v>64</v>
      </c>
      <c r="C62" s="5" t="s">
        <v>98</v>
      </c>
      <c r="D62" s="5" t="s">
        <v>192</v>
      </c>
      <c r="E62" s="5" t="s">
        <v>193</v>
      </c>
      <c r="F62" s="5" t="s">
        <v>206</v>
      </c>
      <c r="G62" s="15"/>
      <c r="H62" s="15" t="n">
        <v>586.219516129032</v>
      </c>
      <c r="I62" s="15"/>
      <c r="J62" s="5" t="s">
        <v>195</v>
      </c>
      <c r="K62" s="5" t="n">
        <v>2037</v>
      </c>
      <c r="L62" s="5" t="str">
        <f aca="false">IF(AND(K62&gt;=Hypothèses!$B$9,K62&lt;=Hypothèses!$B$10),"actuel",IF(K62=2030,"2030",IF(K62=2050,"2050","autre")))</f>
        <v>autre</v>
      </c>
      <c r="M62" s="5"/>
      <c r="N62" s="5" t="s">
        <v>196</v>
      </c>
      <c r="O62" s="5"/>
      <c r="P62" s="5" t="s">
        <v>251</v>
      </c>
      <c r="Q62" s="5" t="s">
        <v>45</v>
      </c>
      <c r="R62" s="12" t="n">
        <f aca="false">INDEX(Hypothèses!$B$14:$B$17,MATCH(Q62,Hypothèses!$A$14:$A$17,0))</f>
        <v>1</v>
      </c>
      <c r="S62" s="15" t="str">
        <f aca="false">IF(G62="","",G62*R62)</f>
        <v/>
      </c>
      <c r="T62" s="15" t="n">
        <f aca="false">IF(H62="","",H62*R62)</f>
        <v>586.219516129032</v>
      </c>
      <c r="U62" s="15" t="str">
        <f aca="false">IF(I62="","",I62*R62)</f>
        <v/>
      </c>
      <c r="V62" s="5" t="s">
        <v>195</v>
      </c>
      <c r="W62" s="5" t="s">
        <v>70</v>
      </c>
      <c r="X62" s="5" t="s">
        <v>198</v>
      </c>
    </row>
    <row r="63" customFormat="false" ht="15" hidden="false" customHeight="false" outlineLevel="0" collapsed="false">
      <c r="A63" s="5" t="s">
        <v>269</v>
      </c>
      <c r="B63" s="5" t="s">
        <v>64</v>
      </c>
      <c r="C63" s="5" t="s">
        <v>98</v>
      </c>
      <c r="D63" s="5" t="s">
        <v>192</v>
      </c>
      <c r="E63" s="5" t="s">
        <v>193</v>
      </c>
      <c r="F63" s="5" t="s">
        <v>206</v>
      </c>
      <c r="G63" s="15"/>
      <c r="H63" s="15" t="n">
        <v>558.113141935484</v>
      </c>
      <c r="I63" s="15"/>
      <c r="J63" s="5" t="s">
        <v>195</v>
      </c>
      <c r="K63" s="5" t="n">
        <v>2038</v>
      </c>
      <c r="L63" s="5" t="str">
        <f aca="false">IF(AND(K63&gt;=Hypothèses!$B$9,K63&lt;=Hypothèses!$B$10),"actuel",IF(K63=2030,"2030",IF(K63=2050,"2050","autre")))</f>
        <v>autre</v>
      </c>
      <c r="M63" s="5"/>
      <c r="N63" s="5" t="s">
        <v>196</v>
      </c>
      <c r="O63" s="5"/>
      <c r="P63" s="5" t="s">
        <v>251</v>
      </c>
      <c r="Q63" s="5" t="s">
        <v>45</v>
      </c>
      <c r="R63" s="12" t="n">
        <f aca="false">INDEX(Hypothèses!$B$14:$B$17,MATCH(Q63,Hypothèses!$A$14:$A$17,0))</f>
        <v>1</v>
      </c>
      <c r="S63" s="15" t="str">
        <f aca="false">IF(G63="","",G63*R63)</f>
        <v/>
      </c>
      <c r="T63" s="15" t="n">
        <f aca="false">IF(H63="","",H63*R63)</f>
        <v>558.113141935484</v>
      </c>
      <c r="U63" s="15" t="str">
        <f aca="false">IF(I63="","",I63*R63)</f>
        <v/>
      </c>
      <c r="V63" s="5" t="s">
        <v>195</v>
      </c>
      <c r="W63" s="5" t="s">
        <v>70</v>
      </c>
      <c r="X63" s="5" t="s">
        <v>198</v>
      </c>
    </row>
    <row r="64" customFormat="false" ht="15" hidden="false" customHeight="false" outlineLevel="0" collapsed="false">
      <c r="A64" s="5" t="s">
        <v>270</v>
      </c>
      <c r="B64" s="5" t="s">
        <v>64</v>
      </c>
      <c r="C64" s="5" t="s">
        <v>98</v>
      </c>
      <c r="D64" s="5" t="s">
        <v>192</v>
      </c>
      <c r="E64" s="5" t="s">
        <v>193</v>
      </c>
      <c r="F64" s="5" t="s">
        <v>206</v>
      </c>
      <c r="G64" s="15"/>
      <c r="H64" s="15" t="n">
        <v>538.03744516129</v>
      </c>
      <c r="I64" s="15"/>
      <c r="J64" s="5" t="s">
        <v>195</v>
      </c>
      <c r="K64" s="5" t="n">
        <v>2039</v>
      </c>
      <c r="L64" s="5" t="str">
        <f aca="false">IF(AND(K64&gt;=Hypothèses!$B$9,K64&lt;=Hypothèses!$B$10),"actuel",IF(K64=2030,"2030",IF(K64=2050,"2050","autre")))</f>
        <v>autre</v>
      </c>
      <c r="M64" s="5"/>
      <c r="N64" s="5" t="s">
        <v>196</v>
      </c>
      <c r="O64" s="5"/>
      <c r="P64" s="5" t="s">
        <v>251</v>
      </c>
      <c r="Q64" s="5" t="s">
        <v>45</v>
      </c>
      <c r="R64" s="12" t="n">
        <f aca="false">INDEX(Hypothèses!$B$14:$B$17,MATCH(Q64,Hypothèses!$A$14:$A$17,0))</f>
        <v>1</v>
      </c>
      <c r="S64" s="15" t="str">
        <f aca="false">IF(G64="","",G64*R64)</f>
        <v/>
      </c>
      <c r="T64" s="15" t="n">
        <f aca="false">IF(H64="","",H64*R64)</f>
        <v>538.03744516129</v>
      </c>
      <c r="U64" s="15" t="str">
        <f aca="false">IF(I64="","",I64*R64)</f>
        <v/>
      </c>
      <c r="V64" s="5" t="s">
        <v>195</v>
      </c>
      <c r="W64" s="5" t="s">
        <v>70</v>
      </c>
      <c r="X64" s="5" t="s">
        <v>198</v>
      </c>
    </row>
    <row r="65" customFormat="false" ht="15" hidden="false" customHeight="false" outlineLevel="0" collapsed="false">
      <c r="A65" s="5" t="s">
        <v>271</v>
      </c>
      <c r="B65" s="5" t="s">
        <v>64</v>
      </c>
      <c r="C65" s="5" t="s">
        <v>98</v>
      </c>
      <c r="D65" s="5" t="s">
        <v>192</v>
      </c>
      <c r="E65" s="5" t="s">
        <v>193</v>
      </c>
      <c r="F65" s="5" t="s">
        <v>206</v>
      </c>
      <c r="G65" s="15"/>
      <c r="H65" s="15" t="n">
        <v>509.931070967742</v>
      </c>
      <c r="I65" s="15"/>
      <c r="J65" s="5" t="s">
        <v>195</v>
      </c>
      <c r="K65" s="5" t="n">
        <v>2040</v>
      </c>
      <c r="L65" s="5" t="str">
        <f aca="false">IF(AND(K65&gt;=Hypothèses!$B$9,K65&lt;=Hypothèses!$B$10),"actuel",IF(K65=2030,"2030",IF(K65=2050,"2050","autre")))</f>
        <v>autre</v>
      </c>
      <c r="M65" s="5"/>
      <c r="N65" s="5" t="s">
        <v>196</v>
      </c>
      <c r="O65" s="5"/>
      <c r="P65" s="5" t="s">
        <v>251</v>
      </c>
      <c r="Q65" s="5" t="s">
        <v>45</v>
      </c>
      <c r="R65" s="12" t="n">
        <f aca="false">INDEX(Hypothèses!$B$14:$B$17,MATCH(Q65,Hypothèses!$A$14:$A$17,0))</f>
        <v>1</v>
      </c>
      <c r="S65" s="15" t="str">
        <f aca="false">IF(G65="","",G65*R65)</f>
        <v/>
      </c>
      <c r="T65" s="15" t="n">
        <f aca="false">IF(H65="","",H65*R65)</f>
        <v>509.931070967742</v>
      </c>
      <c r="U65" s="15" t="str">
        <f aca="false">IF(I65="","",I65*R65)</f>
        <v/>
      </c>
      <c r="V65" s="5" t="s">
        <v>195</v>
      </c>
      <c r="W65" s="5" t="s">
        <v>70</v>
      </c>
      <c r="X65" s="5" t="s">
        <v>198</v>
      </c>
    </row>
    <row r="66" customFormat="false" ht="15" hidden="false" customHeight="false" outlineLevel="0" collapsed="false">
      <c r="A66" s="5" t="s">
        <v>272</v>
      </c>
      <c r="B66" s="5" t="s">
        <v>64</v>
      </c>
      <c r="C66" s="5" t="s">
        <v>98</v>
      </c>
      <c r="D66" s="5" t="s">
        <v>192</v>
      </c>
      <c r="E66" s="5" t="s">
        <v>193</v>
      </c>
      <c r="F66" s="5" t="s">
        <v>206</v>
      </c>
      <c r="G66" s="15"/>
      <c r="H66" s="15" t="n">
        <v>481.824696774194</v>
      </c>
      <c r="I66" s="15"/>
      <c r="J66" s="5" t="s">
        <v>195</v>
      </c>
      <c r="K66" s="5" t="n">
        <v>2041</v>
      </c>
      <c r="L66" s="5" t="str">
        <f aca="false">IF(AND(K66&gt;=Hypothèses!$B$9,K66&lt;=Hypothèses!$B$10),"actuel",IF(K66=2030,"2030",IF(K66=2050,"2050","autre")))</f>
        <v>autre</v>
      </c>
      <c r="M66" s="5"/>
      <c r="N66" s="5" t="s">
        <v>196</v>
      </c>
      <c r="O66" s="5"/>
      <c r="P66" s="5" t="s">
        <v>251</v>
      </c>
      <c r="Q66" s="5" t="s">
        <v>45</v>
      </c>
      <c r="R66" s="12" t="n">
        <f aca="false">INDEX(Hypothèses!$B$14:$B$17,MATCH(Q66,Hypothèses!$A$14:$A$17,0))</f>
        <v>1</v>
      </c>
      <c r="S66" s="15" t="str">
        <f aca="false">IF(G66="","",G66*R66)</f>
        <v/>
      </c>
      <c r="T66" s="15" t="n">
        <f aca="false">IF(H66="","",H66*R66)</f>
        <v>481.824696774194</v>
      </c>
      <c r="U66" s="15" t="str">
        <f aca="false">IF(I66="","",I66*R66)</f>
        <v/>
      </c>
      <c r="V66" s="5" t="s">
        <v>195</v>
      </c>
      <c r="W66" s="5" t="s">
        <v>70</v>
      </c>
      <c r="X66" s="5" t="s">
        <v>198</v>
      </c>
    </row>
    <row r="67" customFormat="false" ht="15" hidden="false" customHeight="false" outlineLevel="0" collapsed="false">
      <c r="A67" s="5" t="s">
        <v>273</v>
      </c>
      <c r="B67" s="5" t="s">
        <v>64</v>
      </c>
      <c r="C67" s="5" t="s">
        <v>98</v>
      </c>
      <c r="D67" s="5" t="s">
        <v>192</v>
      </c>
      <c r="E67" s="5" t="s">
        <v>193</v>
      </c>
      <c r="F67" s="5" t="s">
        <v>206</v>
      </c>
      <c r="G67" s="15"/>
      <c r="H67" s="15" t="n">
        <v>461.748335483871</v>
      </c>
      <c r="I67" s="15"/>
      <c r="J67" s="5" t="s">
        <v>195</v>
      </c>
      <c r="K67" s="5" t="n">
        <v>2042</v>
      </c>
      <c r="L67" s="5" t="str">
        <f aca="false">IF(AND(K67&gt;=Hypothèses!$B$9,K67&lt;=Hypothèses!$B$10),"actuel",IF(K67=2030,"2030",IF(K67=2050,"2050","autre")))</f>
        <v>autre</v>
      </c>
      <c r="M67" s="5"/>
      <c r="N67" s="5" t="s">
        <v>196</v>
      </c>
      <c r="O67" s="5"/>
      <c r="P67" s="5" t="s">
        <v>251</v>
      </c>
      <c r="Q67" s="5" t="s">
        <v>45</v>
      </c>
      <c r="R67" s="12" t="n">
        <f aca="false">INDEX(Hypothèses!$B$14:$B$17,MATCH(Q67,Hypothèses!$A$14:$A$17,0))</f>
        <v>1</v>
      </c>
      <c r="S67" s="15" t="str">
        <f aca="false">IF(G67="","",G67*R67)</f>
        <v/>
      </c>
      <c r="T67" s="15" t="n">
        <f aca="false">IF(H67="","",H67*R67)</f>
        <v>461.748335483871</v>
      </c>
      <c r="U67" s="15" t="str">
        <f aca="false">IF(I67="","",I67*R67)</f>
        <v/>
      </c>
      <c r="V67" s="5" t="s">
        <v>195</v>
      </c>
      <c r="W67" s="5" t="s">
        <v>70</v>
      </c>
      <c r="X67" s="5" t="s">
        <v>198</v>
      </c>
    </row>
    <row r="68" customFormat="false" ht="15" hidden="false" customHeight="false" outlineLevel="0" collapsed="false">
      <c r="A68" s="5" t="s">
        <v>274</v>
      </c>
      <c r="B68" s="5" t="s">
        <v>64</v>
      </c>
      <c r="C68" s="5" t="s">
        <v>98</v>
      </c>
      <c r="D68" s="5" t="s">
        <v>192</v>
      </c>
      <c r="E68" s="5" t="s">
        <v>193</v>
      </c>
      <c r="F68" s="5" t="s">
        <v>206</v>
      </c>
      <c r="G68" s="15"/>
      <c r="H68" s="15" t="n">
        <v>449.702651612903</v>
      </c>
      <c r="I68" s="15"/>
      <c r="J68" s="5" t="s">
        <v>195</v>
      </c>
      <c r="K68" s="5" t="n">
        <v>2043</v>
      </c>
      <c r="L68" s="5" t="str">
        <f aca="false">IF(AND(K68&gt;=Hypothèses!$B$9,K68&lt;=Hypothèses!$B$10),"actuel",IF(K68=2030,"2030",IF(K68=2050,"2050","autre")))</f>
        <v>autre</v>
      </c>
      <c r="M68" s="5"/>
      <c r="N68" s="5" t="s">
        <v>196</v>
      </c>
      <c r="O68" s="5"/>
      <c r="P68" s="5" t="s">
        <v>251</v>
      </c>
      <c r="Q68" s="5" t="s">
        <v>45</v>
      </c>
      <c r="R68" s="12" t="n">
        <f aca="false">INDEX(Hypothèses!$B$14:$B$17,MATCH(Q68,Hypothèses!$A$14:$A$17,0))</f>
        <v>1</v>
      </c>
      <c r="S68" s="15" t="str">
        <f aca="false">IF(G68="","",G68*R68)</f>
        <v/>
      </c>
      <c r="T68" s="15" t="n">
        <f aca="false">IF(H68="","",H68*R68)</f>
        <v>449.702651612903</v>
      </c>
      <c r="U68" s="15" t="str">
        <f aca="false">IF(I68="","",I68*R68)</f>
        <v/>
      </c>
      <c r="V68" s="5" t="s">
        <v>195</v>
      </c>
      <c r="W68" s="5" t="s">
        <v>70</v>
      </c>
      <c r="X68" s="5" t="s">
        <v>198</v>
      </c>
    </row>
    <row r="69" customFormat="false" ht="15" hidden="false" customHeight="false" outlineLevel="0" collapsed="false">
      <c r="A69" s="5" t="s">
        <v>275</v>
      </c>
      <c r="B69" s="5" t="s">
        <v>64</v>
      </c>
      <c r="C69" s="5" t="s">
        <v>98</v>
      </c>
      <c r="D69" s="5" t="s">
        <v>192</v>
      </c>
      <c r="E69" s="5" t="s">
        <v>193</v>
      </c>
      <c r="F69" s="5" t="s">
        <v>206</v>
      </c>
      <c r="G69" s="15"/>
      <c r="H69" s="15" t="n">
        <v>433.641961290323</v>
      </c>
      <c r="I69" s="15"/>
      <c r="J69" s="5" t="s">
        <v>195</v>
      </c>
      <c r="K69" s="5" t="n">
        <v>2044</v>
      </c>
      <c r="L69" s="5" t="str">
        <f aca="false">IF(AND(K69&gt;=Hypothèses!$B$9,K69&lt;=Hypothèses!$B$10),"actuel",IF(K69=2030,"2030",IF(K69=2050,"2050","autre")))</f>
        <v>autre</v>
      </c>
      <c r="M69" s="5"/>
      <c r="N69" s="5" t="s">
        <v>196</v>
      </c>
      <c r="O69" s="5"/>
      <c r="P69" s="5" t="s">
        <v>251</v>
      </c>
      <c r="Q69" s="5" t="s">
        <v>45</v>
      </c>
      <c r="R69" s="12" t="n">
        <f aca="false">INDEX(Hypothèses!$B$14:$B$17,MATCH(Q69,Hypothèses!$A$14:$A$17,0))</f>
        <v>1</v>
      </c>
      <c r="S69" s="15" t="str">
        <f aca="false">IF(G69="","",G69*R69)</f>
        <v/>
      </c>
      <c r="T69" s="15" t="n">
        <f aca="false">IF(H69="","",H69*R69)</f>
        <v>433.641961290323</v>
      </c>
      <c r="U69" s="15" t="str">
        <f aca="false">IF(I69="","",I69*R69)</f>
        <v/>
      </c>
      <c r="V69" s="5" t="s">
        <v>195</v>
      </c>
      <c r="W69" s="5" t="s">
        <v>70</v>
      </c>
      <c r="X69" s="5" t="s">
        <v>198</v>
      </c>
    </row>
    <row r="70" customFormat="false" ht="15" hidden="false" customHeight="false" outlineLevel="0" collapsed="false">
      <c r="A70" s="5" t="s">
        <v>276</v>
      </c>
      <c r="B70" s="5" t="s">
        <v>64</v>
      </c>
      <c r="C70" s="5" t="s">
        <v>98</v>
      </c>
      <c r="D70" s="5" t="s">
        <v>192</v>
      </c>
      <c r="E70" s="5" t="s">
        <v>193</v>
      </c>
      <c r="F70" s="5" t="s">
        <v>206</v>
      </c>
      <c r="G70" s="15"/>
      <c r="H70" s="15" t="n">
        <v>417.581270967742</v>
      </c>
      <c r="I70" s="15"/>
      <c r="J70" s="5" t="s">
        <v>195</v>
      </c>
      <c r="K70" s="5" t="n">
        <v>2045</v>
      </c>
      <c r="L70" s="5" t="str">
        <f aca="false">IF(AND(K70&gt;=Hypothèses!$B$9,K70&lt;=Hypothèses!$B$10),"actuel",IF(K70=2030,"2030",IF(K70=2050,"2050","autre")))</f>
        <v>autre</v>
      </c>
      <c r="M70" s="5"/>
      <c r="N70" s="5" t="s">
        <v>196</v>
      </c>
      <c r="O70" s="5"/>
      <c r="P70" s="5" t="s">
        <v>251</v>
      </c>
      <c r="Q70" s="5" t="s">
        <v>45</v>
      </c>
      <c r="R70" s="12" t="n">
        <f aca="false">INDEX(Hypothèses!$B$14:$B$17,MATCH(Q70,Hypothèses!$A$14:$A$17,0))</f>
        <v>1</v>
      </c>
      <c r="S70" s="15" t="str">
        <f aca="false">IF(G70="","",G70*R70)</f>
        <v/>
      </c>
      <c r="T70" s="15" t="n">
        <f aca="false">IF(H70="","",H70*R70)</f>
        <v>417.581270967742</v>
      </c>
      <c r="U70" s="15" t="str">
        <f aca="false">IF(I70="","",I70*R70)</f>
        <v/>
      </c>
      <c r="V70" s="5" t="s">
        <v>195</v>
      </c>
      <c r="W70" s="5" t="s">
        <v>70</v>
      </c>
      <c r="X70" s="5" t="s">
        <v>198</v>
      </c>
    </row>
    <row r="71" customFormat="false" ht="15" hidden="false" customHeight="false" outlineLevel="0" collapsed="false">
      <c r="A71" s="5" t="s">
        <v>277</v>
      </c>
      <c r="B71" s="5" t="s">
        <v>64</v>
      </c>
      <c r="C71" s="5" t="s">
        <v>98</v>
      </c>
      <c r="D71" s="5" t="s">
        <v>192</v>
      </c>
      <c r="E71" s="5" t="s">
        <v>193</v>
      </c>
      <c r="F71" s="5" t="s">
        <v>206</v>
      </c>
      <c r="G71" s="15"/>
      <c r="H71" s="15" t="n">
        <v>405.535587096774</v>
      </c>
      <c r="I71" s="15"/>
      <c r="J71" s="5" t="s">
        <v>195</v>
      </c>
      <c r="K71" s="5" t="n">
        <v>2046</v>
      </c>
      <c r="L71" s="5" t="str">
        <f aca="false">IF(AND(K71&gt;=Hypothèses!$B$9,K71&lt;=Hypothèses!$B$10),"actuel",IF(K71=2030,"2030",IF(K71=2050,"2050","autre")))</f>
        <v>autre</v>
      </c>
      <c r="M71" s="5"/>
      <c r="N71" s="5" t="s">
        <v>196</v>
      </c>
      <c r="O71" s="5"/>
      <c r="P71" s="5" t="s">
        <v>251</v>
      </c>
      <c r="Q71" s="5" t="s">
        <v>45</v>
      </c>
      <c r="R71" s="12" t="n">
        <f aca="false">INDEX(Hypothèses!$B$14:$B$17,MATCH(Q71,Hypothèses!$A$14:$A$17,0))</f>
        <v>1</v>
      </c>
      <c r="S71" s="15" t="str">
        <f aca="false">IF(G71="","",G71*R71)</f>
        <v/>
      </c>
      <c r="T71" s="15" t="n">
        <f aca="false">IF(H71="","",H71*R71)</f>
        <v>405.535587096774</v>
      </c>
      <c r="U71" s="15" t="str">
        <f aca="false">IF(I71="","",I71*R71)</f>
        <v/>
      </c>
      <c r="V71" s="5" t="s">
        <v>195</v>
      </c>
      <c r="W71" s="5" t="s">
        <v>70</v>
      </c>
      <c r="X71" s="5" t="s">
        <v>198</v>
      </c>
    </row>
    <row r="72" customFormat="false" ht="15" hidden="false" customHeight="false" outlineLevel="0" collapsed="false">
      <c r="A72" s="5" t="s">
        <v>278</v>
      </c>
      <c r="B72" s="5" t="s">
        <v>64</v>
      </c>
      <c r="C72" s="5" t="s">
        <v>98</v>
      </c>
      <c r="D72" s="5" t="s">
        <v>192</v>
      </c>
      <c r="E72" s="5" t="s">
        <v>193</v>
      </c>
      <c r="F72" s="5" t="s">
        <v>206</v>
      </c>
      <c r="G72" s="15"/>
      <c r="H72" s="15" t="n">
        <v>393.489903225806</v>
      </c>
      <c r="I72" s="15"/>
      <c r="J72" s="5" t="s">
        <v>195</v>
      </c>
      <c r="K72" s="5" t="n">
        <v>2047</v>
      </c>
      <c r="L72" s="5" t="str">
        <f aca="false">IF(AND(K72&gt;=Hypothèses!$B$9,K72&lt;=Hypothèses!$B$10),"actuel",IF(K72=2030,"2030",IF(K72=2050,"2050","autre")))</f>
        <v>autre</v>
      </c>
      <c r="M72" s="5"/>
      <c r="N72" s="5" t="s">
        <v>196</v>
      </c>
      <c r="O72" s="5"/>
      <c r="P72" s="5" t="s">
        <v>251</v>
      </c>
      <c r="Q72" s="5" t="s">
        <v>45</v>
      </c>
      <c r="R72" s="12" t="n">
        <f aca="false">INDEX(Hypothèses!$B$14:$B$17,MATCH(Q72,Hypothèses!$A$14:$A$17,0))</f>
        <v>1</v>
      </c>
      <c r="S72" s="15" t="str">
        <f aca="false">IF(G72="","",G72*R72)</f>
        <v/>
      </c>
      <c r="T72" s="15" t="n">
        <f aca="false">IF(H72="","",H72*R72)</f>
        <v>393.489903225806</v>
      </c>
      <c r="U72" s="15" t="str">
        <f aca="false">IF(I72="","",I72*R72)</f>
        <v/>
      </c>
      <c r="V72" s="5" t="s">
        <v>195</v>
      </c>
      <c r="W72" s="5" t="s">
        <v>70</v>
      </c>
      <c r="X72" s="5" t="s">
        <v>198</v>
      </c>
    </row>
    <row r="73" customFormat="false" ht="15" hidden="false" customHeight="false" outlineLevel="0" collapsed="false">
      <c r="A73" s="5" t="s">
        <v>279</v>
      </c>
      <c r="B73" s="5" t="s">
        <v>64</v>
      </c>
      <c r="C73" s="5" t="s">
        <v>98</v>
      </c>
      <c r="D73" s="5" t="s">
        <v>192</v>
      </c>
      <c r="E73" s="5" t="s">
        <v>193</v>
      </c>
      <c r="F73" s="5" t="s">
        <v>206</v>
      </c>
      <c r="G73" s="15"/>
      <c r="H73" s="15" t="n">
        <v>385.459225806452</v>
      </c>
      <c r="I73" s="15"/>
      <c r="J73" s="5" t="s">
        <v>195</v>
      </c>
      <c r="K73" s="5" t="n">
        <v>2048</v>
      </c>
      <c r="L73" s="5" t="str">
        <f aca="false">IF(AND(K73&gt;=Hypothèses!$B$9,K73&lt;=Hypothèses!$B$10),"actuel",IF(K73=2030,"2030",IF(K73=2050,"2050","autre")))</f>
        <v>autre</v>
      </c>
      <c r="M73" s="5"/>
      <c r="N73" s="5" t="s">
        <v>196</v>
      </c>
      <c r="O73" s="5"/>
      <c r="P73" s="5" t="s">
        <v>251</v>
      </c>
      <c r="Q73" s="5" t="s">
        <v>45</v>
      </c>
      <c r="R73" s="12" t="n">
        <f aca="false">INDEX(Hypothèses!$B$14:$B$17,MATCH(Q73,Hypothèses!$A$14:$A$17,0))</f>
        <v>1</v>
      </c>
      <c r="S73" s="15" t="str">
        <f aca="false">IF(G73="","",G73*R73)</f>
        <v/>
      </c>
      <c r="T73" s="15" t="n">
        <f aca="false">IF(H73="","",H73*R73)</f>
        <v>385.459225806452</v>
      </c>
      <c r="U73" s="15" t="str">
        <f aca="false">IF(I73="","",I73*R73)</f>
        <v/>
      </c>
      <c r="V73" s="5" t="s">
        <v>195</v>
      </c>
      <c r="W73" s="5" t="s">
        <v>70</v>
      </c>
      <c r="X73" s="5" t="s">
        <v>198</v>
      </c>
    </row>
    <row r="74" customFormat="false" ht="15" hidden="false" customHeight="false" outlineLevel="0" collapsed="false">
      <c r="A74" s="5" t="s">
        <v>280</v>
      </c>
      <c r="B74" s="5" t="s">
        <v>64</v>
      </c>
      <c r="C74" s="5" t="s">
        <v>98</v>
      </c>
      <c r="D74" s="5" t="s">
        <v>192</v>
      </c>
      <c r="E74" s="5" t="s">
        <v>193</v>
      </c>
      <c r="F74" s="5" t="s">
        <v>206</v>
      </c>
      <c r="G74" s="15"/>
      <c r="H74" s="15" t="n">
        <v>381.444219354839</v>
      </c>
      <c r="I74" s="15"/>
      <c r="J74" s="5" t="s">
        <v>195</v>
      </c>
      <c r="K74" s="5" t="n">
        <v>2049</v>
      </c>
      <c r="L74" s="5" t="str">
        <f aca="false">IF(AND(K74&gt;=Hypothèses!$B$9,K74&lt;=Hypothèses!$B$10),"actuel",IF(K74=2030,"2030",IF(K74=2050,"2050","autre")))</f>
        <v>autre</v>
      </c>
      <c r="M74" s="5"/>
      <c r="N74" s="5" t="s">
        <v>196</v>
      </c>
      <c r="O74" s="5"/>
      <c r="P74" s="5" t="s">
        <v>251</v>
      </c>
      <c r="Q74" s="5" t="s">
        <v>45</v>
      </c>
      <c r="R74" s="12" t="n">
        <f aca="false">INDEX(Hypothèses!$B$14:$B$17,MATCH(Q74,Hypothèses!$A$14:$A$17,0))</f>
        <v>1</v>
      </c>
      <c r="S74" s="15" t="str">
        <f aca="false">IF(G74="","",G74*R74)</f>
        <v/>
      </c>
      <c r="T74" s="15" t="n">
        <f aca="false">IF(H74="","",H74*R74)</f>
        <v>381.444219354839</v>
      </c>
      <c r="U74" s="15" t="str">
        <f aca="false">IF(I74="","",I74*R74)</f>
        <v/>
      </c>
      <c r="V74" s="5" t="s">
        <v>195</v>
      </c>
      <c r="W74" s="5" t="s">
        <v>70</v>
      </c>
      <c r="X74" s="5" t="s">
        <v>198</v>
      </c>
    </row>
    <row r="75" customFormat="false" ht="15" hidden="false" customHeight="false" outlineLevel="0" collapsed="false">
      <c r="A75" s="5" t="s">
        <v>281</v>
      </c>
      <c r="B75" s="5" t="s">
        <v>64</v>
      </c>
      <c r="C75" s="5" t="s">
        <v>98</v>
      </c>
      <c r="D75" s="5" t="s">
        <v>192</v>
      </c>
      <c r="E75" s="5" t="s">
        <v>193</v>
      </c>
      <c r="F75" s="5" t="s">
        <v>206</v>
      </c>
      <c r="G75" s="15"/>
      <c r="H75" s="15" t="n">
        <v>369.398535483871</v>
      </c>
      <c r="I75" s="15"/>
      <c r="J75" s="5" t="s">
        <v>195</v>
      </c>
      <c r="K75" s="5" t="n">
        <v>2050</v>
      </c>
      <c r="L75" s="5" t="str">
        <f aca="false">IF(AND(K75&gt;=Hypothèses!$B$9,K75&lt;=Hypothèses!$B$10),"actuel",IF(K75=2030,"2030",IF(K75=2050,"2050","autre")))</f>
        <v>2050</v>
      </c>
      <c r="M75" s="5"/>
      <c r="N75" s="5" t="s">
        <v>196</v>
      </c>
      <c r="O75" s="5"/>
      <c r="P75" s="5" t="s">
        <v>251</v>
      </c>
      <c r="Q75" s="5" t="s">
        <v>45</v>
      </c>
      <c r="R75" s="12" t="n">
        <f aca="false">INDEX(Hypothèses!$B$14:$B$17,MATCH(Q75,Hypothèses!$A$14:$A$17,0))</f>
        <v>1</v>
      </c>
      <c r="S75" s="15" t="str">
        <f aca="false">IF(G75="","",G75*R75)</f>
        <v/>
      </c>
      <c r="T75" s="15" t="n">
        <f aca="false">IF(H75="","",H75*R75)</f>
        <v>369.398535483871</v>
      </c>
      <c r="U75" s="15" t="str">
        <f aca="false">IF(I75="","",I75*R75)</f>
        <v/>
      </c>
      <c r="V75" s="5" t="s">
        <v>195</v>
      </c>
      <c r="W75" s="5" t="s">
        <v>70</v>
      </c>
      <c r="X75" s="5" t="s">
        <v>198</v>
      </c>
    </row>
    <row r="76" customFormat="false" ht="15" hidden="false" customHeight="false" outlineLevel="0" collapsed="false">
      <c r="A76" s="5" t="s">
        <v>282</v>
      </c>
      <c r="B76" s="5" t="s">
        <v>64</v>
      </c>
      <c r="C76" s="5" t="s">
        <v>100</v>
      </c>
      <c r="D76" s="5" t="s">
        <v>192</v>
      </c>
      <c r="E76" s="5" t="s">
        <v>193</v>
      </c>
      <c r="F76" s="5" t="s">
        <v>206</v>
      </c>
      <c r="G76" s="15"/>
      <c r="H76" s="15" t="n">
        <v>837.4724</v>
      </c>
      <c r="I76" s="15"/>
      <c r="J76" s="5" t="s">
        <v>195</v>
      </c>
      <c r="K76" s="5" t="n">
        <v>2020</v>
      </c>
      <c r="L76" s="5" t="str">
        <f aca="false">IF(AND(K76&gt;=Hypothèses!$B$9,K76&lt;=Hypothèses!$B$10),"actuel",IF(K76=2030,"2030",IF(K76=2050,"2050","autre")))</f>
        <v>actuel</v>
      </c>
      <c r="M76" s="5"/>
      <c r="N76" s="5" t="s">
        <v>196</v>
      </c>
      <c r="O76" s="5"/>
      <c r="P76" s="5" t="s">
        <v>283</v>
      </c>
      <c r="Q76" s="5" t="s">
        <v>45</v>
      </c>
      <c r="R76" s="12" t="n">
        <f aca="false">INDEX(Hypothèses!$B$14:$B$17,MATCH(Q76,Hypothèses!$A$14:$A$17,0))</f>
        <v>1</v>
      </c>
      <c r="S76" s="15" t="str">
        <f aca="false">IF(G76="","",G76*R76)</f>
        <v/>
      </c>
      <c r="T76" s="15" t="n">
        <f aca="false">IF(H76="","",H76*R76)</f>
        <v>837.4724</v>
      </c>
      <c r="U76" s="15" t="str">
        <f aca="false">IF(I76="","",I76*R76)</f>
        <v/>
      </c>
      <c r="V76" s="5" t="s">
        <v>195</v>
      </c>
      <c r="W76" s="5" t="s">
        <v>70</v>
      </c>
      <c r="X76" s="5" t="s">
        <v>198</v>
      </c>
    </row>
    <row r="77" customFormat="false" ht="15" hidden="false" customHeight="false" outlineLevel="0" collapsed="false">
      <c r="A77" s="5" t="s">
        <v>284</v>
      </c>
      <c r="B77" s="5" t="s">
        <v>64</v>
      </c>
      <c r="C77" s="5" t="s">
        <v>100</v>
      </c>
      <c r="D77" s="5" t="s">
        <v>192</v>
      </c>
      <c r="E77" s="5" t="s">
        <v>193</v>
      </c>
      <c r="F77" s="5" t="s">
        <v>206</v>
      </c>
      <c r="G77" s="15"/>
      <c r="H77" s="15" t="n">
        <v>372.2111</v>
      </c>
      <c r="I77" s="15"/>
      <c r="J77" s="5" t="s">
        <v>195</v>
      </c>
      <c r="K77" s="5" t="n">
        <v>2030</v>
      </c>
      <c r="L77" s="5" t="str">
        <f aca="false">IF(AND(K77&gt;=Hypothèses!$B$9,K77&lt;=Hypothèses!$B$10),"actuel",IF(K77=2030,"2030",IF(K77=2050,"2050","autre")))</f>
        <v>2030</v>
      </c>
      <c r="M77" s="5"/>
      <c r="N77" s="5" t="s">
        <v>196</v>
      </c>
      <c r="O77" s="5"/>
      <c r="P77" s="5" t="s">
        <v>283</v>
      </c>
      <c r="Q77" s="5" t="s">
        <v>45</v>
      </c>
      <c r="R77" s="12" t="n">
        <f aca="false">INDEX(Hypothèses!$B$14:$B$17,MATCH(Q77,Hypothèses!$A$14:$A$17,0))</f>
        <v>1</v>
      </c>
      <c r="S77" s="15" t="str">
        <f aca="false">IF(G77="","",G77*R77)</f>
        <v/>
      </c>
      <c r="T77" s="15" t="n">
        <f aca="false">IF(H77="","",H77*R77)</f>
        <v>372.2111</v>
      </c>
      <c r="U77" s="15" t="str">
        <f aca="false">IF(I77="","",I77*R77)</f>
        <v/>
      </c>
      <c r="V77" s="5" t="s">
        <v>195</v>
      </c>
      <c r="W77" s="5" t="s">
        <v>70</v>
      </c>
      <c r="X77" s="5" t="s">
        <v>198</v>
      </c>
    </row>
    <row r="78" customFormat="false" ht="15" hidden="false" customHeight="false" outlineLevel="0" collapsed="false">
      <c r="A78" s="5" t="s">
        <v>285</v>
      </c>
      <c r="B78" s="5" t="s">
        <v>64</v>
      </c>
      <c r="C78" s="5" t="s">
        <v>100</v>
      </c>
      <c r="D78" s="5" t="s">
        <v>192</v>
      </c>
      <c r="E78" s="5" t="s">
        <v>193</v>
      </c>
      <c r="F78" s="5" t="s">
        <v>206</v>
      </c>
      <c r="G78" s="15"/>
      <c r="H78" s="15" t="n">
        <v>186.1004</v>
      </c>
      <c r="I78" s="15"/>
      <c r="J78" s="5" t="s">
        <v>195</v>
      </c>
      <c r="K78" s="5" t="n">
        <v>2050</v>
      </c>
      <c r="L78" s="5" t="str">
        <f aca="false">IF(AND(K78&gt;=Hypothèses!$B$9,K78&lt;=Hypothèses!$B$10),"actuel",IF(K78=2030,"2030",IF(K78=2050,"2050","autre")))</f>
        <v>2050</v>
      </c>
      <c r="M78" s="5"/>
      <c r="N78" s="5" t="s">
        <v>196</v>
      </c>
      <c r="O78" s="5"/>
      <c r="P78" s="5" t="s">
        <v>283</v>
      </c>
      <c r="Q78" s="5" t="s">
        <v>45</v>
      </c>
      <c r="R78" s="12" t="n">
        <f aca="false">INDEX(Hypothèses!$B$14:$B$17,MATCH(Q78,Hypothèses!$A$14:$A$17,0))</f>
        <v>1</v>
      </c>
      <c r="S78" s="15" t="str">
        <f aca="false">IF(G78="","",G78*R78)</f>
        <v/>
      </c>
      <c r="T78" s="15" t="n">
        <f aca="false">IF(H78="","",H78*R78)</f>
        <v>186.1004</v>
      </c>
      <c r="U78" s="15" t="str">
        <f aca="false">IF(I78="","",I78*R78)</f>
        <v/>
      </c>
      <c r="V78" s="5" t="s">
        <v>195</v>
      </c>
      <c r="W78" s="5" t="s">
        <v>70</v>
      </c>
      <c r="X78" s="5" t="s">
        <v>198</v>
      </c>
    </row>
    <row r="79" customFormat="false" ht="15" hidden="false" customHeight="false" outlineLevel="0" collapsed="false">
      <c r="A79" s="5" t="s">
        <v>286</v>
      </c>
      <c r="B79" s="5" t="s">
        <v>64</v>
      </c>
      <c r="C79" s="5" t="s">
        <v>104</v>
      </c>
      <c r="D79" s="5" t="s">
        <v>192</v>
      </c>
      <c r="E79" s="5" t="s">
        <v>193</v>
      </c>
      <c r="F79" s="5" t="s">
        <v>206</v>
      </c>
      <c r="G79" s="15" t="n">
        <v>1103.13</v>
      </c>
      <c r="H79" s="15"/>
      <c r="I79" s="15"/>
      <c r="J79" s="5" t="s">
        <v>195</v>
      </c>
      <c r="K79" s="5" t="n">
        <v>2020</v>
      </c>
      <c r="L79" s="5" t="str">
        <f aca="false">IF(AND(K79&gt;=Hypothèses!$B$9,K79&lt;=Hypothèses!$B$10),"actuel",IF(K79=2030,"2030",IF(K79=2050,"2050","autre")))</f>
        <v>actuel</v>
      </c>
      <c r="M79" s="5"/>
      <c r="N79" s="5" t="s">
        <v>196</v>
      </c>
      <c r="O79" s="5"/>
      <c r="P79" s="5" t="s">
        <v>287</v>
      </c>
      <c r="Q79" s="5" t="s">
        <v>45</v>
      </c>
      <c r="R79" s="12" t="n">
        <f aca="false">INDEX(Hypothèses!$B$14:$B$17,MATCH(Q79,Hypothèses!$A$14:$A$17,0))</f>
        <v>1</v>
      </c>
      <c r="S79" s="15" t="n">
        <f aca="false">IF(G79="","",G79*R79)</f>
        <v>1103.13</v>
      </c>
      <c r="T79" s="15" t="str">
        <f aca="false">IF(H79="","",H79*R79)</f>
        <v/>
      </c>
      <c r="U79" s="15" t="str">
        <f aca="false">IF(I79="","",I79*R79)</f>
        <v/>
      </c>
      <c r="V79" s="5" t="s">
        <v>195</v>
      </c>
      <c r="W79" s="5" t="s">
        <v>70</v>
      </c>
      <c r="X79" s="5" t="s">
        <v>198</v>
      </c>
    </row>
    <row r="80" customFormat="false" ht="15" hidden="false" customHeight="false" outlineLevel="0" collapsed="false">
      <c r="A80" s="5" t="s">
        <v>288</v>
      </c>
      <c r="B80" s="5" t="s">
        <v>64</v>
      </c>
      <c r="C80" s="5" t="s">
        <v>104</v>
      </c>
      <c r="D80" s="5" t="s">
        <v>192</v>
      </c>
      <c r="E80" s="5" t="s">
        <v>193</v>
      </c>
      <c r="F80" s="5" t="s">
        <v>206</v>
      </c>
      <c r="G80" s="15" t="n">
        <v>306.94</v>
      </c>
      <c r="H80" s="15"/>
      <c r="I80" s="15"/>
      <c r="J80" s="5" t="s">
        <v>195</v>
      </c>
      <c r="K80" s="5" t="n">
        <v>2030</v>
      </c>
      <c r="L80" s="5" t="str">
        <f aca="false">IF(AND(K80&gt;=Hypothèses!$B$9,K80&lt;=Hypothèses!$B$10),"actuel",IF(K80=2030,"2030",IF(K80=2050,"2050","autre")))</f>
        <v>2030</v>
      </c>
      <c r="M80" s="5"/>
      <c r="N80" s="5" t="s">
        <v>196</v>
      </c>
      <c r="O80" s="5"/>
      <c r="P80" s="5" t="s">
        <v>287</v>
      </c>
      <c r="Q80" s="5" t="s">
        <v>45</v>
      </c>
      <c r="R80" s="12" t="n">
        <f aca="false">INDEX(Hypothèses!$B$14:$B$17,MATCH(Q80,Hypothèses!$A$14:$A$17,0))</f>
        <v>1</v>
      </c>
      <c r="S80" s="15" t="n">
        <f aca="false">IF(G80="","",G80*R80)</f>
        <v>306.94</v>
      </c>
      <c r="T80" s="15" t="str">
        <f aca="false">IF(H80="","",H80*R80)</f>
        <v/>
      </c>
      <c r="U80" s="15" t="str">
        <f aca="false">IF(I80="","",I80*R80)</f>
        <v/>
      </c>
      <c r="V80" s="5" t="s">
        <v>195</v>
      </c>
      <c r="W80" s="5" t="s">
        <v>70</v>
      </c>
      <c r="X80" s="5" t="s">
        <v>198</v>
      </c>
    </row>
    <row r="81" customFormat="false" ht="15" hidden="false" customHeight="false" outlineLevel="0" collapsed="false">
      <c r="A81" s="5" t="s">
        <v>289</v>
      </c>
      <c r="B81" s="5" t="s">
        <v>64</v>
      </c>
      <c r="C81" s="5" t="s">
        <v>104</v>
      </c>
      <c r="D81" s="5" t="s">
        <v>192</v>
      </c>
      <c r="E81" s="5" t="s">
        <v>193</v>
      </c>
      <c r="F81" s="5" t="s">
        <v>206</v>
      </c>
      <c r="G81" s="15" t="n">
        <v>238.96</v>
      </c>
      <c r="H81" s="15"/>
      <c r="I81" s="15"/>
      <c r="J81" s="5" t="s">
        <v>195</v>
      </c>
      <c r="K81" s="5" t="n">
        <v>2050</v>
      </c>
      <c r="L81" s="5" t="str">
        <f aca="false">IF(AND(K81&gt;=Hypothèses!$B$9,K81&lt;=Hypothèses!$B$10),"actuel",IF(K81=2030,"2030",IF(K81=2050,"2050","autre")))</f>
        <v>2050</v>
      </c>
      <c r="M81" s="5"/>
      <c r="N81" s="5" t="s">
        <v>196</v>
      </c>
      <c r="O81" s="5"/>
      <c r="P81" s="5" t="s">
        <v>287</v>
      </c>
      <c r="Q81" s="5" t="s">
        <v>45</v>
      </c>
      <c r="R81" s="12" t="n">
        <f aca="false">INDEX(Hypothèses!$B$14:$B$17,MATCH(Q81,Hypothèses!$A$14:$A$17,0))</f>
        <v>1</v>
      </c>
      <c r="S81" s="15" t="n">
        <f aca="false">IF(G81="","",G81*R81)</f>
        <v>238.96</v>
      </c>
      <c r="T81" s="15" t="str">
        <f aca="false">IF(H81="","",H81*R81)</f>
        <v/>
      </c>
      <c r="U81" s="15" t="str">
        <f aca="false">IF(I81="","",I81*R81)</f>
        <v/>
      </c>
      <c r="V81" s="5" t="s">
        <v>195</v>
      </c>
      <c r="W81" s="5" t="s">
        <v>70</v>
      </c>
      <c r="X81" s="5" t="s">
        <v>198</v>
      </c>
    </row>
    <row r="82" customFormat="false" ht="15" hidden="false" customHeight="false" outlineLevel="0" collapsed="false">
      <c r="A82" s="5" t="s">
        <v>290</v>
      </c>
      <c r="B82" s="5" t="s">
        <v>64</v>
      </c>
      <c r="C82" s="5" t="s">
        <v>108</v>
      </c>
      <c r="D82" s="5" t="s">
        <v>192</v>
      </c>
      <c r="E82" s="5" t="s">
        <v>193</v>
      </c>
      <c r="F82" s="5" t="s">
        <v>206</v>
      </c>
      <c r="G82" s="15"/>
      <c r="H82" s="15" t="n">
        <v>793.1</v>
      </c>
      <c r="I82" s="15"/>
      <c r="J82" s="5" t="s">
        <v>195</v>
      </c>
      <c r="K82" s="5" t="n">
        <v>2020</v>
      </c>
      <c r="L82" s="5" t="str">
        <f aca="false">IF(AND(K82&gt;=Hypothèses!$B$9,K82&lt;=Hypothèses!$B$10),"actuel",IF(K82=2030,"2030",IF(K82=2050,"2050","autre")))</f>
        <v>actuel</v>
      </c>
      <c r="M82" s="5"/>
      <c r="N82" s="5" t="s">
        <v>196</v>
      </c>
      <c r="O82" s="5"/>
      <c r="P82" s="5" t="s">
        <v>230</v>
      </c>
      <c r="Q82" s="5" t="s">
        <v>45</v>
      </c>
      <c r="R82" s="12" t="n">
        <f aca="false">INDEX(Hypothèses!$B$14:$B$17,MATCH(Q82,Hypothèses!$A$14:$A$17,0))</f>
        <v>1</v>
      </c>
      <c r="S82" s="15" t="str">
        <f aca="false">IF(G82="","",G82*R82)</f>
        <v/>
      </c>
      <c r="T82" s="15" t="n">
        <f aca="false">IF(H82="","",H82*R82)</f>
        <v>793.1</v>
      </c>
      <c r="U82" s="15" t="str">
        <f aca="false">IF(I82="","",I82*R82)</f>
        <v/>
      </c>
      <c r="V82" s="5" t="s">
        <v>195</v>
      </c>
      <c r="W82" s="5" t="s">
        <v>70</v>
      </c>
      <c r="X82" s="5" t="s">
        <v>198</v>
      </c>
    </row>
    <row r="83" customFormat="false" ht="15" hidden="false" customHeight="false" outlineLevel="0" collapsed="false">
      <c r="A83" s="5" t="s">
        <v>291</v>
      </c>
      <c r="B83" s="5" t="s">
        <v>64</v>
      </c>
      <c r="C83" s="5" t="s">
        <v>108</v>
      </c>
      <c r="D83" s="5" t="s">
        <v>192</v>
      </c>
      <c r="E83" s="5" t="s">
        <v>193</v>
      </c>
      <c r="F83" s="5" t="s">
        <v>206</v>
      </c>
      <c r="G83" s="15"/>
      <c r="H83" s="15" t="n">
        <v>556.2</v>
      </c>
      <c r="I83" s="15"/>
      <c r="J83" s="5" t="s">
        <v>195</v>
      </c>
      <c r="K83" s="5" t="n">
        <v>2030</v>
      </c>
      <c r="L83" s="5" t="str">
        <f aca="false">IF(AND(K83&gt;=Hypothèses!$B$9,K83&lt;=Hypothèses!$B$10),"actuel",IF(K83=2030,"2030",IF(K83=2050,"2050","autre")))</f>
        <v>2030</v>
      </c>
      <c r="M83" s="5"/>
      <c r="N83" s="5" t="s">
        <v>196</v>
      </c>
      <c r="O83" s="5"/>
      <c r="P83" s="5" t="s">
        <v>230</v>
      </c>
      <c r="Q83" s="5" t="s">
        <v>45</v>
      </c>
      <c r="R83" s="12" t="n">
        <f aca="false">INDEX(Hypothèses!$B$14:$B$17,MATCH(Q83,Hypothèses!$A$14:$A$17,0))</f>
        <v>1</v>
      </c>
      <c r="S83" s="15" t="str">
        <f aca="false">IF(G83="","",G83*R83)</f>
        <v/>
      </c>
      <c r="T83" s="15" t="n">
        <f aca="false">IF(H83="","",H83*R83)</f>
        <v>556.2</v>
      </c>
      <c r="U83" s="15" t="str">
        <f aca="false">IF(I83="","",I83*R83)</f>
        <v/>
      </c>
      <c r="V83" s="5" t="s">
        <v>195</v>
      </c>
      <c r="W83" s="5" t="s">
        <v>70</v>
      </c>
      <c r="X83" s="5" t="s">
        <v>198</v>
      </c>
    </row>
    <row r="84" customFormat="false" ht="15" hidden="false" customHeight="false" outlineLevel="0" collapsed="false">
      <c r="A84" s="5" t="s">
        <v>292</v>
      </c>
      <c r="B84" s="5" t="s">
        <v>64</v>
      </c>
      <c r="C84" s="5" t="s">
        <v>108</v>
      </c>
      <c r="D84" s="5" t="s">
        <v>192</v>
      </c>
      <c r="E84" s="5" t="s">
        <v>193</v>
      </c>
      <c r="F84" s="5" t="s">
        <v>206</v>
      </c>
      <c r="G84" s="15"/>
      <c r="H84" s="15" t="n">
        <v>448.05</v>
      </c>
      <c r="I84" s="15"/>
      <c r="J84" s="5" t="s">
        <v>195</v>
      </c>
      <c r="K84" s="5" t="n">
        <v>2040</v>
      </c>
      <c r="L84" s="5" t="str">
        <f aca="false">IF(AND(K84&gt;=Hypothèses!$B$9,K84&lt;=Hypothèses!$B$10),"actuel",IF(K84=2030,"2030",IF(K84=2050,"2050","autre")))</f>
        <v>autre</v>
      </c>
      <c r="M84" s="5"/>
      <c r="N84" s="5" t="s">
        <v>196</v>
      </c>
      <c r="O84" s="5"/>
      <c r="P84" s="5" t="s">
        <v>230</v>
      </c>
      <c r="Q84" s="5" t="s">
        <v>45</v>
      </c>
      <c r="R84" s="12" t="n">
        <f aca="false">INDEX(Hypothèses!$B$14:$B$17,MATCH(Q84,Hypothèses!$A$14:$A$17,0))</f>
        <v>1</v>
      </c>
      <c r="S84" s="15" t="str">
        <f aca="false">IF(G84="","",G84*R84)</f>
        <v/>
      </c>
      <c r="T84" s="15" t="n">
        <f aca="false">IF(H84="","",H84*R84)</f>
        <v>448.05</v>
      </c>
      <c r="U84" s="15" t="str">
        <f aca="false">IF(I84="","",I84*R84)</f>
        <v/>
      </c>
      <c r="V84" s="5" t="s">
        <v>195</v>
      </c>
      <c r="W84" s="5" t="s">
        <v>70</v>
      </c>
      <c r="X84" s="5" t="s">
        <v>198</v>
      </c>
    </row>
    <row r="85" customFormat="false" ht="15" hidden="false" customHeight="false" outlineLevel="0" collapsed="false">
      <c r="A85" s="5" t="s">
        <v>293</v>
      </c>
      <c r="B85" s="5" t="s">
        <v>64</v>
      </c>
      <c r="C85" s="5" t="s">
        <v>108</v>
      </c>
      <c r="D85" s="5" t="s">
        <v>192</v>
      </c>
      <c r="E85" s="5" t="s">
        <v>193</v>
      </c>
      <c r="F85" s="5" t="s">
        <v>206</v>
      </c>
      <c r="G85" s="15"/>
      <c r="H85" s="15" t="n">
        <v>381.1</v>
      </c>
      <c r="I85" s="15"/>
      <c r="J85" s="5" t="s">
        <v>195</v>
      </c>
      <c r="K85" s="5" t="n">
        <v>2050</v>
      </c>
      <c r="L85" s="5" t="str">
        <f aca="false">IF(AND(K85&gt;=Hypothèses!$B$9,K85&lt;=Hypothèses!$B$10),"actuel",IF(K85=2030,"2030",IF(K85=2050,"2050","autre")))</f>
        <v>2050</v>
      </c>
      <c r="M85" s="5"/>
      <c r="N85" s="5" t="s">
        <v>196</v>
      </c>
      <c r="O85" s="5"/>
      <c r="P85" s="5" t="s">
        <v>230</v>
      </c>
      <c r="Q85" s="5" t="s">
        <v>45</v>
      </c>
      <c r="R85" s="12" t="n">
        <f aca="false">INDEX(Hypothèses!$B$14:$B$17,MATCH(Q85,Hypothèses!$A$14:$A$17,0))</f>
        <v>1</v>
      </c>
      <c r="S85" s="15" t="str">
        <f aca="false">IF(G85="","",G85*R85)</f>
        <v/>
      </c>
      <c r="T85" s="15" t="n">
        <f aca="false">IF(H85="","",H85*R85)</f>
        <v>381.1</v>
      </c>
      <c r="U85" s="15" t="str">
        <f aca="false">IF(I85="","",I85*R85)</f>
        <v/>
      </c>
      <c r="V85" s="5" t="s">
        <v>195</v>
      </c>
      <c r="W85" s="5" t="s">
        <v>70</v>
      </c>
      <c r="X85" s="5" t="s">
        <v>198</v>
      </c>
    </row>
    <row r="86" customFormat="false" ht="15" hidden="false" customHeight="false" outlineLevel="0" collapsed="false">
      <c r="A86" s="5" t="s">
        <v>294</v>
      </c>
      <c r="B86" s="5" t="s">
        <v>64</v>
      </c>
      <c r="C86" s="5" t="s">
        <v>112</v>
      </c>
      <c r="D86" s="5" t="s">
        <v>192</v>
      </c>
      <c r="E86" s="5" t="s">
        <v>193</v>
      </c>
      <c r="F86" s="5" t="s">
        <v>206</v>
      </c>
      <c r="G86" s="15"/>
      <c r="H86" s="15" t="n">
        <v>693.269230769231</v>
      </c>
      <c r="I86" s="15"/>
      <c r="J86" s="5" t="s">
        <v>195</v>
      </c>
      <c r="K86" s="5" t="n">
        <v>2020</v>
      </c>
      <c r="L86" s="5" t="str">
        <f aca="false">IF(AND(K86&gt;=Hypothèses!$B$9,K86&lt;=Hypothèses!$B$10),"actuel",IF(K86=2030,"2030",IF(K86=2050,"2050","autre")))</f>
        <v>actuel</v>
      </c>
      <c r="M86" s="5"/>
      <c r="N86" s="5" t="s">
        <v>196</v>
      </c>
      <c r="O86" s="5"/>
      <c r="P86" s="5" t="s">
        <v>295</v>
      </c>
      <c r="Q86" s="5" t="s">
        <v>45</v>
      </c>
      <c r="R86" s="12" t="n">
        <f aca="false">INDEX(Hypothèses!$B$14:$B$17,MATCH(Q86,Hypothèses!$A$14:$A$17,0))</f>
        <v>1</v>
      </c>
      <c r="S86" s="15" t="str">
        <f aca="false">IF(G86="","",G86*R86)</f>
        <v/>
      </c>
      <c r="T86" s="15" t="n">
        <f aca="false">IF(H86="","",H86*R86)</f>
        <v>693.269230769231</v>
      </c>
      <c r="U86" s="15" t="str">
        <f aca="false">IF(I86="","",I86*R86)</f>
        <v/>
      </c>
      <c r="V86" s="5" t="s">
        <v>195</v>
      </c>
      <c r="W86" s="5" t="s">
        <v>70</v>
      </c>
      <c r="X86" s="5" t="s">
        <v>198</v>
      </c>
    </row>
    <row r="87" customFormat="false" ht="15" hidden="false" customHeight="false" outlineLevel="0" collapsed="false">
      <c r="A87" s="5" t="s">
        <v>296</v>
      </c>
      <c r="B87" s="5" t="s">
        <v>64</v>
      </c>
      <c r="C87" s="5" t="s">
        <v>112</v>
      </c>
      <c r="D87" s="5" t="s">
        <v>192</v>
      </c>
      <c r="E87" s="5" t="s">
        <v>193</v>
      </c>
      <c r="F87" s="5" t="s">
        <v>206</v>
      </c>
      <c r="G87" s="15"/>
      <c r="H87" s="15" t="n">
        <v>594.230769230769</v>
      </c>
      <c r="I87" s="15"/>
      <c r="J87" s="5" t="s">
        <v>195</v>
      </c>
      <c r="K87" s="5" t="n">
        <v>2030</v>
      </c>
      <c r="L87" s="5" t="str">
        <f aca="false">IF(AND(K87&gt;=Hypothèses!$B$9,K87&lt;=Hypothèses!$B$10),"actuel",IF(K87=2030,"2030",IF(K87=2050,"2050","autre")))</f>
        <v>2030</v>
      </c>
      <c r="M87" s="5"/>
      <c r="N87" s="5" t="s">
        <v>196</v>
      </c>
      <c r="O87" s="5"/>
      <c r="P87" s="5" t="s">
        <v>295</v>
      </c>
      <c r="Q87" s="5" t="s">
        <v>45</v>
      </c>
      <c r="R87" s="12" t="n">
        <f aca="false">INDEX(Hypothèses!$B$14:$B$17,MATCH(Q87,Hypothèses!$A$14:$A$17,0))</f>
        <v>1</v>
      </c>
      <c r="S87" s="15" t="str">
        <f aca="false">IF(G87="","",G87*R87)</f>
        <v/>
      </c>
      <c r="T87" s="15" t="n">
        <f aca="false">IF(H87="","",H87*R87)</f>
        <v>594.230769230769</v>
      </c>
      <c r="U87" s="15" t="str">
        <f aca="false">IF(I87="","",I87*R87)</f>
        <v/>
      </c>
      <c r="V87" s="5" t="s">
        <v>195</v>
      </c>
      <c r="W87" s="5" t="s">
        <v>70</v>
      </c>
      <c r="X87" s="5" t="s">
        <v>198</v>
      </c>
    </row>
    <row r="88" customFormat="false" ht="15" hidden="false" customHeight="false" outlineLevel="0" collapsed="false">
      <c r="A88" s="5" t="s">
        <v>297</v>
      </c>
      <c r="B88" s="5" t="s">
        <v>64</v>
      </c>
      <c r="C88" s="5" t="s">
        <v>112</v>
      </c>
      <c r="D88" s="5" t="s">
        <v>192</v>
      </c>
      <c r="E88" s="5" t="s">
        <v>193</v>
      </c>
      <c r="F88" s="5" t="s">
        <v>206</v>
      </c>
      <c r="G88" s="15"/>
      <c r="H88" s="15" t="n">
        <v>515</v>
      </c>
      <c r="I88" s="15"/>
      <c r="J88" s="5" t="s">
        <v>195</v>
      </c>
      <c r="K88" s="5" t="n">
        <v>2040</v>
      </c>
      <c r="L88" s="5" t="str">
        <f aca="false">IF(AND(K88&gt;=Hypothèses!$B$9,K88&lt;=Hypothèses!$B$10),"actuel",IF(K88=2030,"2030",IF(K88=2050,"2050","autre")))</f>
        <v>autre</v>
      </c>
      <c r="M88" s="5"/>
      <c r="N88" s="5" t="s">
        <v>196</v>
      </c>
      <c r="O88" s="5"/>
      <c r="P88" s="5" t="s">
        <v>295</v>
      </c>
      <c r="Q88" s="5" t="s">
        <v>45</v>
      </c>
      <c r="R88" s="12" t="n">
        <f aca="false">INDEX(Hypothèses!$B$14:$B$17,MATCH(Q88,Hypothèses!$A$14:$A$17,0))</f>
        <v>1</v>
      </c>
      <c r="S88" s="15" t="str">
        <f aca="false">IF(G88="","",G88*R88)</f>
        <v/>
      </c>
      <c r="T88" s="15" t="n">
        <f aca="false">IF(H88="","",H88*R88)</f>
        <v>515</v>
      </c>
      <c r="U88" s="15" t="str">
        <f aca="false">IF(I88="","",I88*R88)</f>
        <v/>
      </c>
      <c r="V88" s="5" t="s">
        <v>195</v>
      </c>
      <c r="W88" s="5" t="s">
        <v>70</v>
      </c>
      <c r="X88" s="5" t="s">
        <v>198</v>
      </c>
    </row>
    <row r="89" customFormat="false" ht="15" hidden="false" customHeight="false" outlineLevel="0" collapsed="false">
      <c r="A89" s="5" t="s">
        <v>298</v>
      </c>
      <c r="B89" s="5" t="s">
        <v>64</v>
      </c>
      <c r="C89" s="5" t="s">
        <v>112</v>
      </c>
      <c r="D89" s="5" t="s">
        <v>192</v>
      </c>
      <c r="E89" s="5" t="s">
        <v>193</v>
      </c>
      <c r="F89" s="5" t="s">
        <v>206</v>
      </c>
      <c r="G89" s="15"/>
      <c r="H89" s="15" t="n">
        <v>445.673076923077</v>
      </c>
      <c r="I89" s="15"/>
      <c r="J89" s="5" t="s">
        <v>195</v>
      </c>
      <c r="K89" s="5" t="n">
        <v>2050</v>
      </c>
      <c r="L89" s="5" t="str">
        <f aca="false">IF(AND(K89&gt;=Hypothèses!$B$9,K89&lt;=Hypothèses!$B$10),"actuel",IF(K89=2030,"2030",IF(K89=2050,"2050","autre")))</f>
        <v>2050</v>
      </c>
      <c r="M89" s="5"/>
      <c r="N89" s="5" t="s">
        <v>196</v>
      </c>
      <c r="O89" s="5"/>
      <c r="P89" s="5" t="s">
        <v>295</v>
      </c>
      <c r="Q89" s="5" t="s">
        <v>45</v>
      </c>
      <c r="R89" s="12" t="n">
        <f aca="false">INDEX(Hypothèses!$B$14:$B$17,MATCH(Q89,Hypothèses!$A$14:$A$17,0))</f>
        <v>1</v>
      </c>
      <c r="S89" s="15" t="str">
        <f aca="false">IF(G89="","",G89*R89)</f>
        <v/>
      </c>
      <c r="T89" s="15" t="n">
        <f aca="false">IF(H89="","",H89*R89)</f>
        <v>445.673076923077</v>
      </c>
      <c r="U89" s="15" t="str">
        <f aca="false">IF(I89="","",I89*R89)</f>
        <v/>
      </c>
      <c r="V89" s="5" t="s">
        <v>195</v>
      </c>
      <c r="W89" s="5" t="s">
        <v>70</v>
      </c>
      <c r="X89" s="5" t="s">
        <v>198</v>
      </c>
    </row>
    <row r="90" customFormat="false" ht="15" hidden="false" customHeight="false" outlineLevel="0" collapsed="false">
      <c r="A90" s="5" t="s">
        <v>299</v>
      </c>
      <c r="B90" s="5" t="s">
        <v>64</v>
      </c>
      <c r="C90" s="5" t="s">
        <v>118</v>
      </c>
      <c r="D90" s="5" t="s">
        <v>192</v>
      </c>
      <c r="E90" s="5" t="s">
        <v>193</v>
      </c>
      <c r="F90" s="5" t="s">
        <v>206</v>
      </c>
      <c r="G90" s="15" t="n">
        <v>1138.9328</v>
      </c>
      <c r="H90" s="15" t="n">
        <v>1145.4012</v>
      </c>
      <c r="I90" s="15" t="n">
        <v>1151.8696</v>
      </c>
      <c r="J90" s="5" t="s">
        <v>195</v>
      </c>
      <c r="K90" s="5" t="n">
        <v>2020</v>
      </c>
      <c r="L90" s="5" t="str">
        <f aca="false">IF(AND(K90&gt;=Hypothèses!$B$9,K90&lt;=Hypothèses!$B$10),"actuel",IF(K90=2030,"2030",IF(K90=2050,"2050","autre")))</f>
        <v>actuel</v>
      </c>
      <c r="M90" s="5"/>
      <c r="N90" s="5" t="s">
        <v>196</v>
      </c>
      <c r="O90" s="5"/>
      <c r="P90" s="5" t="s">
        <v>300</v>
      </c>
      <c r="Q90" s="5" t="s">
        <v>45</v>
      </c>
      <c r="R90" s="12" t="n">
        <f aca="false">INDEX(Hypothèses!$B$14:$B$17,MATCH(Q90,Hypothèses!$A$14:$A$17,0))</f>
        <v>1</v>
      </c>
      <c r="S90" s="15" t="n">
        <f aca="false">IF(G90="","",G90*R90)</f>
        <v>1138.9328</v>
      </c>
      <c r="T90" s="15" t="n">
        <f aca="false">IF(H90="","",H90*R90)</f>
        <v>1145.4012</v>
      </c>
      <c r="U90" s="15" t="n">
        <f aca="false">IF(I90="","",I90*R90)</f>
        <v>1151.8696</v>
      </c>
      <c r="V90" s="5" t="s">
        <v>195</v>
      </c>
      <c r="W90" s="5" t="s">
        <v>70</v>
      </c>
      <c r="X90" s="5" t="s">
        <v>198</v>
      </c>
    </row>
    <row r="91" customFormat="false" ht="15" hidden="false" customHeight="false" outlineLevel="0" collapsed="false">
      <c r="A91" s="5" t="s">
        <v>301</v>
      </c>
      <c r="B91" s="5" t="s">
        <v>64</v>
      </c>
      <c r="C91" s="5" t="s">
        <v>118</v>
      </c>
      <c r="D91" s="5" t="s">
        <v>192</v>
      </c>
      <c r="E91" s="5" t="s">
        <v>193</v>
      </c>
      <c r="F91" s="5" t="s">
        <v>206</v>
      </c>
      <c r="G91" s="15" t="n">
        <v>718.30346</v>
      </c>
      <c r="H91" s="15" t="n">
        <v>905.96843</v>
      </c>
      <c r="I91" s="15" t="n">
        <v>1093.6334</v>
      </c>
      <c r="J91" s="5" t="s">
        <v>195</v>
      </c>
      <c r="K91" s="5" t="n">
        <v>2025</v>
      </c>
      <c r="L91" s="5" t="str">
        <f aca="false">IF(AND(K91&gt;=Hypothèses!$B$9,K91&lt;=Hypothèses!$B$10),"actuel",IF(K91=2030,"2030",IF(K91=2050,"2050","autre")))</f>
        <v>actuel</v>
      </c>
      <c r="M91" s="5"/>
      <c r="N91" s="5" t="s">
        <v>196</v>
      </c>
      <c r="O91" s="5"/>
      <c r="P91" s="5" t="s">
        <v>300</v>
      </c>
      <c r="Q91" s="5" t="s">
        <v>45</v>
      </c>
      <c r="R91" s="12" t="n">
        <f aca="false">INDEX(Hypothèses!$B$14:$B$17,MATCH(Q91,Hypothèses!$A$14:$A$17,0))</f>
        <v>1</v>
      </c>
      <c r="S91" s="15" t="n">
        <f aca="false">IF(G91="","",G91*R91)</f>
        <v>718.30346</v>
      </c>
      <c r="T91" s="15" t="n">
        <f aca="false">IF(H91="","",H91*R91)</f>
        <v>905.96843</v>
      </c>
      <c r="U91" s="15" t="n">
        <f aca="false">IF(I91="","",I91*R91)</f>
        <v>1093.6334</v>
      </c>
      <c r="V91" s="5" t="s">
        <v>195</v>
      </c>
      <c r="W91" s="5" t="s">
        <v>70</v>
      </c>
      <c r="X91" s="5" t="s">
        <v>198</v>
      </c>
    </row>
    <row r="92" customFormat="false" ht="15" hidden="false" customHeight="false" outlineLevel="0" collapsed="false">
      <c r="A92" s="5" t="s">
        <v>302</v>
      </c>
      <c r="B92" s="5" t="s">
        <v>64</v>
      </c>
      <c r="C92" s="5" t="s">
        <v>118</v>
      </c>
      <c r="D92" s="5" t="s">
        <v>192</v>
      </c>
      <c r="E92" s="5" t="s">
        <v>193</v>
      </c>
      <c r="F92" s="5" t="s">
        <v>206</v>
      </c>
      <c r="G92" s="15" t="n">
        <v>533.87475</v>
      </c>
      <c r="H92" s="15" t="n">
        <v>757.130855</v>
      </c>
      <c r="I92" s="15" t="n">
        <v>980.38696</v>
      </c>
      <c r="J92" s="5" t="s">
        <v>195</v>
      </c>
      <c r="K92" s="5" t="n">
        <v>2030</v>
      </c>
      <c r="L92" s="5" t="str">
        <f aca="false">IF(AND(K92&gt;=Hypothèses!$B$9,K92&lt;=Hypothèses!$B$10),"actuel",IF(K92=2030,"2030",IF(K92=2050,"2050","autre")))</f>
        <v>2030</v>
      </c>
      <c r="M92" s="5"/>
      <c r="N92" s="5" t="s">
        <v>196</v>
      </c>
      <c r="O92" s="5"/>
      <c r="P92" s="5" t="s">
        <v>300</v>
      </c>
      <c r="Q92" s="5" t="s">
        <v>45</v>
      </c>
      <c r="R92" s="12" t="n">
        <f aca="false">INDEX(Hypothèses!$B$14:$B$17,MATCH(Q92,Hypothèses!$A$14:$A$17,0))</f>
        <v>1</v>
      </c>
      <c r="S92" s="15" t="n">
        <f aca="false">IF(G92="","",G92*R92)</f>
        <v>533.87475</v>
      </c>
      <c r="T92" s="15" t="n">
        <f aca="false">IF(H92="","",H92*R92)</f>
        <v>757.130855</v>
      </c>
      <c r="U92" s="15" t="n">
        <f aca="false">IF(I92="","",I92*R92)</f>
        <v>980.38696</v>
      </c>
      <c r="V92" s="5" t="s">
        <v>195</v>
      </c>
      <c r="W92" s="5" t="s">
        <v>70</v>
      </c>
      <c r="X92" s="5" t="s">
        <v>198</v>
      </c>
    </row>
    <row r="93" customFormat="false" ht="15" hidden="false" customHeight="false" outlineLevel="0" collapsed="false">
      <c r="A93" s="5" t="s">
        <v>303</v>
      </c>
      <c r="B93" s="5" t="s">
        <v>64</v>
      </c>
      <c r="C93" s="5" t="s">
        <v>118</v>
      </c>
      <c r="D93" s="5" t="s">
        <v>192</v>
      </c>
      <c r="E93" s="5" t="s">
        <v>193</v>
      </c>
      <c r="F93" s="5" t="s">
        <v>206</v>
      </c>
      <c r="G93" s="15" t="n">
        <v>339.73829</v>
      </c>
      <c r="H93" s="15" t="n">
        <v>618</v>
      </c>
      <c r="I93" s="15" t="n">
        <v>896.26171</v>
      </c>
      <c r="J93" s="5" t="s">
        <v>195</v>
      </c>
      <c r="K93" s="5" t="n">
        <v>2035</v>
      </c>
      <c r="L93" s="5" t="str">
        <f aca="false">IF(AND(K93&gt;=Hypothèses!$B$9,K93&lt;=Hypothèses!$B$10),"actuel",IF(K93=2030,"2030",IF(K93=2050,"2050","autre")))</f>
        <v>autre</v>
      </c>
      <c r="M93" s="5"/>
      <c r="N93" s="5" t="s">
        <v>196</v>
      </c>
      <c r="O93" s="5"/>
      <c r="P93" s="5" t="s">
        <v>300</v>
      </c>
      <c r="Q93" s="5" t="s">
        <v>45</v>
      </c>
      <c r="R93" s="12" t="n">
        <f aca="false">INDEX(Hypothèses!$B$14:$B$17,MATCH(Q93,Hypothèses!$A$14:$A$17,0))</f>
        <v>1</v>
      </c>
      <c r="S93" s="15" t="n">
        <f aca="false">IF(G93="","",G93*R93)</f>
        <v>339.73829</v>
      </c>
      <c r="T93" s="15" t="n">
        <f aca="false">IF(H93="","",H93*R93)</f>
        <v>618</v>
      </c>
      <c r="U93" s="15" t="n">
        <f aca="false">IF(I93="","",I93*R93)</f>
        <v>896.26171</v>
      </c>
      <c r="V93" s="5" t="s">
        <v>195</v>
      </c>
      <c r="W93" s="5" t="s">
        <v>70</v>
      </c>
      <c r="X93" s="5" t="s">
        <v>198</v>
      </c>
    </row>
    <row r="94" customFormat="false" ht="15" hidden="false" customHeight="false" outlineLevel="0" collapsed="false">
      <c r="A94" s="5" t="s">
        <v>304</v>
      </c>
      <c r="B94" s="5" t="s">
        <v>64</v>
      </c>
      <c r="C94" s="5" t="s">
        <v>118</v>
      </c>
      <c r="D94" s="5" t="s">
        <v>192</v>
      </c>
      <c r="E94" s="5" t="s">
        <v>193</v>
      </c>
      <c r="F94" s="5" t="s">
        <v>206</v>
      </c>
      <c r="G94" s="15" t="n">
        <v>236.19857</v>
      </c>
      <c r="H94" s="15" t="n">
        <v>506.37169</v>
      </c>
      <c r="I94" s="15" t="n">
        <v>776.54481</v>
      </c>
      <c r="J94" s="5" t="s">
        <v>195</v>
      </c>
      <c r="K94" s="5" t="n">
        <v>2040</v>
      </c>
      <c r="L94" s="5" t="str">
        <f aca="false">IF(AND(K94&gt;=Hypothèses!$B$9,K94&lt;=Hypothèses!$B$10),"actuel",IF(K94=2030,"2030",IF(K94=2050,"2050","autre")))</f>
        <v>autre</v>
      </c>
      <c r="M94" s="5"/>
      <c r="N94" s="5" t="s">
        <v>196</v>
      </c>
      <c r="O94" s="5"/>
      <c r="P94" s="5" t="s">
        <v>300</v>
      </c>
      <c r="Q94" s="5" t="s">
        <v>45</v>
      </c>
      <c r="R94" s="12" t="n">
        <f aca="false">INDEX(Hypothèses!$B$14:$B$17,MATCH(Q94,Hypothèses!$A$14:$A$17,0))</f>
        <v>1</v>
      </c>
      <c r="S94" s="15" t="n">
        <f aca="false">IF(G94="","",G94*R94)</f>
        <v>236.19857</v>
      </c>
      <c r="T94" s="15" t="n">
        <f aca="false">IF(H94="","",H94*R94)</f>
        <v>506.37169</v>
      </c>
      <c r="U94" s="15" t="n">
        <f aca="false">IF(I94="","",I94*R94)</f>
        <v>776.54481</v>
      </c>
      <c r="V94" s="5" t="s">
        <v>195</v>
      </c>
      <c r="W94" s="5" t="s">
        <v>70</v>
      </c>
      <c r="X94" s="5" t="s">
        <v>198</v>
      </c>
    </row>
    <row r="95" customFormat="false" ht="15" hidden="false" customHeight="false" outlineLevel="0" collapsed="false">
      <c r="A95" s="5" t="s">
        <v>305</v>
      </c>
      <c r="B95" s="5" t="s">
        <v>64</v>
      </c>
      <c r="C95" s="5" t="s">
        <v>118</v>
      </c>
      <c r="D95" s="5" t="s">
        <v>192</v>
      </c>
      <c r="E95" s="5" t="s">
        <v>193</v>
      </c>
      <c r="F95" s="5" t="s">
        <v>206</v>
      </c>
      <c r="G95" s="15" t="n">
        <v>171.48676</v>
      </c>
      <c r="H95" s="15" t="n">
        <v>430.33503</v>
      </c>
      <c r="I95" s="15" t="n">
        <v>689.1833</v>
      </c>
      <c r="J95" s="5" t="s">
        <v>195</v>
      </c>
      <c r="K95" s="5" t="n">
        <v>2045</v>
      </c>
      <c r="L95" s="5" t="str">
        <f aca="false">IF(AND(K95&gt;=Hypothèses!$B$9,K95&lt;=Hypothèses!$B$10),"actuel",IF(K95=2030,"2030",IF(K95=2050,"2050","autre")))</f>
        <v>autre</v>
      </c>
      <c r="M95" s="5"/>
      <c r="N95" s="5" t="s">
        <v>196</v>
      </c>
      <c r="O95" s="5"/>
      <c r="P95" s="5" t="s">
        <v>300</v>
      </c>
      <c r="Q95" s="5" t="s">
        <v>45</v>
      </c>
      <c r="R95" s="12" t="n">
        <f aca="false">INDEX(Hypothèses!$B$14:$B$17,MATCH(Q95,Hypothèses!$A$14:$A$17,0))</f>
        <v>1</v>
      </c>
      <c r="S95" s="15" t="n">
        <f aca="false">IF(G95="","",G95*R95)</f>
        <v>171.48676</v>
      </c>
      <c r="T95" s="15" t="n">
        <f aca="false">IF(H95="","",H95*R95)</f>
        <v>430.33503</v>
      </c>
      <c r="U95" s="15" t="n">
        <f aca="false">IF(I95="","",I95*R95)</f>
        <v>689.1833</v>
      </c>
      <c r="V95" s="5" t="s">
        <v>195</v>
      </c>
      <c r="W95" s="5" t="s">
        <v>70</v>
      </c>
      <c r="X95" s="5" t="s">
        <v>198</v>
      </c>
    </row>
    <row r="96" customFormat="false" ht="15" hidden="false" customHeight="false" outlineLevel="0" collapsed="false">
      <c r="A96" s="5" t="s">
        <v>306</v>
      </c>
      <c r="B96" s="5" t="s">
        <v>64</v>
      </c>
      <c r="C96" s="5" t="s">
        <v>118</v>
      </c>
      <c r="D96" s="5" t="s">
        <v>192</v>
      </c>
      <c r="E96" s="5" t="s">
        <v>193</v>
      </c>
      <c r="F96" s="5" t="s">
        <v>206</v>
      </c>
      <c r="G96" s="15" t="n">
        <v>135.89511</v>
      </c>
      <c r="H96" s="15" t="n">
        <v>368.85845</v>
      </c>
      <c r="I96" s="15" t="n">
        <v>601.82179</v>
      </c>
      <c r="J96" s="5" t="s">
        <v>195</v>
      </c>
      <c r="K96" s="5" t="n">
        <v>2050</v>
      </c>
      <c r="L96" s="5" t="str">
        <f aca="false">IF(AND(K96&gt;=Hypothèses!$B$9,K96&lt;=Hypothèses!$B$10),"actuel",IF(K96=2030,"2030",IF(K96=2050,"2050","autre")))</f>
        <v>2050</v>
      </c>
      <c r="M96" s="5"/>
      <c r="N96" s="5" t="s">
        <v>196</v>
      </c>
      <c r="O96" s="5"/>
      <c r="P96" s="5" t="s">
        <v>300</v>
      </c>
      <c r="Q96" s="5" t="s">
        <v>45</v>
      </c>
      <c r="R96" s="12" t="n">
        <f aca="false">INDEX(Hypothèses!$B$14:$B$17,MATCH(Q96,Hypothèses!$A$14:$A$17,0))</f>
        <v>1</v>
      </c>
      <c r="S96" s="15" t="n">
        <f aca="false">IF(G96="","",G96*R96)</f>
        <v>135.89511</v>
      </c>
      <c r="T96" s="15" t="n">
        <f aca="false">IF(H96="","",H96*R96)</f>
        <v>368.85845</v>
      </c>
      <c r="U96" s="15" t="n">
        <f aca="false">IF(I96="","",I96*R96)</f>
        <v>601.82179</v>
      </c>
      <c r="V96" s="5" t="s">
        <v>195</v>
      </c>
      <c r="W96" s="5" t="s">
        <v>70</v>
      </c>
      <c r="X96" s="5" t="s">
        <v>198</v>
      </c>
    </row>
    <row r="97" customFormat="false" ht="15" hidden="false" customHeight="false" outlineLevel="0" collapsed="false">
      <c r="A97" s="5" t="s">
        <v>307</v>
      </c>
      <c r="B97" s="5" t="s">
        <v>64</v>
      </c>
      <c r="C97" s="5" t="s">
        <v>130</v>
      </c>
      <c r="D97" s="5" t="s">
        <v>192</v>
      </c>
      <c r="E97" s="5" t="s">
        <v>193</v>
      </c>
      <c r="F97" s="5" t="s">
        <v>206</v>
      </c>
      <c r="G97" s="15" t="n">
        <v>850.180727272727</v>
      </c>
      <c r="H97" s="15" t="n">
        <v>1001.58253409091</v>
      </c>
      <c r="I97" s="15" t="n">
        <v>1380.08295454545</v>
      </c>
      <c r="J97" s="5" t="s">
        <v>195</v>
      </c>
      <c r="K97" s="5" t="n">
        <v>2020</v>
      </c>
      <c r="L97" s="5" t="str">
        <f aca="false">IF(AND(K97&gt;=Hypothèses!$B$9,K97&lt;=Hypothèses!$B$10),"actuel",IF(K97=2030,"2030",IF(K97=2050,"2050","autre")))</f>
        <v>actuel</v>
      </c>
      <c r="M97" s="5"/>
      <c r="N97" s="5" t="s">
        <v>196</v>
      </c>
      <c r="O97" s="5"/>
      <c r="P97" s="5" t="s">
        <v>308</v>
      </c>
      <c r="Q97" s="5" t="s">
        <v>45</v>
      </c>
      <c r="R97" s="12" t="n">
        <f aca="false">INDEX(Hypothèses!$B$14:$B$17,MATCH(Q97,Hypothèses!$A$14:$A$17,0))</f>
        <v>1</v>
      </c>
      <c r="S97" s="15" t="n">
        <f aca="false">IF(G97="","",G97*R97)</f>
        <v>850.180727272727</v>
      </c>
      <c r="T97" s="15" t="n">
        <f aca="false">IF(H97="","",H97*R97)</f>
        <v>1001.58253409091</v>
      </c>
      <c r="U97" s="15" t="n">
        <f aca="false">IF(I97="","",I97*R97)</f>
        <v>1380.08295454545</v>
      </c>
      <c r="V97" s="5" t="s">
        <v>195</v>
      </c>
      <c r="W97" s="5" t="s">
        <v>70</v>
      </c>
      <c r="X97" s="5" t="s">
        <v>198</v>
      </c>
    </row>
    <row r="98" customFormat="false" ht="15" hidden="false" customHeight="false" outlineLevel="0" collapsed="false">
      <c r="A98" s="5" t="s">
        <v>309</v>
      </c>
      <c r="B98" s="5" t="s">
        <v>64</v>
      </c>
      <c r="C98" s="5" t="s">
        <v>130</v>
      </c>
      <c r="D98" s="5" t="s">
        <v>192</v>
      </c>
      <c r="E98" s="5" t="s">
        <v>193</v>
      </c>
      <c r="F98" s="5" t="s">
        <v>206</v>
      </c>
      <c r="G98" s="15" t="n">
        <v>675.485704545455</v>
      </c>
      <c r="H98" s="15" t="n">
        <v>867.650931818182</v>
      </c>
      <c r="I98" s="15" t="n">
        <v>1211.22147727273</v>
      </c>
      <c r="J98" s="5" t="s">
        <v>195</v>
      </c>
      <c r="K98" s="5" t="n">
        <v>2025</v>
      </c>
      <c r="L98" s="5" t="str">
        <f aca="false">IF(AND(K98&gt;=Hypothèses!$B$9,K98&lt;=Hypothèses!$B$10),"actuel",IF(K98=2030,"2030",IF(K98=2050,"2050","autre")))</f>
        <v>actuel</v>
      </c>
      <c r="M98" s="5"/>
      <c r="N98" s="5" t="s">
        <v>196</v>
      </c>
      <c r="O98" s="5"/>
      <c r="P98" s="5" t="s">
        <v>308</v>
      </c>
      <c r="Q98" s="5" t="s">
        <v>45</v>
      </c>
      <c r="R98" s="12" t="n">
        <f aca="false">INDEX(Hypothèses!$B$14:$B$17,MATCH(Q98,Hypothèses!$A$14:$A$17,0))</f>
        <v>1</v>
      </c>
      <c r="S98" s="15" t="n">
        <f aca="false">IF(G98="","",G98*R98)</f>
        <v>675.485704545455</v>
      </c>
      <c r="T98" s="15" t="n">
        <f aca="false">IF(H98="","",H98*R98)</f>
        <v>867.650931818182</v>
      </c>
      <c r="U98" s="15" t="n">
        <f aca="false">IF(I98="","",I98*R98)</f>
        <v>1211.22147727273</v>
      </c>
      <c r="V98" s="5" t="s">
        <v>195</v>
      </c>
      <c r="W98" s="5" t="s">
        <v>70</v>
      </c>
      <c r="X98" s="5" t="s">
        <v>198</v>
      </c>
    </row>
    <row r="99" customFormat="false" ht="15" hidden="false" customHeight="false" outlineLevel="0" collapsed="false">
      <c r="A99" s="5" t="s">
        <v>310</v>
      </c>
      <c r="B99" s="5" t="s">
        <v>64</v>
      </c>
      <c r="C99" s="5" t="s">
        <v>130</v>
      </c>
      <c r="D99" s="5" t="s">
        <v>192</v>
      </c>
      <c r="E99" s="5" t="s">
        <v>193</v>
      </c>
      <c r="F99" s="5" t="s">
        <v>206</v>
      </c>
      <c r="G99" s="15" t="n">
        <v>576.492170454545</v>
      </c>
      <c r="H99" s="15" t="n">
        <v>786.126431818182</v>
      </c>
      <c r="I99" s="15" t="n">
        <v>1141.33831818182</v>
      </c>
      <c r="J99" s="5" t="s">
        <v>195</v>
      </c>
      <c r="K99" s="5" t="n">
        <v>2030</v>
      </c>
      <c r="L99" s="5" t="str">
        <f aca="false">IF(AND(K99&gt;=Hypothèses!$B$9,K99&lt;=Hypothèses!$B$10),"actuel",IF(K99=2030,"2030",IF(K99=2050,"2050","autre")))</f>
        <v>2030</v>
      </c>
      <c r="M99" s="5"/>
      <c r="N99" s="5" t="s">
        <v>196</v>
      </c>
      <c r="O99" s="5"/>
      <c r="P99" s="5" t="s">
        <v>308</v>
      </c>
      <c r="Q99" s="5" t="s">
        <v>45</v>
      </c>
      <c r="R99" s="12" t="n">
        <f aca="false">INDEX(Hypothèses!$B$14:$B$17,MATCH(Q99,Hypothèses!$A$14:$A$17,0))</f>
        <v>1</v>
      </c>
      <c r="S99" s="15" t="n">
        <f aca="false">IF(G99="","",G99*R99)</f>
        <v>576.492170454545</v>
      </c>
      <c r="T99" s="15" t="n">
        <f aca="false">IF(H99="","",H99*R99)</f>
        <v>786.126431818182</v>
      </c>
      <c r="U99" s="15" t="n">
        <f aca="false">IF(I99="","",I99*R99)</f>
        <v>1141.33831818182</v>
      </c>
      <c r="V99" s="5" t="s">
        <v>195</v>
      </c>
      <c r="W99" s="5" t="s">
        <v>70</v>
      </c>
      <c r="X99" s="5" t="s">
        <v>198</v>
      </c>
    </row>
    <row r="100" customFormat="false" ht="15" hidden="false" customHeight="false" outlineLevel="0" collapsed="false">
      <c r="A100" s="5" t="s">
        <v>311</v>
      </c>
      <c r="B100" s="5" t="s">
        <v>64</v>
      </c>
      <c r="C100" s="5" t="s">
        <v>130</v>
      </c>
      <c r="D100" s="5" t="s">
        <v>192</v>
      </c>
      <c r="E100" s="5" t="s">
        <v>193</v>
      </c>
      <c r="F100" s="5" t="s">
        <v>206</v>
      </c>
      <c r="G100" s="15" t="n">
        <v>547.377113636364</v>
      </c>
      <c r="H100" s="15" t="n">
        <v>757.010204545455</v>
      </c>
      <c r="I100" s="15" t="n">
        <v>1100.57723863636</v>
      </c>
      <c r="J100" s="5" t="s">
        <v>195</v>
      </c>
      <c r="K100" s="5" t="n">
        <v>2035</v>
      </c>
      <c r="L100" s="5" t="str">
        <f aca="false">IF(AND(K100&gt;=Hypothèses!$B$9,K100&lt;=Hypothèses!$B$10),"actuel",IF(K100=2030,"2030",IF(K100=2050,"2050","autre")))</f>
        <v>autre</v>
      </c>
      <c r="M100" s="5"/>
      <c r="N100" s="5" t="s">
        <v>196</v>
      </c>
      <c r="O100" s="5"/>
      <c r="P100" s="5" t="s">
        <v>308</v>
      </c>
      <c r="Q100" s="5" t="s">
        <v>45</v>
      </c>
      <c r="R100" s="12" t="n">
        <f aca="false">INDEX(Hypothèses!$B$14:$B$17,MATCH(Q100,Hypothèses!$A$14:$A$17,0))</f>
        <v>1</v>
      </c>
      <c r="S100" s="15" t="n">
        <f aca="false">IF(G100="","",G100*R100)</f>
        <v>547.377113636364</v>
      </c>
      <c r="T100" s="15" t="n">
        <f aca="false">IF(H100="","",H100*R100)</f>
        <v>757.010204545455</v>
      </c>
      <c r="U100" s="15" t="n">
        <f aca="false">IF(I100="","",I100*R100)</f>
        <v>1100.57723863636</v>
      </c>
      <c r="V100" s="5" t="s">
        <v>195</v>
      </c>
      <c r="W100" s="5" t="s">
        <v>70</v>
      </c>
      <c r="X100" s="5" t="s">
        <v>198</v>
      </c>
    </row>
    <row r="101" customFormat="false" ht="15" hidden="false" customHeight="false" outlineLevel="0" collapsed="false">
      <c r="A101" s="5" t="s">
        <v>312</v>
      </c>
      <c r="B101" s="5" t="s">
        <v>64</v>
      </c>
      <c r="C101" s="5" t="s">
        <v>130</v>
      </c>
      <c r="D101" s="5" t="s">
        <v>192</v>
      </c>
      <c r="E101" s="5" t="s">
        <v>193</v>
      </c>
      <c r="F101" s="5" t="s">
        <v>206</v>
      </c>
      <c r="G101" s="15" t="n">
        <v>518.260886363636</v>
      </c>
      <c r="H101" s="15" t="n">
        <v>739.541170454546</v>
      </c>
      <c r="I101" s="15" t="n">
        <v>1065.638</v>
      </c>
      <c r="J101" s="5" t="s">
        <v>195</v>
      </c>
      <c r="K101" s="5" t="n">
        <v>2040</v>
      </c>
      <c r="L101" s="5" t="str">
        <f aca="false">IF(AND(K101&gt;=Hypothèses!$B$9,K101&lt;=Hypothèses!$B$10),"actuel",IF(K101=2030,"2030",IF(K101=2050,"2050","autre")))</f>
        <v>autre</v>
      </c>
      <c r="M101" s="5"/>
      <c r="N101" s="5" t="s">
        <v>196</v>
      </c>
      <c r="O101" s="5"/>
      <c r="P101" s="5" t="s">
        <v>308</v>
      </c>
      <c r="Q101" s="5" t="s">
        <v>45</v>
      </c>
      <c r="R101" s="12" t="n">
        <f aca="false">INDEX(Hypothèses!$B$14:$B$17,MATCH(Q101,Hypothèses!$A$14:$A$17,0))</f>
        <v>1</v>
      </c>
      <c r="S101" s="15" t="n">
        <f aca="false">IF(G101="","",G101*R101)</f>
        <v>518.260886363636</v>
      </c>
      <c r="T101" s="15" t="n">
        <f aca="false">IF(H101="","",H101*R101)</f>
        <v>739.541170454546</v>
      </c>
      <c r="U101" s="15" t="n">
        <f aca="false">IF(I101="","",I101*R101)</f>
        <v>1065.638</v>
      </c>
      <c r="V101" s="5" t="s">
        <v>195</v>
      </c>
      <c r="W101" s="5" t="s">
        <v>70</v>
      </c>
      <c r="X101" s="5" t="s">
        <v>198</v>
      </c>
    </row>
    <row r="102" customFormat="false" ht="15" hidden="false" customHeight="false" outlineLevel="0" collapsed="false">
      <c r="A102" s="5" t="s">
        <v>313</v>
      </c>
      <c r="B102" s="5" t="s">
        <v>64</v>
      </c>
      <c r="C102" s="5" t="s">
        <v>130</v>
      </c>
      <c r="D102" s="5" t="s">
        <v>192</v>
      </c>
      <c r="E102" s="5" t="s">
        <v>193</v>
      </c>
      <c r="F102" s="5" t="s">
        <v>206</v>
      </c>
      <c r="G102" s="15" t="n">
        <v>506.614863636364</v>
      </c>
      <c r="H102" s="15" t="n">
        <v>727.895147727273</v>
      </c>
      <c r="I102" s="15" t="n">
        <v>1048.16779545455</v>
      </c>
      <c r="J102" s="5" t="s">
        <v>195</v>
      </c>
      <c r="K102" s="5" t="n">
        <v>2045</v>
      </c>
      <c r="L102" s="5" t="str">
        <f aca="false">IF(AND(K102&gt;=Hypothèses!$B$9,K102&lt;=Hypothèses!$B$10),"actuel",IF(K102=2030,"2030",IF(K102=2050,"2050","autre")))</f>
        <v>autre</v>
      </c>
      <c r="M102" s="5"/>
      <c r="N102" s="5" t="s">
        <v>196</v>
      </c>
      <c r="O102" s="5"/>
      <c r="P102" s="5" t="s">
        <v>308</v>
      </c>
      <c r="Q102" s="5" t="s">
        <v>45</v>
      </c>
      <c r="R102" s="12" t="n">
        <f aca="false">INDEX(Hypothèses!$B$14:$B$17,MATCH(Q102,Hypothèses!$A$14:$A$17,0))</f>
        <v>1</v>
      </c>
      <c r="S102" s="15" t="n">
        <f aca="false">IF(G102="","",G102*R102)</f>
        <v>506.614863636364</v>
      </c>
      <c r="T102" s="15" t="n">
        <f aca="false">IF(H102="","",H102*R102)</f>
        <v>727.895147727273</v>
      </c>
      <c r="U102" s="15" t="n">
        <f aca="false">IF(I102="","",I102*R102)</f>
        <v>1048.16779545455</v>
      </c>
      <c r="V102" s="5" t="s">
        <v>195</v>
      </c>
      <c r="W102" s="5" t="s">
        <v>70</v>
      </c>
      <c r="X102" s="5" t="s">
        <v>198</v>
      </c>
    </row>
    <row r="103" customFormat="false" ht="15" hidden="false" customHeight="false" outlineLevel="0" collapsed="false">
      <c r="A103" s="5" t="s">
        <v>314</v>
      </c>
      <c r="B103" s="5" t="s">
        <v>64</v>
      </c>
      <c r="C103" s="5" t="s">
        <v>130</v>
      </c>
      <c r="D103" s="5" t="s">
        <v>192</v>
      </c>
      <c r="E103" s="5" t="s">
        <v>193</v>
      </c>
      <c r="F103" s="5" t="s">
        <v>206</v>
      </c>
      <c r="G103" s="15" t="n">
        <v>494.968840909091</v>
      </c>
      <c r="H103" s="15" t="n">
        <v>710.424943181818</v>
      </c>
      <c r="I103" s="15" t="n">
        <v>1024.87575</v>
      </c>
      <c r="J103" s="5" t="s">
        <v>195</v>
      </c>
      <c r="K103" s="5" t="n">
        <v>2050</v>
      </c>
      <c r="L103" s="5" t="str">
        <f aca="false">IF(AND(K103&gt;=Hypothèses!$B$9,K103&lt;=Hypothèses!$B$10),"actuel",IF(K103=2030,"2030",IF(K103=2050,"2050","autre")))</f>
        <v>2050</v>
      </c>
      <c r="M103" s="5"/>
      <c r="N103" s="5" t="s">
        <v>196</v>
      </c>
      <c r="O103" s="5"/>
      <c r="P103" s="5" t="s">
        <v>308</v>
      </c>
      <c r="Q103" s="5" t="s">
        <v>45</v>
      </c>
      <c r="R103" s="12" t="n">
        <f aca="false">INDEX(Hypothèses!$B$14:$B$17,MATCH(Q103,Hypothèses!$A$14:$A$17,0))</f>
        <v>1</v>
      </c>
      <c r="S103" s="15" t="n">
        <f aca="false">IF(G103="","",G103*R103)</f>
        <v>494.968840909091</v>
      </c>
      <c r="T103" s="15" t="n">
        <f aca="false">IF(H103="","",H103*R103)</f>
        <v>710.424943181818</v>
      </c>
      <c r="U103" s="15" t="n">
        <f aca="false">IF(I103="","",I103*R103)</f>
        <v>1024.87575</v>
      </c>
      <c r="V103" s="5" t="s">
        <v>195</v>
      </c>
      <c r="W103" s="5" t="s">
        <v>70</v>
      </c>
      <c r="X103" s="5" t="s">
        <v>198</v>
      </c>
    </row>
    <row r="104" customFormat="false" ht="15" hidden="false" customHeight="false" outlineLevel="0" collapsed="false">
      <c r="A104" s="5" t="s">
        <v>315</v>
      </c>
      <c r="B104" s="5" t="s">
        <v>64</v>
      </c>
      <c r="C104" s="5" t="s">
        <v>132</v>
      </c>
      <c r="D104" s="5" t="s">
        <v>192</v>
      </c>
      <c r="E104" s="5" t="s">
        <v>193</v>
      </c>
      <c r="F104" s="5" t="s">
        <v>206</v>
      </c>
      <c r="G104" s="15"/>
      <c r="H104" s="15" t="n">
        <v>396.153846153846</v>
      </c>
      <c r="I104" s="15"/>
      <c r="J104" s="5" t="s">
        <v>195</v>
      </c>
      <c r="K104" s="5" t="n">
        <v>2021</v>
      </c>
      <c r="L104" s="5" t="str">
        <f aca="false">IF(AND(K104&gt;=Hypothèses!$B$9,K104&lt;=Hypothèses!$B$10),"actuel",IF(K104=2030,"2030",IF(K104=2050,"2050","autre")))</f>
        <v>actuel</v>
      </c>
      <c r="M104" s="5"/>
      <c r="N104" s="5" t="s">
        <v>196</v>
      </c>
      <c r="O104" s="5"/>
      <c r="P104" s="5" t="s">
        <v>316</v>
      </c>
      <c r="Q104" s="5" t="s">
        <v>45</v>
      </c>
      <c r="R104" s="12" t="n">
        <f aca="false">INDEX(Hypothèses!$B$14:$B$17,MATCH(Q104,Hypothèses!$A$14:$A$17,0))</f>
        <v>1</v>
      </c>
      <c r="S104" s="15" t="str">
        <f aca="false">IF(G104="","",G104*R104)</f>
        <v/>
      </c>
      <c r="T104" s="15" t="n">
        <f aca="false">IF(H104="","",H104*R104)</f>
        <v>396.153846153846</v>
      </c>
      <c r="U104" s="15" t="str">
        <f aca="false">IF(I104="","",I104*R104)</f>
        <v/>
      </c>
      <c r="V104" s="5" t="s">
        <v>195</v>
      </c>
      <c r="W104" s="5" t="s">
        <v>70</v>
      </c>
      <c r="X104" s="5" t="s">
        <v>198</v>
      </c>
    </row>
    <row r="105" customFormat="false" ht="15" hidden="false" customHeight="false" outlineLevel="0" collapsed="false">
      <c r="A105" s="5" t="s">
        <v>317</v>
      </c>
      <c r="B105" s="5" t="s">
        <v>64</v>
      </c>
      <c r="C105" s="5" t="s">
        <v>132</v>
      </c>
      <c r="D105" s="5" t="s">
        <v>192</v>
      </c>
      <c r="E105" s="5" t="s">
        <v>193</v>
      </c>
      <c r="F105" s="5" t="s">
        <v>206</v>
      </c>
      <c r="G105" s="15"/>
      <c r="H105" s="15" t="n">
        <v>237.692307692308</v>
      </c>
      <c r="I105" s="15"/>
      <c r="J105" s="5" t="s">
        <v>195</v>
      </c>
      <c r="K105" s="5" t="n">
        <v>2030</v>
      </c>
      <c r="L105" s="5" t="str">
        <f aca="false">IF(AND(K105&gt;=Hypothèses!$B$9,K105&lt;=Hypothèses!$B$10),"actuel",IF(K105=2030,"2030",IF(K105=2050,"2050","autre")))</f>
        <v>2030</v>
      </c>
      <c r="M105" s="5"/>
      <c r="N105" s="5" t="s">
        <v>196</v>
      </c>
      <c r="O105" s="5"/>
      <c r="P105" s="5" t="s">
        <v>316</v>
      </c>
      <c r="Q105" s="5" t="s">
        <v>45</v>
      </c>
      <c r="R105" s="12" t="n">
        <f aca="false">INDEX(Hypothèses!$B$14:$B$17,MATCH(Q105,Hypothèses!$A$14:$A$17,0))</f>
        <v>1</v>
      </c>
      <c r="S105" s="15" t="str">
        <f aca="false">IF(G105="","",G105*R105)</f>
        <v/>
      </c>
      <c r="T105" s="15" t="n">
        <f aca="false">IF(H105="","",H105*R105)</f>
        <v>237.692307692308</v>
      </c>
      <c r="U105" s="15" t="str">
        <f aca="false">IF(I105="","",I105*R105)</f>
        <v/>
      </c>
      <c r="V105" s="5" t="s">
        <v>195</v>
      </c>
      <c r="W105" s="5" t="s">
        <v>70</v>
      </c>
      <c r="X105" s="5" t="s">
        <v>198</v>
      </c>
    </row>
    <row r="106" customFormat="false" ht="15" hidden="false" customHeight="false" outlineLevel="0" collapsed="false">
      <c r="A106" s="5" t="s">
        <v>318</v>
      </c>
      <c r="B106" s="5" t="s">
        <v>64</v>
      </c>
      <c r="C106" s="5" t="s">
        <v>132</v>
      </c>
      <c r="D106" s="5" t="s">
        <v>192</v>
      </c>
      <c r="E106" s="5" t="s">
        <v>193</v>
      </c>
      <c r="F106" s="5" t="s">
        <v>206</v>
      </c>
      <c r="G106" s="15"/>
      <c r="H106" s="15" t="n">
        <v>79.2307692307692</v>
      </c>
      <c r="I106" s="15"/>
      <c r="J106" s="5" t="s">
        <v>195</v>
      </c>
      <c r="K106" s="5" t="n">
        <v>2050</v>
      </c>
      <c r="L106" s="5" t="str">
        <f aca="false">IF(AND(K106&gt;=Hypothèses!$B$9,K106&lt;=Hypothèses!$B$10),"actuel",IF(K106=2030,"2030",IF(K106=2050,"2050","autre")))</f>
        <v>2050</v>
      </c>
      <c r="M106" s="5"/>
      <c r="N106" s="5" t="s">
        <v>196</v>
      </c>
      <c r="O106" s="5"/>
      <c r="P106" s="5" t="s">
        <v>316</v>
      </c>
      <c r="Q106" s="5" t="s">
        <v>45</v>
      </c>
      <c r="R106" s="12" t="n">
        <f aca="false">INDEX(Hypothèses!$B$14:$B$17,MATCH(Q106,Hypothèses!$A$14:$A$17,0))</f>
        <v>1</v>
      </c>
      <c r="S106" s="15" t="str">
        <f aca="false">IF(G106="","",G106*R106)</f>
        <v/>
      </c>
      <c r="T106" s="15" t="n">
        <f aca="false">IF(H106="","",H106*R106)</f>
        <v>79.2307692307692</v>
      </c>
      <c r="U106" s="15" t="str">
        <f aca="false">IF(I106="","",I106*R106)</f>
        <v/>
      </c>
      <c r="V106" s="5" t="s">
        <v>195</v>
      </c>
      <c r="W106" s="5" t="s">
        <v>70</v>
      </c>
      <c r="X106" s="5" t="s">
        <v>198</v>
      </c>
    </row>
    <row r="107" customFormat="false" ht="15" hidden="false" customHeight="false" outlineLevel="0" collapsed="false">
      <c r="A107" s="5" t="s">
        <v>319</v>
      </c>
      <c r="B107" s="5" t="s">
        <v>64</v>
      </c>
      <c r="C107" s="5" t="s">
        <v>72</v>
      </c>
      <c r="D107" s="5" t="s">
        <v>192</v>
      </c>
      <c r="E107" s="5" t="s">
        <v>320</v>
      </c>
      <c r="F107" s="5" t="s">
        <v>194</v>
      </c>
      <c r="G107" s="15" t="n">
        <v>2.575</v>
      </c>
      <c r="H107" s="15" t="n">
        <v>6.4375</v>
      </c>
      <c r="I107" s="15" t="n">
        <v>10.3</v>
      </c>
      <c r="J107" s="5" t="s">
        <v>321</v>
      </c>
      <c r="K107" s="5" t="n">
        <v>2016</v>
      </c>
      <c r="L107" s="5" t="str">
        <f aca="false">IF(AND(K107&gt;=Hypothèses!$B$9,K107&lt;=Hypothèses!$B$10),"actuel",IF(K107=2030,"2030",IF(K107=2050,"2050","autre")))</f>
        <v>autre</v>
      </c>
      <c r="M107" s="5"/>
      <c r="N107" s="5" t="s">
        <v>196</v>
      </c>
      <c r="O107" s="5"/>
      <c r="P107" s="5" t="s">
        <v>197</v>
      </c>
      <c r="Q107" s="5" t="s">
        <v>45</v>
      </c>
      <c r="R107" s="12" t="n">
        <f aca="false">INDEX(Hypothèses!$B$14:$B$17,MATCH(Q107,Hypothèses!$A$14:$A$17,0))</f>
        <v>1</v>
      </c>
      <c r="S107" s="15" t="n">
        <f aca="false">IF(G107="","",G107*R107)</f>
        <v>2.575</v>
      </c>
      <c r="T107" s="15" t="n">
        <f aca="false">IF(H107="","",H107*R107)</f>
        <v>6.4375</v>
      </c>
      <c r="U107" s="15" t="n">
        <f aca="false">IF(I107="","",I107*R107)</f>
        <v>10.3</v>
      </c>
      <c r="V107" s="5" t="s">
        <v>321</v>
      </c>
      <c r="W107" s="5" t="s">
        <v>70</v>
      </c>
      <c r="X107" s="5" t="s">
        <v>198</v>
      </c>
    </row>
    <row r="108" customFormat="false" ht="15" hidden="false" customHeight="false" outlineLevel="0" collapsed="false">
      <c r="A108" s="5" t="s">
        <v>322</v>
      </c>
      <c r="B108" s="5" t="s">
        <v>64</v>
      </c>
      <c r="C108" s="5" t="s">
        <v>72</v>
      </c>
      <c r="D108" s="5" t="s">
        <v>192</v>
      </c>
      <c r="E108" s="5" t="s">
        <v>320</v>
      </c>
      <c r="F108" s="5" t="s">
        <v>194</v>
      </c>
      <c r="G108" s="15" t="n">
        <v>1.751</v>
      </c>
      <c r="H108" s="15" t="n">
        <v>5.459</v>
      </c>
      <c r="I108" s="15" t="n">
        <v>9.167</v>
      </c>
      <c r="J108" s="5" t="s">
        <v>321</v>
      </c>
      <c r="K108" s="5" t="n">
        <v>2017</v>
      </c>
      <c r="L108" s="5" t="str">
        <f aca="false">IF(AND(K108&gt;=Hypothèses!$B$9,K108&lt;=Hypothèses!$B$10),"actuel",IF(K108=2030,"2030",IF(K108=2050,"2050","autre")))</f>
        <v>autre</v>
      </c>
      <c r="M108" s="5"/>
      <c r="N108" s="5" t="s">
        <v>196</v>
      </c>
      <c r="O108" s="5"/>
      <c r="P108" s="5" t="s">
        <v>197</v>
      </c>
      <c r="Q108" s="5" t="s">
        <v>45</v>
      </c>
      <c r="R108" s="12" t="n">
        <f aca="false">INDEX(Hypothèses!$B$14:$B$17,MATCH(Q108,Hypothèses!$A$14:$A$17,0))</f>
        <v>1</v>
      </c>
      <c r="S108" s="15" t="n">
        <f aca="false">IF(G108="","",G108*R108)</f>
        <v>1.751</v>
      </c>
      <c r="T108" s="15" t="n">
        <f aca="false">IF(H108="","",H108*R108)</f>
        <v>5.459</v>
      </c>
      <c r="U108" s="15" t="n">
        <f aca="false">IF(I108="","",I108*R108)</f>
        <v>9.167</v>
      </c>
      <c r="V108" s="5" t="s">
        <v>321</v>
      </c>
      <c r="W108" s="5" t="s">
        <v>70</v>
      </c>
      <c r="X108" s="5" t="s">
        <v>198</v>
      </c>
    </row>
    <row r="109" customFormat="false" ht="15" hidden="false" customHeight="false" outlineLevel="0" collapsed="false">
      <c r="A109" s="5" t="s">
        <v>323</v>
      </c>
      <c r="B109" s="5" t="s">
        <v>64</v>
      </c>
      <c r="C109" s="5" t="s">
        <v>72</v>
      </c>
      <c r="D109" s="5" t="s">
        <v>192</v>
      </c>
      <c r="E109" s="5" t="s">
        <v>320</v>
      </c>
      <c r="F109" s="5" t="s">
        <v>194</v>
      </c>
      <c r="G109" s="15" t="n">
        <v>3.09</v>
      </c>
      <c r="H109" s="15" t="n">
        <v>5.4075</v>
      </c>
      <c r="I109" s="15" t="n">
        <v>7.725</v>
      </c>
      <c r="J109" s="5" t="s">
        <v>321</v>
      </c>
      <c r="K109" s="5" t="n">
        <v>2018</v>
      </c>
      <c r="L109" s="5" t="str">
        <f aca="false">IF(AND(K109&gt;=Hypothèses!$B$9,K109&lt;=Hypothèses!$B$10),"actuel",IF(K109=2030,"2030",IF(K109=2050,"2050","autre")))</f>
        <v>autre</v>
      </c>
      <c r="M109" s="5"/>
      <c r="N109" s="5" t="s">
        <v>196</v>
      </c>
      <c r="O109" s="5"/>
      <c r="P109" s="5" t="s">
        <v>197</v>
      </c>
      <c r="Q109" s="5" t="s">
        <v>45</v>
      </c>
      <c r="R109" s="12" t="n">
        <f aca="false">INDEX(Hypothèses!$B$14:$B$17,MATCH(Q109,Hypothèses!$A$14:$A$17,0))</f>
        <v>1</v>
      </c>
      <c r="S109" s="15" t="n">
        <f aca="false">IF(G109="","",G109*R109)</f>
        <v>3.09</v>
      </c>
      <c r="T109" s="15" t="n">
        <f aca="false">IF(H109="","",H109*R109)</f>
        <v>5.4075</v>
      </c>
      <c r="U109" s="15" t="n">
        <f aca="false">IF(I109="","",I109*R109)</f>
        <v>7.725</v>
      </c>
      <c r="V109" s="5" t="s">
        <v>321</v>
      </c>
      <c r="W109" s="5" t="s">
        <v>70</v>
      </c>
      <c r="X109" s="5" t="s">
        <v>198</v>
      </c>
    </row>
    <row r="110" customFormat="false" ht="15" hidden="false" customHeight="false" outlineLevel="0" collapsed="false">
      <c r="A110" s="5" t="s">
        <v>324</v>
      </c>
      <c r="B110" s="5" t="s">
        <v>64</v>
      </c>
      <c r="C110" s="5" t="s">
        <v>72</v>
      </c>
      <c r="D110" s="5" t="s">
        <v>192</v>
      </c>
      <c r="E110" s="5" t="s">
        <v>320</v>
      </c>
      <c r="F110" s="5" t="s">
        <v>194</v>
      </c>
      <c r="G110" s="15" t="n">
        <v>2.9046</v>
      </c>
      <c r="H110" s="15" t="n">
        <v>4.9852</v>
      </c>
      <c r="I110" s="15" t="n">
        <v>7.0658</v>
      </c>
      <c r="J110" s="5" t="s">
        <v>321</v>
      </c>
      <c r="K110" s="5" t="n">
        <v>2019</v>
      </c>
      <c r="L110" s="5" t="str">
        <f aca="false">IF(AND(K110&gt;=Hypothèses!$B$9,K110&lt;=Hypothèses!$B$10),"actuel",IF(K110=2030,"2030",IF(K110=2050,"2050","autre")))</f>
        <v>autre</v>
      </c>
      <c r="M110" s="5"/>
      <c r="N110" s="5" t="s">
        <v>196</v>
      </c>
      <c r="O110" s="5"/>
      <c r="P110" s="5" t="s">
        <v>197</v>
      </c>
      <c r="Q110" s="5" t="s">
        <v>45</v>
      </c>
      <c r="R110" s="12" t="n">
        <f aca="false">INDEX(Hypothèses!$B$14:$B$17,MATCH(Q110,Hypothèses!$A$14:$A$17,0))</f>
        <v>1</v>
      </c>
      <c r="S110" s="15" t="n">
        <f aca="false">IF(G110="","",G110*R110)</f>
        <v>2.9046</v>
      </c>
      <c r="T110" s="15" t="n">
        <f aca="false">IF(H110="","",H110*R110)</f>
        <v>4.9852</v>
      </c>
      <c r="U110" s="15" t="n">
        <f aca="false">IF(I110="","",I110*R110)</f>
        <v>7.0658</v>
      </c>
      <c r="V110" s="5" t="s">
        <v>321</v>
      </c>
      <c r="W110" s="5" t="s">
        <v>70</v>
      </c>
      <c r="X110" s="5" t="s">
        <v>198</v>
      </c>
    </row>
    <row r="111" customFormat="false" ht="15" hidden="false" customHeight="false" outlineLevel="0" collapsed="false">
      <c r="A111" s="5" t="s">
        <v>325</v>
      </c>
      <c r="B111" s="5" t="s">
        <v>64</v>
      </c>
      <c r="C111" s="5" t="s">
        <v>72</v>
      </c>
      <c r="D111" s="5" t="s">
        <v>192</v>
      </c>
      <c r="E111" s="5" t="s">
        <v>320</v>
      </c>
      <c r="F111" s="5" t="s">
        <v>194</v>
      </c>
      <c r="G111" s="15" t="n">
        <v>3.502</v>
      </c>
      <c r="H111" s="15" t="n">
        <v>5.15</v>
      </c>
      <c r="I111" s="15" t="n">
        <v>6.798</v>
      </c>
      <c r="J111" s="5" t="s">
        <v>321</v>
      </c>
      <c r="K111" s="5" t="n">
        <v>2020</v>
      </c>
      <c r="L111" s="5" t="str">
        <f aca="false">IF(AND(K111&gt;=Hypothèses!$B$9,K111&lt;=Hypothèses!$B$10),"actuel",IF(K111=2030,"2030",IF(K111=2050,"2050","autre")))</f>
        <v>actuel</v>
      </c>
      <c r="M111" s="5"/>
      <c r="N111" s="5" t="s">
        <v>196</v>
      </c>
      <c r="O111" s="5"/>
      <c r="P111" s="5" t="s">
        <v>197</v>
      </c>
      <c r="Q111" s="5" t="s">
        <v>45</v>
      </c>
      <c r="R111" s="12" t="n">
        <f aca="false">INDEX(Hypothèses!$B$14:$B$17,MATCH(Q111,Hypothèses!$A$14:$A$17,0))</f>
        <v>1</v>
      </c>
      <c r="S111" s="15" t="n">
        <f aca="false">IF(G111="","",G111*R111)</f>
        <v>3.502</v>
      </c>
      <c r="T111" s="15" t="n">
        <f aca="false">IF(H111="","",H111*R111)</f>
        <v>5.15</v>
      </c>
      <c r="U111" s="15" t="n">
        <f aca="false">IF(I111="","",I111*R111)</f>
        <v>6.798</v>
      </c>
      <c r="V111" s="5" t="s">
        <v>321</v>
      </c>
      <c r="W111" s="5" t="s">
        <v>70</v>
      </c>
      <c r="X111" s="5" t="s">
        <v>198</v>
      </c>
    </row>
    <row r="112" customFormat="false" ht="15" hidden="false" customHeight="false" outlineLevel="0" collapsed="false">
      <c r="A112" s="5" t="s">
        <v>326</v>
      </c>
      <c r="B112" s="5" t="s">
        <v>64</v>
      </c>
      <c r="C112" s="5" t="s">
        <v>72</v>
      </c>
      <c r="D112" s="5" t="s">
        <v>192</v>
      </c>
      <c r="E112" s="5" t="s">
        <v>320</v>
      </c>
      <c r="F112" s="5" t="s">
        <v>194</v>
      </c>
      <c r="G112" s="15" t="n">
        <v>3.2754</v>
      </c>
      <c r="H112" s="15" t="n">
        <v>4.59895</v>
      </c>
      <c r="I112" s="15" t="n">
        <v>5.9225</v>
      </c>
      <c r="J112" s="5" t="s">
        <v>321</v>
      </c>
      <c r="K112" s="5" t="n">
        <v>2021</v>
      </c>
      <c r="L112" s="5" t="str">
        <f aca="false">IF(AND(K112&gt;=Hypothèses!$B$9,K112&lt;=Hypothèses!$B$10),"actuel",IF(K112=2030,"2030",IF(K112=2050,"2050","autre")))</f>
        <v>actuel</v>
      </c>
      <c r="M112" s="5"/>
      <c r="N112" s="5" t="s">
        <v>196</v>
      </c>
      <c r="O112" s="5"/>
      <c r="P112" s="5" t="s">
        <v>197</v>
      </c>
      <c r="Q112" s="5" t="s">
        <v>45</v>
      </c>
      <c r="R112" s="12" t="n">
        <f aca="false">INDEX(Hypothèses!$B$14:$B$17,MATCH(Q112,Hypothèses!$A$14:$A$17,0))</f>
        <v>1</v>
      </c>
      <c r="S112" s="15" t="n">
        <f aca="false">IF(G112="","",G112*R112)</f>
        <v>3.2754</v>
      </c>
      <c r="T112" s="15" t="n">
        <f aca="false">IF(H112="","",H112*R112)</f>
        <v>4.59895</v>
      </c>
      <c r="U112" s="15" t="n">
        <f aca="false">IF(I112="","",I112*R112)</f>
        <v>5.9225</v>
      </c>
      <c r="V112" s="5" t="s">
        <v>321</v>
      </c>
      <c r="W112" s="5" t="s">
        <v>70</v>
      </c>
      <c r="X112" s="5" t="s">
        <v>198</v>
      </c>
    </row>
    <row r="113" customFormat="false" ht="15" hidden="false" customHeight="false" outlineLevel="0" collapsed="false">
      <c r="A113" s="5" t="s">
        <v>327</v>
      </c>
      <c r="B113" s="5" t="s">
        <v>64</v>
      </c>
      <c r="C113" s="5" t="s">
        <v>72</v>
      </c>
      <c r="D113" s="5" t="s">
        <v>192</v>
      </c>
      <c r="E113" s="5" t="s">
        <v>320</v>
      </c>
      <c r="F113" s="5" t="s">
        <v>194</v>
      </c>
      <c r="G113" s="15" t="n">
        <v>3.1003</v>
      </c>
      <c r="H113" s="15" t="n">
        <v>3.8728</v>
      </c>
      <c r="I113" s="15" t="n">
        <v>4.6453</v>
      </c>
      <c r="J113" s="5" t="s">
        <v>321</v>
      </c>
      <c r="K113" s="5" t="n">
        <v>2022</v>
      </c>
      <c r="L113" s="5" t="str">
        <f aca="false">IF(AND(K113&gt;=Hypothèses!$B$9,K113&lt;=Hypothèses!$B$10),"actuel",IF(K113=2030,"2030",IF(K113=2050,"2050","autre")))</f>
        <v>actuel</v>
      </c>
      <c r="M113" s="5"/>
      <c r="N113" s="5" t="s">
        <v>196</v>
      </c>
      <c r="O113" s="5"/>
      <c r="P113" s="5" t="s">
        <v>197</v>
      </c>
      <c r="Q113" s="5" t="s">
        <v>45</v>
      </c>
      <c r="R113" s="12" t="n">
        <f aca="false">INDEX(Hypothèses!$B$14:$B$17,MATCH(Q113,Hypothèses!$A$14:$A$17,0))</f>
        <v>1</v>
      </c>
      <c r="S113" s="15" t="n">
        <f aca="false">IF(G113="","",G113*R113)</f>
        <v>3.1003</v>
      </c>
      <c r="T113" s="15" t="n">
        <f aca="false">IF(H113="","",H113*R113)</f>
        <v>3.8728</v>
      </c>
      <c r="U113" s="15" t="n">
        <f aca="false">IF(I113="","",I113*R113)</f>
        <v>4.6453</v>
      </c>
      <c r="V113" s="5" t="s">
        <v>321</v>
      </c>
      <c r="W113" s="5" t="s">
        <v>70</v>
      </c>
      <c r="X113" s="5" t="s">
        <v>198</v>
      </c>
    </row>
    <row r="114" customFormat="false" ht="15" hidden="false" customHeight="false" outlineLevel="0" collapsed="false">
      <c r="A114" s="5" t="s">
        <v>328</v>
      </c>
      <c r="B114" s="5" t="s">
        <v>64</v>
      </c>
      <c r="C114" s="5" t="s">
        <v>74</v>
      </c>
      <c r="D114" s="5" t="s">
        <v>192</v>
      </c>
      <c r="E114" s="5" t="s">
        <v>320</v>
      </c>
      <c r="F114" s="5" t="s">
        <v>206</v>
      </c>
      <c r="G114" s="15"/>
      <c r="H114" s="15" t="n">
        <v>4.841</v>
      </c>
      <c r="I114" s="15"/>
      <c r="J114" s="5" t="s">
        <v>321</v>
      </c>
      <c r="K114" s="5" t="n">
        <v>2019</v>
      </c>
      <c r="L114" s="5" t="str">
        <f aca="false">IF(AND(K114&gt;=Hypothèses!$B$9,K114&lt;=Hypothèses!$B$10),"actuel",IF(K114=2030,"2030",IF(K114=2050,"2050","autre")))</f>
        <v>autre</v>
      </c>
      <c r="M114" s="5"/>
      <c r="N114" s="5" t="s">
        <v>196</v>
      </c>
      <c r="O114" s="5"/>
      <c r="P114" s="5" t="s">
        <v>207</v>
      </c>
      <c r="Q114" s="5" t="s">
        <v>45</v>
      </c>
      <c r="R114" s="12" t="n">
        <f aca="false">INDEX(Hypothèses!$B$14:$B$17,MATCH(Q114,Hypothèses!$A$14:$A$17,0))</f>
        <v>1</v>
      </c>
      <c r="S114" s="15" t="str">
        <f aca="false">IF(G114="","",G114*R114)</f>
        <v/>
      </c>
      <c r="T114" s="15" t="n">
        <f aca="false">IF(H114="","",H114*R114)</f>
        <v>4.841</v>
      </c>
      <c r="U114" s="15" t="str">
        <f aca="false">IF(I114="","",I114*R114)</f>
        <v/>
      </c>
      <c r="V114" s="5" t="s">
        <v>321</v>
      </c>
      <c r="W114" s="5" t="s">
        <v>70</v>
      </c>
      <c r="X114" s="5" t="s">
        <v>198</v>
      </c>
    </row>
    <row r="115" customFormat="false" ht="15" hidden="false" customHeight="false" outlineLevel="0" collapsed="false">
      <c r="A115" s="5" t="s">
        <v>329</v>
      </c>
      <c r="B115" s="5" t="s">
        <v>64</v>
      </c>
      <c r="C115" s="5" t="s">
        <v>74</v>
      </c>
      <c r="D115" s="5" t="s">
        <v>192</v>
      </c>
      <c r="E115" s="5" t="s">
        <v>320</v>
      </c>
      <c r="F115" s="5" t="s">
        <v>206</v>
      </c>
      <c r="G115" s="15"/>
      <c r="H115" s="15" t="n">
        <v>2.0291</v>
      </c>
      <c r="I115" s="15"/>
      <c r="J115" s="5" t="s">
        <v>321</v>
      </c>
      <c r="K115" s="5" t="n">
        <v>2030</v>
      </c>
      <c r="L115" s="5" t="str">
        <f aca="false">IF(AND(K115&gt;=Hypothèses!$B$9,K115&lt;=Hypothèses!$B$10),"actuel",IF(K115=2030,"2030",IF(K115=2050,"2050","autre")))</f>
        <v>2030</v>
      </c>
      <c r="M115" s="5"/>
      <c r="N115" s="5" t="s">
        <v>196</v>
      </c>
      <c r="O115" s="5"/>
      <c r="P115" s="5" t="s">
        <v>207</v>
      </c>
      <c r="Q115" s="5" t="s">
        <v>45</v>
      </c>
      <c r="R115" s="12" t="n">
        <f aca="false">INDEX(Hypothèses!$B$14:$B$17,MATCH(Q115,Hypothèses!$A$14:$A$17,0))</f>
        <v>1</v>
      </c>
      <c r="S115" s="15" t="str">
        <f aca="false">IF(G115="","",G115*R115)</f>
        <v/>
      </c>
      <c r="T115" s="15" t="n">
        <f aca="false">IF(H115="","",H115*R115)</f>
        <v>2.0291</v>
      </c>
      <c r="U115" s="15" t="str">
        <f aca="false">IF(I115="","",I115*R115)</f>
        <v/>
      </c>
      <c r="V115" s="5" t="s">
        <v>321</v>
      </c>
      <c r="W115" s="5" t="s">
        <v>70</v>
      </c>
      <c r="X115" s="5" t="s">
        <v>198</v>
      </c>
    </row>
    <row r="116" customFormat="false" ht="15" hidden="false" customHeight="false" outlineLevel="0" collapsed="false">
      <c r="A116" s="5" t="s">
        <v>330</v>
      </c>
      <c r="B116" s="5" t="s">
        <v>64</v>
      </c>
      <c r="C116" s="5" t="s">
        <v>74</v>
      </c>
      <c r="D116" s="5" t="s">
        <v>192</v>
      </c>
      <c r="E116" s="5" t="s">
        <v>320</v>
      </c>
      <c r="F116" s="5" t="s">
        <v>206</v>
      </c>
      <c r="G116" s="15"/>
      <c r="H116" s="15" t="n">
        <v>1.133</v>
      </c>
      <c r="I116" s="15"/>
      <c r="J116" s="5" t="s">
        <v>321</v>
      </c>
      <c r="K116" s="5" t="n">
        <v>2050</v>
      </c>
      <c r="L116" s="5" t="str">
        <f aca="false">IF(AND(K116&gt;=Hypothèses!$B$9,K116&lt;=Hypothèses!$B$10),"actuel",IF(K116=2030,"2030",IF(K116=2050,"2050","autre")))</f>
        <v>2050</v>
      </c>
      <c r="M116" s="5"/>
      <c r="N116" s="5" t="s">
        <v>196</v>
      </c>
      <c r="O116" s="5"/>
      <c r="P116" s="5" t="s">
        <v>207</v>
      </c>
      <c r="Q116" s="5" t="s">
        <v>45</v>
      </c>
      <c r="R116" s="12" t="n">
        <f aca="false">INDEX(Hypothèses!$B$14:$B$17,MATCH(Q116,Hypothèses!$A$14:$A$17,0))</f>
        <v>1</v>
      </c>
      <c r="S116" s="15" t="str">
        <f aca="false">IF(G116="","",G116*R116)</f>
        <v/>
      </c>
      <c r="T116" s="15" t="n">
        <f aca="false">IF(H116="","",H116*R116)</f>
        <v>1.133</v>
      </c>
      <c r="U116" s="15" t="str">
        <f aca="false">IF(I116="","",I116*R116)</f>
        <v/>
      </c>
      <c r="V116" s="5" t="s">
        <v>321</v>
      </c>
      <c r="W116" s="5" t="s">
        <v>70</v>
      </c>
      <c r="X116" s="5" t="s">
        <v>198</v>
      </c>
    </row>
    <row r="117" customFormat="false" ht="15" hidden="false" customHeight="false" outlineLevel="0" collapsed="false">
      <c r="A117" s="5" t="s">
        <v>331</v>
      </c>
      <c r="B117" s="5" t="s">
        <v>64</v>
      </c>
      <c r="C117" s="5" t="s">
        <v>86</v>
      </c>
      <c r="D117" s="5" t="s">
        <v>192</v>
      </c>
      <c r="E117" s="5" t="s">
        <v>320</v>
      </c>
      <c r="F117" s="5" t="s">
        <v>206</v>
      </c>
      <c r="G117" s="15" t="n">
        <v>3.4114939</v>
      </c>
      <c r="H117" s="15" t="n">
        <v>5.1315733</v>
      </c>
      <c r="I117" s="15" t="n">
        <v>7.21</v>
      </c>
      <c r="J117" s="5" t="s">
        <v>321</v>
      </c>
      <c r="K117" s="5" t="n">
        <v>2020</v>
      </c>
      <c r="L117" s="5" t="str">
        <f aca="false">IF(AND(K117&gt;=Hypothèses!$B$9,K117&lt;=Hypothèses!$B$10),"actuel",IF(K117=2030,"2030",IF(K117=2050,"2050","autre")))</f>
        <v>actuel</v>
      </c>
      <c r="M117" s="5"/>
      <c r="N117" s="5" t="s">
        <v>196</v>
      </c>
      <c r="O117" s="5"/>
      <c r="P117" s="5" t="s">
        <v>230</v>
      </c>
      <c r="Q117" s="5" t="s">
        <v>45</v>
      </c>
      <c r="R117" s="12" t="n">
        <f aca="false">INDEX(Hypothèses!$B$14:$B$17,MATCH(Q117,Hypothèses!$A$14:$A$17,0))</f>
        <v>1</v>
      </c>
      <c r="S117" s="15" t="n">
        <f aca="false">IF(G117="","",G117*R117)</f>
        <v>3.4114939</v>
      </c>
      <c r="T117" s="15" t="n">
        <f aca="false">IF(H117="","",H117*R117)</f>
        <v>5.1315733</v>
      </c>
      <c r="U117" s="15" t="n">
        <f aca="false">IF(I117="","",I117*R117)</f>
        <v>7.21</v>
      </c>
      <c r="V117" s="5" t="s">
        <v>321</v>
      </c>
      <c r="W117" s="5" t="s">
        <v>70</v>
      </c>
      <c r="X117" s="5" t="s">
        <v>198</v>
      </c>
    </row>
    <row r="118" customFormat="false" ht="15" hidden="false" customHeight="false" outlineLevel="0" collapsed="false">
      <c r="A118" s="5" t="s">
        <v>332</v>
      </c>
      <c r="B118" s="5" t="s">
        <v>64</v>
      </c>
      <c r="C118" s="5" t="s">
        <v>86</v>
      </c>
      <c r="D118" s="5" t="s">
        <v>192</v>
      </c>
      <c r="E118" s="5" t="s">
        <v>320</v>
      </c>
      <c r="F118" s="5" t="s">
        <v>206</v>
      </c>
      <c r="G118" s="15" t="n">
        <v>1.734417</v>
      </c>
      <c r="H118" s="15" t="n">
        <v>2.4081091</v>
      </c>
      <c r="I118" s="15" t="n">
        <v>7.1096574</v>
      </c>
      <c r="J118" s="5" t="s">
        <v>321</v>
      </c>
      <c r="K118" s="5" t="n">
        <v>2030</v>
      </c>
      <c r="L118" s="5" t="str">
        <f aca="false">IF(AND(K118&gt;=Hypothèses!$B$9,K118&lt;=Hypothèses!$B$10),"actuel",IF(K118=2030,"2030",IF(K118=2050,"2050","autre")))</f>
        <v>2030</v>
      </c>
      <c r="M118" s="5"/>
      <c r="N118" s="5" t="s">
        <v>196</v>
      </c>
      <c r="O118" s="5"/>
      <c r="P118" s="5" t="s">
        <v>230</v>
      </c>
      <c r="Q118" s="5" t="s">
        <v>45</v>
      </c>
      <c r="R118" s="12" t="n">
        <f aca="false">INDEX(Hypothèses!$B$14:$B$17,MATCH(Q118,Hypothèses!$A$14:$A$17,0))</f>
        <v>1</v>
      </c>
      <c r="S118" s="15" t="n">
        <f aca="false">IF(G118="","",G118*R118)</f>
        <v>1.734417</v>
      </c>
      <c r="T118" s="15" t="n">
        <f aca="false">IF(H118="","",H118*R118)</f>
        <v>2.4081091</v>
      </c>
      <c r="U118" s="15" t="n">
        <f aca="false">IF(I118="","",I118*R118)</f>
        <v>7.1096574</v>
      </c>
      <c r="V118" s="5" t="s">
        <v>321</v>
      </c>
      <c r="W118" s="5" t="s">
        <v>70</v>
      </c>
      <c r="X118" s="5" t="s">
        <v>198</v>
      </c>
    </row>
    <row r="119" customFormat="false" ht="15" hidden="false" customHeight="false" outlineLevel="0" collapsed="false">
      <c r="A119" s="5" t="s">
        <v>333</v>
      </c>
      <c r="B119" s="5" t="s">
        <v>64</v>
      </c>
      <c r="C119" s="5" t="s">
        <v>86</v>
      </c>
      <c r="D119" s="5" t="s">
        <v>192</v>
      </c>
      <c r="E119" s="5" t="s">
        <v>320</v>
      </c>
      <c r="F119" s="5" t="s">
        <v>206</v>
      </c>
      <c r="G119" s="15" t="n">
        <v>1.3760594</v>
      </c>
      <c r="H119" s="15" t="n">
        <v>2.0640994</v>
      </c>
      <c r="I119" s="15" t="n">
        <v>6.1779503</v>
      </c>
      <c r="J119" s="5" t="s">
        <v>321</v>
      </c>
      <c r="K119" s="5" t="n">
        <v>2050</v>
      </c>
      <c r="L119" s="5" t="str">
        <f aca="false">IF(AND(K119&gt;=Hypothèses!$B$9,K119&lt;=Hypothèses!$B$10),"actuel",IF(K119=2030,"2030",IF(K119=2050,"2050","autre")))</f>
        <v>2050</v>
      </c>
      <c r="M119" s="5"/>
      <c r="N119" s="5" t="s">
        <v>196</v>
      </c>
      <c r="O119" s="5"/>
      <c r="P119" s="5" t="s">
        <v>230</v>
      </c>
      <c r="Q119" s="5" t="s">
        <v>45</v>
      </c>
      <c r="R119" s="12" t="n">
        <f aca="false">INDEX(Hypothèses!$B$14:$B$17,MATCH(Q119,Hypothèses!$A$14:$A$17,0))</f>
        <v>1</v>
      </c>
      <c r="S119" s="15" t="n">
        <f aca="false">IF(G119="","",G119*R119)</f>
        <v>1.3760594</v>
      </c>
      <c r="T119" s="15" t="n">
        <f aca="false">IF(H119="","",H119*R119)</f>
        <v>2.0640994</v>
      </c>
      <c r="U119" s="15" t="n">
        <f aca="false">IF(I119="","",I119*R119)</f>
        <v>6.1779503</v>
      </c>
      <c r="V119" s="5" t="s">
        <v>321</v>
      </c>
      <c r="W119" s="5" t="s">
        <v>70</v>
      </c>
      <c r="X119" s="5" t="s">
        <v>198</v>
      </c>
    </row>
    <row r="120" customFormat="false" ht="15" hidden="false" customHeight="false" outlineLevel="0" collapsed="false">
      <c r="A120" s="5" t="s">
        <v>334</v>
      </c>
      <c r="B120" s="5" t="s">
        <v>64</v>
      </c>
      <c r="C120" s="5" t="s">
        <v>92</v>
      </c>
      <c r="D120" s="5" t="s">
        <v>192</v>
      </c>
      <c r="E120" s="5" t="s">
        <v>320</v>
      </c>
      <c r="F120" s="5" t="s">
        <v>206</v>
      </c>
      <c r="G120" s="15"/>
      <c r="H120" s="15" t="n">
        <v>3.79863697903986</v>
      </c>
      <c r="I120" s="15"/>
      <c r="J120" s="5" t="s">
        <v>321</v>
      </c>
      <c r="K120" s="5" t="n">
        <v>2020</v>
      </c>
      <c r="L120" s="5" t="str">
        <f aca="false">IF(AND(K120&gt;=Hypothèses!$B$9,K120&lt;=Hypothèses!$B$10),"actuel",IF(K120=2030,"2030",IF(K120=2050,"2050","autre")))</f>
        <v>actuel</v>
      </c>
      <c r="M120" s="5"/>
      <c r="N120" s="5" t="s">
        <v>196</v>
      </c>
      <c r="O120" s="5"/>
      <c r="P120" s="5" t="s">
        <v>238</v>
      </c>
      <c r="Q120" s="5" t="s">
        <v>45</v>
      </c>
      <c r="R120" s="12" t="n">
        <f aca="false">INDEX(Hypothèses!$B$14:$B$17,MATCH(Q120,Hypothèses!$A$14:$A$17,0))</f>
        <v>1</v>
      </c>
      <c r="S120" s="15" t="str">
        <f aca="false">IF(G120="","",G120*R120)</f>
        <v/>
      </c>
      <c r="T120" s="15" t="n">
        <f aca="false">IF(H120="","",H120*R120)</f>
        <v>3.79863697903986</v>
      </c>
      <c r="U120" s="15" t="str">
        <f aca="false">IF(I120="","",I120*R120)</f>
        <v/>
      </c>
      <c r="V120" s="5" t="s">
        <v>321</v>
      </c>
      <c r="W120" s="5" t="s">
        <v>70</v>
      </c>
      <c r="X120" s="5" t="s">
        <v>198</v>
      </c>
    </row>
    <row r="121" customFormat="false" ht="15" hidden="false" customHeight="false" outlineLevel="0" collapsed="false">
      <c r="A121" s="5" t="s">
        <v>335</v>
      </c>
      <c r="B121" s="5" t="s">
        <v>64</v>
      </c>
      <c r="C121" s="5" t="s">
        <v>92</v>
      </c>
      <c r="D121" s="5" t="s">
        <v>192</v>
      </c>
      <c r="E121" s="5" t="s">
        <v>320</v>
      </c>
      <c r="F121" s="5" t="s">
        <v>206</v>
      </c>
      <c r="G121" s="15"/>
      <c r="H121" s="15" t="n">
        <v>1.74263825075913</v>
      </c>
      <c r="I121" s="15"/>
      <c r="J121" s="5" t="s">
        <v>321</v>
      </c>
      <c r="K121" s="5" t="n">
        <v>2025</v>
      </c>
      <c r="L121" s="5" t="str">
        <f aca="false">IF(AND(K121&gt;=Hypothèses!$B$9,K121&lt;=Hypothèses!$B$10),"actuel",IF(K121=2030,"2030",IF(K121=2050,"2050","autre")))</f>
        <v>actuel</v>
      </c>
      <c r="M121" s="5"/>
      <c r="N121" s="5" t="s">
        <v>196</v>
      </c>
      <c r="O121" s="5"/>
      <c r="P121" s="5" t="s">
        <v>238</v>
      </c>
      <c r="Q121" s="5" t="s">
        <v>45</v>
      </c>
      <c r="R121" s="12" t="n">
        <f aca="false">INDEX(Hypothèses!$B$14:$B$17,MATCH(Q121,Hypothèses!$A$14:$A$17,0))</f>
        <v>1</v>
      </c>
      <c r="S121" s="15" t="str">
        <f aca="false">IF(G121="","",G121*R121)</f>
        <v/>
      </c>
      <c r="T121" s="15" t="n">
        <f aca="false">IF(H121="","",H121*R121)</f>
        <v>1.74263825075913</v>
      </c>
      <c r="U121" s="15" t="str">
        <f aca="false">IF(I121="","",I121*R121)</f>
        <v/>
      </c>
      <c r="V121" s="5" t="s">
        <v>321</v>
      </c>
      <c r="W121" s="5" t="s">
        <v>70</v>
      </c>
      <c r="X121" s="5" t="s">
        <v>198</v>
      </c>
    </row>
    <row r="122" customFormat="false" ht="15" hidden="false" customHeight="false" outlineLevel="0" collapsed="false">
      <c r="A122" s="5" t="s">
        <v>336</v>
      </c>
      <c r="B122" s="5" t="s">
        <v>64</v>
      </c>
      <c r="C122" s="5" t="s">
        <v>92</v>
      </c>
      <c r="D122" s="5" t="s">
        <v>192</v>
      </c>
      <c r="E122" s="5" t="s">
        <v>320</v>
      </c>
      <c r="F122" s="5" t="s">
        <v>206</v>
      </c>
      <c r="G122" s="15"/>
      <c r="H122" s="15" t="n">
        <v>1.16470403520205</v>
      </c>
      <c r="I122" s="15"/>
      <c r="J122" s="5" t="s">
        <v>321</v>
      </c>
      <c r="K122" s="5" t="n">
        <v>2030</v>
      </c>
      <c r="L122" s="5" t="str">
        <f aca="false">IF(AND(K122&gt;=Hypothèses!$B$9,K122&lt;=Hypothèses!$B$10),"actuel",IF(K122=2030,"2030",IF(K122=2050,"2050","autre")))</f>
        <v>2030</v>
      </c>
      <c r="M122" s="5"/>
      <c r="N122" s="5" t="s">
        <v>196</v>
      </c>
      <c r="O122" s="5"/>
      <c r="P122" s="5" t="s">
        <v>238</v>
      </c>
      <c r="Q122" s="5" t="s">
        <v>45</v>
      </c>
      <c r="R122" s="12" t="n">
        <f aca="false">INDEX(Hypothèses!$B$14:$B$17,MATCH(Q122,Hypothèses!$A$14:$A$17,0))</f>
        <v>1</v>
      </c>
      <c r="S122" s="15" t="str">
        <f aca="false">IF(G122="","",G122*R122)</f>
        <v/>
      </c>
      <c r="T122" s="15" t="n">
        <f aca="false">IF(H122="","",H122*R122)</f>
        <v>1.16470403520205</v>
      </c>
      <c r="U122" s="15" t="str">
        <f aca="false">IF(I122="","",I122*R122)</f>
        <v/>
      </c>
      <c r="V122" s="5" t="s">
        <v>321</v>
      </c>
      <c r="W122" s="5" t="s">
        <v>70</v>
      </c>
      <c r="X122" s="5" t="s">
        <v>198</v>
      </c>
    </row>
    <row r="123" customFormat="false" ht="15" hidden="false" customHeight="false" outlineLevel="0" collapsed="false">
      <c r="A123" s="5" t="s">
        <v>337</v>
      </c>
      <c r="B123" s="5" t="s">
        <v>64</v>
      </c>
      <c r="C123" s="5" t="s">
        <v>92</v>
      </c>
      <c r="D123" s="5" t="s">
        <v>192</v>
      </c>
      <c r="E123" s="5" t="s">
        <v>320</v>
      </c>
      <c r="F123" s="5" t="s">
        <v>206</v>
      </c>
      <c r="G123" s="15"/>
      <c r="H123" s="15" t="n">
        <v>0.735922122450026</v>
      </c>
      <c r="I123" s="15"/>
      <c r="J123" s="5" t="s">
        <v>321</v>
      </c>
      <c r="K123" s="5" t="n">
        <v>2050</v>
      </c>
      <c r="L123" s="5" t="str">
        <f aca="false">IF(AND(K123&gt;=Hypothèses!$B$9,K123&lt;=Hypothèses!$B$10),"actuel",IF(K123=2030,"2030",IF(K123=2050,"2050","autre")))</f>
        <v>2050</v>
      </c>
      <c r="M123" s="5"/>
      <c r="N123" s="5" t="s">
        <v>196</v>
      </c>
      <c r="O123" s="5"/>
      <c r="P123" s="5" t="s">
        <v>238</v>
      </c>
      <c r="Q123" s="5" t="s">
        <v>45</v>
      </c>
      <c r="R123" s="12" t="n">
        <f aca="false">INDEX(Hypothèses!$B$14:$B$17,MATCH(Q123,Hypothèses!$A$14:$A$17,0))</f>
        <v>1</v>
      </c>
      <c r="S123" s="15" t="str">
        <f aca="false">IF(G123="","",G123*R123)</f>
        <v/>
      </c>
      <c r="T123" s="15" t="n">
        <f aca="false">IF(H123="","",H123*R123)</f>
        <v>0.735922122450026</v>
      </c>
      <c r="U123" s="15" t="str">
        <f aca="false">IF(I123="","",I123*R123)</f>
        <v/>
      </c>
      <c r="V123" s="5" t="s">
        <v>321</v>
      </c>
      <c r="W123" s="5" t="s">
        <v>70</v>
      </c>
      <c r="X123" s="5" t="s">
        <v>198</v>
      </c>
    </row>
    <row r="124" customFormat="false" ht="15" hidden="false" customHeight="false" outlineLevel="0" collapsed="false">
      <c r="A124" s="5" t="s">
        <v>338</v>
      </c>
      <c r="B124" s="5" t="s">
        <v>64</v>
      </c>
      <c r="C124" s="5" t="s">
        <v>94</v>
      </c>
      <c r="D124" s="5" t="s">
        <v>192</v>
      </c>
      <c r="E124" s="5" t="s">
        <v>320</v>
      </c>
      <c r="F124" s="5" t="s">
        <v>206</v>
      </c>
      <c r="G124" s="15"/>
      <c r="H124" s="15" t="n">
        <v>8.80518919507154</v>
      </c>
      <c r="I124" s="15"/>
      <c r="J124" s="5" t="s">
        <v>321</v>
      </c>
      <c r="K124" s="5" t="n">
        <v>2020</v>
      </c>
      <c r="L124" s="5" t="str">
        <f aca="false">IF(AND(K124&gt;=Hypothèses!$B$9,K124&lt;=Hypothèses!$B$10),"actuel",IF(K124=2030,"2030",IF(K124=2050,"2050","autre")))</f>
        <v>actuel</v>
      </c>
      <c r="M124" s="5"/>
      <c r="N124" s="5" t="s">
        <v>196</v>
      </c>
      <c r="O124" s="5"/>
      <c r="P124" s="5" t="s">
        <v>243</v>
      </c>
      <c r="Q124" s="5" t="s">
        <v>45</v>
      </c>
      <c r="R124" s="12" t="n">
        <f aca="false">INDEX(Hypothèses!$B$14:$B$17,MATCH(Q124,Hypothèses!$A$14:$A$17,0))</f>
        <v>1</v>
      </c>
      <c r="S124" s="15" t="str">
        <f aca="false">IF(G124="","",G124*R124)</f>
        <v/>
      </c>
      <c r="T124" s="15" t="n">
        <f aca="false">IF(H124="","",H124*R124)</f>
        <v>8.80518919507154</v>
      </c>
      <c r="U124" s="15" t="str">
        <f aca="false">IF(I124="","",I124*R124)</f>
        <v/>
      </c>
      <c r="V124" s="5" t="s">
        <v>321</v>
      </c>
      <c r="W124" s="5" t="s">
        <v>70</v>
      </c>
      <c r="X124" s="5" t="s">
        <v>198</v>
      </c>
    </row>
    <row r="125" customFormat="false" ht="15" hidden="false" customHeight="false" outlineLevel="0" collapsed="false">
      <c r="A125" s="5" t="s">
        <v>339</v>
      </c>
      <c r="B125" s="5" t="s">
        <v>64</v>
      </c>
      <c r="C125" s="5" t="s">
        <v>94</v>
      </c>
      <c r="D125" s="5" t="s">
        <v>192</v>
      </c>
      <c r="E125" s="5" t="s">
        <v>320</v>
      </c>
      <c r="F125" s="5" t="s">
        <v>206</v>
      </c>
      <c r="G125" s="15"/>
      <c r="H125" s="15" t="n">
        <v>9.06088319954529</v>
      </c>
      <c r="I125" s="15"/>
      <c r="J125" s="5" t="s">
        <v>321</v>
      </c>
      <c r="K125" s="5" t="n">
        <v>2025</v>
      </c>
      <c r="L125" s="5" t="str">
        <f aca="false">IF(AND(K125&gt;=Hypothèses!$B$9,K125&lt;=Hypothèses!$B$10),"actuel",IF(K125=2030,"2030",IF(K125=2050,"2050","autre")))</f>
        <v>actuel</v>
      </c>
      <c r="M125" s="5"/>
      <c r="N125" s="5" t="s">
        <v>196</v>
      </c>
      <c r="O125" s="5"/>
      <c r="P125" s="5" t="s">
        <v>243</v>
      </c>
      <c r="Q125" s="5" t="s">
        <v>45</v>
      </c>
      <c r="R125" s="12" t="n">
        <f aca="false">INDEX(Hypothèses!$B$14:$B$17,MATCH(Q125,Hypothèses!$A$14:$A$17,0))</f>
        <v>1</v>
      </c>
      <c r="S125" s="15" t="str">
        <f aca="false">IF(G125="","",G125*R125)</f>
        <v/>
      </c>
      <c r="T125" s="15" t="n">
        <f aca="false">IF(H125="","",H125*R125)</f>
        <v>9.06088319954529</v>
      </c>
      <c r="U125" s="15" t="str">
        <f aca="false">IF(I125="","",I125*R125)</f>
        <v/>
      </c>
      <c r="V125" s="5" t="s">
        <v>321</v>
      </c>
      <c r="W125" s="5" t="s">
        <v>70</v>
      </c>
      <c r="X125" s="5" t="s">
        <v>198</v>
      </c>
    </row>
    <row r="126" customFormat="false" ht="15" hidden="false" customHeight="false" outlineLevel="0" collapsed="false">
      <c r="A126" s="5" t="s">
        <v>340</v>
      </c>
      <c r="B126" s="5" t="s">
        <v>64</v>
      </c>
      <c r="C126" s="5" t="s">
        <v>94</v>
      </c>
      <c r="D126" s="5" t="s">
        <v>192</v>
      </c>
      <c r="E126" s="5" t="s">
        <v>320</v>
      </c>
      <c r="F126" s="5" t="s">
        <v>206</v>
      </c>
      <c r="G126" s="15"/>
      <c r="H126" s="15" t="n">
        <v>9.07032098234883</v>
      </c>
      <c r="I126" s="15"/>
      <c r="J126" s="5" t="s">
        <v>321</v>
      </c>
      <c r="K126" s="5" t="n">
        <v>2030</v>
      </c>
      <c r="L126" s="5" t="str">
        <f aca="false">IF(AND(K126&gt;=Hypothèses!$B$9,K126&lt;=Hypothèses!$B$10),"actuel",IF(K126=2030,"2030",IF(K126=2050,"2050","autre")))</f>
        <v>2030</v>
      </c>
      <c r="M126" s="5"/>
      <c r="N126" s="5" t="s">
        <v>196</v>
      </c>
      <c r="O126" s="5"/>
      <c r="P126" s="5" t="s">
        <v>243</v>
      </c>
      <c r="Q126" s="5" t="s">
        <v>45</v>
      </c>
      <c r="R126" s="12" t="n">
        <f aca="false">INDEX(Hypothèses!$B$14:$B$17,MATCH(Q126,Hypothèses!$A$14:$A$17,0))</f>
        <v>1</v>
      </c>
      <c r="S126" s="15" t="str">
        <f aca="false">IF(G126="","",G126*R126)</f>
        <v/>
      </c>
      <c r="T126" s="15" t="n">
        <f aca="false">IF(H126="","",H126*R126)</f>
        <v>9.07032098234883</v>
      </c>
      <c r="U126" s="15" t="str">
        <f aca="false">IF(I126="","",I126*R126)</f>
        <v/>
      </c>
      <c r="V126" s="5" t="s">
        <v>321</v>
      </c>
      <c r="W126" s="5" t="s">
        <v>70</v>
      </c>
      <c r="X126" s="5" t="s">
        <v>198</v>
      </c>
    </row>
    <row r="127" customFormat="false" ht="15" hidden="false" customHeight="false" outlineLevel="0" collapsed="false">
      <c r="A127" s="5" t="s">
        <v>341</v>
      </c>
      <c r="B127" s="5" t="s">
        <v>64</v>
      </c>
      <c r="C127" s="5" t="s">
        <v>94</v>
      </c>
      <c r="D127" s="5" t="s">
        <v>192</v>
      </c>
      <c r="E127" s="5" t="s">
        <v>320</v>
      </c>
      <c r="F127" s="5" t="s">
        <v>206</v>
      </c>
      <c r="G127" s="15"/>
      <c r="H127" s="15" t="n">
        <v>8.99455655928706</v>
      </c>
      <c r="I127" s="15"/>
      <c r="J127" s="5" t="s">
        <v>321</v>
      </c>
      <c r="K127" s="5" t="n">
        <v>2035</v>
      </c>
      <c r="L127" s="5" t="str">
        <f aca="false">IF(AND(K127&gt;=Hypothèses!$B$9,K127&lt;=Hypothèses!$B$10),"actuel",IF(K127=2030,"2030",IF(K127=2050,"2050","autre")))</f>
        <v>autre</v>
      </c>
      <c r="M127" s="5"/>
      <c r="N127" s="5" t="s">
        <v>196</v>
      </c>
      <c r="O127" s="5"/>
      <c r="P127" s="5" t="s">
        <v>243</v>
      </c>
      <c r="Q127" s="5" t="s">
        <v>45</v>
      </c>
      <c r="R127" s="12" t="n">
        <f aca="false">INDEX(Hypothèses!$B$14:$B$17,MATCH(Q127,Hypothèses!$A$14:$A$17,0))</f>
        <v>1</v>
      </c>
      <c r="S127" s="15" t="str">
        <f aca="false">IF(G127="","",G127*R127)</f>
        <v/>
      </c>
      <c r="T127" s="15" t="n">
        <f aca="false">IF(H127="","",H127*R127)</f>
        <v>8.99455655928706</v>
      </c>
      <c r="U127" s="15" t="str">
        <f aca="false">IF(I127="","",I127*R127)</f>
        <v/>
      </c>
      <c r="V127" s="5" t="s">
        <v>321</v>
      </c>
      <c r="W127" s="5" t="s">
        <v>70</v>
      </c>
      <c r="X127" s="5" t="s">
        <v>198</v>
      </c>
    </row>
    <row r="128" customFormat="false" ht="15" hidden="false" customHeight="false" outlineLevel="0" collapsed="false">
      <c r="A128" s="5" t="s">
        <v>342</v>
      </c>
      <c r="B128" s="5" t="s">
        <v>64</v>
      </c>
      <c r="C128" s="5" t="s">
        <v>94</v>
      </c>
      <c r="D128" s="5" t="s">
        <v>192</v>
      </c>
      <c r="E128" s="5" t="s">
        <v>320</v>
      </c>
      <c r="F128" s="5" t="s">
        <v>206</v>
      </c>
      <c r="G128" s="15"/>
      <c r="H128" s="15" t="n">
        <v>8.76735067697956</v>
      </c>
      <c r="I128" s="15"/>
      <c r="J128" s="5" t="s">
        <v>321</v>
      </c>
      <c r="K128" s="5" t="n">
        <v>2040</v>
      </c>
      <c r="L128" s="5" t="str">
        <f aca="false">IF(AND(K128&gt;=Hypothèses!$B$9,K128&lt;=Hypothèses!$B$10),"actuel",IF(K128=2030,"2030",IF(K128=2050,"2050","autre")))</f>
        <v>autre</v>
      </c>
      <c r="M128" s="5"/>
      <c r="N128" s="5" t="s">
        <v>196</v>
      </c>
      <c r="O128" s="5"/>
      <c r="P128" s="5" t="s">
        <v>243</v>
      </c>
      <c r="Q128" s="5" t="s">
        <v>45</v>
      </c>
      <c r="R128" s="12" t="n">
        <f aca="false">INDEX(Hypothèses!$B$14:$B$17,MATCH(Q128,Hypothèses!$A$14:$A$17,0))</f>
        <v>1</v>
      </c>
      <c r="S128" s="15" t="str">
        <f aca="false">IF(G128="","",G128*R128)</f>
        <v/>
      </c>
      <c r="T128" s="15" t="n">
        <f aca="false">IF(H128="","",H128*R128)</f>
        <v>8.76735067697956</v>
      </c>
      <c r="U128" s="15" t="str">
        <f aca="false">IF(I128="","",I128*R128)</f>
        <v/>
      </c>
      <c r="V128" s="5" t="s">
        <v>321</v>
      </c>
      <c r="W128" s="5" t="s">
        <v>70</v>
      </c>
      <c r="X128" s="5" t="s">
        <v>198</v>
      </c>
    </row>
    <row r="129" customFormat="false" ht="15" hidden="false" customHeight="false" outlineLevel="0" collapsed="false">
      <c r="A129" s="5" t="s">
        <v>343</v>
      </c>
      <c r="B129" s="5" t="s">
        <v>64</v>
      </c>
      <c r="C129" s="5" t="s">
        <v>94</v>
      </c>
      <c r="D129" s="5" t="s">
        <v>192</v>
      </c>
      <c r="E129" s="5" t="s">
        <v>320</v>
      </c>
      <c r="F129" s="5" t="s">
        <v>206</v>
      </c>
      <c r="G129" s="15"/>
      <c r="H129" s="15" t="n">
        <v>8.48330836934406</v>
      </c>
      <c r="I129" s="15"/>
      <c r="J129" s="5" t="s">
        <v>321</v>
      </c>
      <c r="K129" s="5" t="n">
        <v>2045</v>
      </c>
      <c r="L129" s="5" t="str">
        <f aca="false">IF(AND(K129&gt;=Hypothèses!$B$9,K129&lt;=Hypothèses!$B$10),"actuel",IF(K129=2030,"2030",IF(K129=2050,"2050","autre")))</f>
        <v>autre</v>
      </c>
      <c r="M129" s="5"/>
      <c r="N129" s="5" t="s">
        <v>196</v>
      </c>
      <c r="O129" s="5"/>
      <c r="P129" s="5" t="s">
        <v>243</v>
      </c>
      <c r="Q129" s="5" t="s">
        <v>45</v>
      </c>
      <c r="R129" s="12" t="n">
        <f aca="false">INDEX(Hypothèses!$B$14:$B$17,MATCH(Q129,Hypothèses!$A$14:$A$17,0))</f>
        <v>1</v>
      </c>
      <c r="S129" s="15" t="str">
        <f aca="false">IF(G129="","",G129*R129)</f>
        <v/>
      </c>
      <c r="T129" s="15" t="n">
        <f aca="false">IF(H129="","",H129*R129)</f>
        <v>8.48330836934406</v>
      </c>
      <c r="U129" s="15" t="str">
        <f aca="false">IF(I129="","",I129*R129)</f>
        <v/>
      </c>
      <c r="V129" s="5" t="s">
        <v>321</v>
      </c>
      <c r="W129" s="5" t="s">
        <v>70</v>
      </c>
      <c r="X129" s="5" t="s">
        <v>198</v>
      </c>
    </row>
    <row r="130" customFormat="false" ht="15" hidden="false" customHeight="false" outlineLevel="0" collapsed="false">
      <c r="A130" s="5" t="s">
        <v>344</v>
      </c>
      <c r="B130" s="5" t="s">
        <v>64</v>
      </c>
      <c r="C130" s="5" t="s">
        <v>94</v>
      </c>
      <c r="D130" s="5" t="s">
        <v>192</v>
      </c>
      <c r="E130" s="5" t="s">
        <v>320</v>
      </c>
      <c r="F130" s="5" t="s">
        <v>206</v>
      </c>
      <c r="G130" s="15"/>
      <c r="H130" s="15" t="n">
        <v>8.23713953455167</v>
      </c>
      <c r="I130" s="15"/>
      <c r="J130" s="5" t="s">
        <v>321</v>
      </c>
      <c r="K130" s="5" t="n">
        <v>2050</v>
      </c>
      <c r="L130" s="5" t="str">
        <f aca="false">IF(AND(K130&gt;=Hypothèses!$B$9,K130&lt;=Hypothèses!$B$10),"actuel",IF(K130=2030,"2030",IF(K130=2050,"2050","autre")))</f>
        <v>2050</v>
      </c>
      <c r="M130" s="5"/>
      <c r="N130" s="5" t="s">
        <v>196</v>
      </c>
      <c r="O130" s="5"/>
      <c r="P130" s="5" t="s">
        <v>243</v>
      </c>
      <c r="Q130" s="5" t="s">
        <v>45</v>
      </c>
      <c r="R130" s="12" t="n">
        <f aca="false">INDEX(Hypothèses!$B$14:$B$17,MATCH(Q130,Hypothèses!$A$14:$A$17,0))</f>
        <v>1</v>
      </c>
      <c r="S130" s="15" t="str">
        <f aca="false">IF(G130="","",G130*R130)</f>
        <v/>
      </c>
      <c r="T130" s="15" t="n">
        <f aca="false">IF(H130="","",H130*R130)</f>
        <v>8.23713953455167</v>
      </c>
      <c r="U130" s="15" t="str">
        <f aca="false">IF(I130="","",I130*R130)</f>
        <v/>
      </c>
      <c r="V130" s="5" t="s">
        <v>321</v>
      </c>
      <c r="W130" s="5" t="s">
        <v>70</v>
      </c>
      <c r="X130" s="5" t="s">
        <v>198</v>
      </c>
    </row>
    <row r="131" customFormat="false" ht="15" hidden="false" customHeight="false" outlineLevel="0" collapsed="false">
      <c r="A131" s="5" t="s">
        <v>345</v>
      </c>
      <c r="B131" s="5" t="s">
        <v>64</v>
      </c>
      <c r="C131" s="5" t="s">
        <v>100</v>
      </c>
      <c r="D131" s="5" t="s">
        <v>192</v>
      </c>
      <c r="E131" s="5" t="s">
        <v>320</v>
      </c>
      <c r="F131" s="5" t="s">
        <v>206</v>
      </c>
      <c r="G131" s="15"/>
      <c r="H131" s="15" t="n">
        <v>4.713795</v>
      </c>
      <c r="I131" s="15"/>
      <c r="J131" s="5" t="s">
        <v>321</v>
      </c>
      <c r="K131" s="5" t="n">
        <v>2020</v>
      </c>
      <c r="L131" s="5" t="str">
        <f aca="false">IF(AND(K131&gt;=Hypothèses!$B$9,K131&lt;=Hypothèses!$B$10),"actuel",IF(K131=2030,"2030",IF(K131=2050,"2050","autre")))</f>
        <v>actuel</v>
      </c>
      <c r="M131" s="5"/>
      <c r="N131" s="5" t="s">
        <v>196</v>
      </c>
      <c r="O131" s="5"/>
      <c r="P131" s="5" t="s">
        <v>283</v>
      </c>
      <c r="Q131" s="5" t="s">
        <v>45</v>
      </c>
      <c r="R131" s="12" t="n">
        <f aca="false">INDEX(Hypothèses!$B$14:$B$17,MATCH(Q131,Hypothèses!$A$14:$A$17,0))</f>
        <v>1</v>
      </c>
      <c r="S131" s="15" t="str">
        <f aca="false">IF(G131="","",G131*R131)</f>
        <v/>
      </c>
      <c r="T131" s="15" t="n">
        <f aca="false">IF(H131="","",H131*R131)</f>
        <v>4.713795</v>
      </c>
      <c r="U131" s="15" t="str">
        <f aca="false">IF(I131="","",I131*R131)</f>
        <v/>
      </c>
      <c r="V131" s="5" t="s">
        <v>321</v>
      </c>
      <c r="W131" s="5" t="s">
        <v>70</v>
      </c>
      <c r="X131" s="5" t="s">
        <v>198</v>
      </c>
    </row>
    <row r="132" customFormat="false" ht="15" hidden="false" customHeight="false" outlineLevel="0" collapsed="false">
      <c r="A132" s="5" t="s">
        <v>346</v>
      </c>
      <c r="B132" s="5" t="s">
        <v>64</v>
      </c>
      <c r="C132" s="5" t="s">
        <v>100</v>
      </c>
      <c r="D132" s="5" t="s">
        <v>192</v>
      </c>
      <c r="E132" s="5" t="s">
        <v>320</v>
      </c>
      <c r="F132" s="5" t="s">
        <v>206</v>
      </c>
      <c r="G132" s="15"/>
      <c r="H132" s="15" t="n">
        <v>2.3294892</v>
      </c>
      <c r="I132" s="15"/>
      <c r="J132" s="5" t="s">
        <v>321</v>
      </c>
      <c r="K132" s="5" t="n">
        <v>2030</v>
      </c>
      <c r="L132" s="5" t="str">
        <f aca="false">IF(AND(K132&gt;=Hypothèses!$B$9,K132&lt;=Hypothèses!$B$10),"actuel",IF(K132=2030,"2030",IF(K132=2050,"2050","autre")))</f>
        <v>2030</v>
      </c>
      <c r="M132" s="5"/>
      <c r="N132" s="5" t="s">
        <v>196</v>
      </c>
      <c r="O132" s="5"/>
      <c r="P132" s="5" t="s">
        <v>283</v>
      </c>
      <c r="Q132" s="5" t="s">
        <v>45</v>
      </c>
      <c r="R132" s="12" t="n">
        <f aca="false">INDEX(Hypothèses!$B$14:$B$17,MATCH(Q132,Hypothèses!$A$14:$A$17,0))</f>
        <v>1</v>
      </c>
      <c r="S132" s="15" t="str">
        <f aca="false">IF(G132="","",G132*R132)</f>
        <v/>
      </c>
      <c r="T132" s="15" t="n">
        <f aca="false">IF(H132="","",H132*R132)</f>
        <v>2.3294892</v>
      </c>
      <c r="U132" s="15" t="str">
        <f aca="false">IF(I132="","",I132*R132)</f>
        <v/>
      </c>
      <c r="V132" s="5" t="s">
        <v>321</v>
      </c>
      <c r="W132" s="5" t="s">
        <v>70</v>
      </c>
      <c r="X132" s="5" t="s">
        <v>198</v>
      </c>
    </row>
    <row r="133" customFormat="false" ht="15" hidden="false" customHeight="false" outlineLevel="0" collapsed="false">
      <c r="A133" s="5" t="s">
        <v>347</v>
      </c>
      <c r="B133" s="5" t="s">
        <v>64</v>
      </c>
      <c r="C133" s="5" t="s">
        <v>100</v>
      </c>
      <c r="D133" s="5" t="s">
        <v>192</v>
      </c>
      <c r="E133" s="5" t="s">
        <v>320</v>
      </c>
      <c r="F133" s="5" t="s">
        <v>206</v>
      </c>
      <c r="G133" s="15"/>
      <c r="H133" s="15" t="n">
        <v>1.2743675</v>
      </c>
      <c r="I133" s="15"/>
      <c r="J133" s="5" t="s">
        <v>321</v>
      </c>
      <c r="K133" s="5" t="n">
        <v>2050</v>
      </c>
      <c r="L133" s="5" t="str">
        <f aca="false">IF(AND(K133&gt;=Hypothèses!$B$9,K133&lt;=Hypothèses!$B$10),"actuel",IF(K133=2030,"2030",IF(K133=2050,"2050","autre")))</f>
        <v>2050</v>
      </c>
      <c r="M133" s="5"/>
      <c r="N133" s="5" t="s">
        <v>196</v>
      </c>
      <c r="O133" s="5"/>
      <c r="P133" s="5" t="s">
        <v>283</v>
      </c>
      <c r="Q133" s="5" t="s">
        <v>45</v>
      </c>
      <c r="R133" s="12" t="n">
        <f aca="false">INDEX(Hypothèses!$B$14:$B$17,MATCH(Q133,Hypothèses!$A$14:$A$17,0))</f>
        <v>1</v>
      </c>
      <c r="S133" s="15" t="str">
        <f aca="false">IF(G133="","",G133*R133)</f>
        <v/>
      </c>
      <c r="T133" s="15" t="n">
        <f aca="false">IF(H133="","",H133*R133)</f>
        <v>1.2743675</v>
      </c>
      <c r="U133" s="15" t="str">
        <f aca="false">IF(I133="","",I133*R133)</f>
        <v/>
      </c>
      <c r="V133" s="5" t="s">
        <v>321</v>
      </c>
      <c r="W133" s="5" t="s">
        <v>70</v>
      </c>
      <c r="X133" s="5" t="s">
        <v>198</v>
      </c>
    </row>
    <row r="134" customFormat="false" ht="15" hidden="false" customHeight="false" outlineLevel="0" collapsed="false">
      <c r="A134" s="5" t="s">
        <v>348</v>
      </c>
      <c r="B134" s="5" t="s">
        <v>64</v>
      </c>
      <c r="C134" s="5" t="s">
        <v>104</v>
      </c>
      <c r="D134" s="5" t="s">
        <v>192</v>
      </c>
      <c r="E134" s="5" t="s">
        <v>320</v>
      </c>
      <c r="F134" s="5" t="s">
        <v>206</v>
      </c>
      <c r="G134" s="15" t="n">
        <v>3.8308378</v>
      </c>
      <c r="H134" s="15" t="n">
        <v>4.96001135</v>
      </c>
      <c r="I134" s="15" t="n">
        <v>6.0891849</v>
      </c>
      <c r="J134" s="5" t="s">
        <v>321</v>
      </c>
      <c r="K134" s="5" t="n">
        <v>2020</v>
      </c>
      <c r="L134" s="5" t="str">
        <f aca="false">IF(AND(K134&gt;=Hypothèses!$B$9,K134&lt;=Hypothèses!$B$10),"actuel",IF(K134=2030,"2030",IF(K134=2050,"2050","autre")))</f>
        <v>actuel</v>
      </c>
      <c r="M134" s="5"/>
      <c r="N134" s="5" t="s">
        <v>196</v>
      </c>
      <c r="O134" s="5"/>
      <c r="P134" s="5" t="s">
        <v>287</v>
      </c>
      <c r="Q134" s="5" t="s">
        <v>45</v>
      </c>
      <c r="R134" s="12" t="n">
        <f aca="false">INDEX(Hypothèses!$B$14:$B$17,MATCH(Q134,Hypothèses!$A$14:$A$17,0))</f>
        <v>1</v>
      </c>
      <c r="S134" s="15" t="n">
        <f aca="false">IF(G134="","",G134*R134)</f>
        <v>3.8308378</v>
      </c>
      <c r="T134" s="15" t="n">
        <f aca="false">IF(H134="","",H134*R134)</f>
        <v>4.96001135</v>
      </c>
      <c r="U134" s="15" t="n">
        <f aca="false">IF(I134="","",I134*R134)</f>
        <v>6.0891849</v>
      </c>
      <c r="V134" s="5" t="s">
        <v>321</v>
      </c>
      <c r="W134" s="5" t="s">
        <v>70</v>
      </c>
      <c r="X134" s="5" t="s">
        <v>198</v>
      </c>
    </row>
    <row r="135" customFormat="false" ht="15" hidden="false" customHeight="false" outlineLevel="0" collapsed="false">
      <c r="A135" s="5" t="s">
        <v>349</v>
      </c>
      <c r="B135" s="5" t="s">
        <v>64</v>
      </c>
      <c r="C135" s="5" t="s">
        <v>104</v>
      </c>
      <c r="D135" s="5" t="s">
        <v>192</v>
      </c>
      <c r="E135" s="5" t="s">
        <v>320</v>
      </c>
      <c r="F135" s="5" t="s">
        <v>206</v>
      </c>
      <c r="G135" s="15" t="n">
        <v>1.7063083</v>
      </c>
      <c r="H135" s="15" t="n">
        <v>2.66819955</v>
      </c>
      <c r="I135" s="15" t="n">
        <v>3.6300908</v>
      </c>
      <c r="J135" s="5" t="s">
        <v>321</v>
      </c>
      <c r="K135" s="5" t="n">
        <v>2030</v>
      </c>
      <c r="L135" s="5" t="str">
        <f aca="false">IF(AND(K135&gt;=Hypothèses!$B$9,K135&lt;=Hypothèses!$B$10),"actuel",IF(K135=2030,"2030",IF(K135=2050,"2050","autre")))</f>
        <v>2030</v>
      </c>
      <c r="M135" s="5"/>
      <c r="N135" s="5" t="s">
        <v>196</v>
      </c>
      <c r="O135" s="5"/>
      <c r="P135" s="5" t="s">
        <v>287</v>
      </c>
      <c r="Q135" s="5" t="s">
        <v>45</v>
      </c>
      <c r="R135" s="12" t="n">
        <f aca="false">INDEX(Hypothèses!$B$14:$B$17,MATCH(Q135,Hypothèses!$A$14:$A$17,0))</f>
        <v>1</v>
      </c>
      <c r="S135" s="15" t="n">
        <f aca="false">IF(G135="","",G135*R135)</f>
        <v>1.7063083</v>
      </c>
      <c r="T135" s="15" t="n">
        <f aca="false">IF(H135="","",H135*R135)</f>
        <v>2.66819955</v>
      </c>
      <c r="U135" s="15" t="n">
        <f aca="false">IF(I135="","",I135*R135)</f>
        <v>3.6300908</v>
      </c>
      <c r="V135" s="5" t="s">
        <v>321</v>
      </c>
      <c r="W135" s="5" t="s">
        <v>70</v>
      </c>
      <c r="X135" s="5" t="s">
        <v>198</v>
      </c>
    </row>
    <row r="136" customFormat="false" ht="15" hidden="false" customHeight="false" outlineLevel="0" collapsed="false">
      <c r="A136" s="5" t="s">
        <v>350</v>
      </c>
      <c r="B136" s="5" t="s">
        <v>64</v>
      </c>
      <c r="C136" s="5" t="s">
        <v>104</v>
      </c>
      <c r="D136" s="5" t="s">
        <v>192</v>
      </c>
      <c r="E136" s="5" t="s">
        <v>320</v>
      </c>
      <c r="F136" s="5" t="s">
        <v>206</v>
      </c>
      <c r="G136" s="15" t="n">
        <v>0.824</v>
      </c>
      <c r="H136" s="15" t="n">
        <v>1.4729</v>
      </c>
      <c r="I136" s="15" t="n">
        <v>2.472</v>
      </c>
      <c r="J136" s="5" t="s">
        <v>321</v>
      </c>
      <c r="K136" s="5" t="n">
        <v>2050</v>
      </c>
      <c r="L136" s="5" t="str">
        <f aca="false">IF(AND(K136&gt;=Hypothèses!$B$9,K136&lt;=Hypothèses!$B$10),"actuel",IF(K136=2030,"2030",IF(K136=2050,"2050","autre")))</f>
        <v>2050</v>
      </c>
      <c r="M136" s="5"/>
      <c r="N136" s="5" t="s">
        <v>196</v>
      </c>
      <c r="O136" s="5"/>
      <c r="P136" s="5" t="s">
        <v>287</v>
      </c>
      <c r="Q136" s="5" t="s">
        <v>45</v>
      </c>
      <c r="R136" s="12" t="n">
        <f aca="false">INDEX(Hypothèses!$B$14:$B$17,MATCH(Q136,Hypothèses!$A$14:$A$17,0))</f>
        <v>1</v>
      </c>
      <c r="S136" s="15" t="n">
        <f aca="false">IF(G136="","",G136*R136)</f>
        <v>0.824</v>
      </c>
      <c r="T136" s="15" t="n">
        <f aca="false">IF(H136="","",H136*R136)</f>
        <v>1.4729</v>
      </c>
      <c r="U136" s="15" t="n">
        <f aca="false">IF(I136="","",I136*R136)</f>
        <v>2.472</v>
      </c>
      <c r="V136" s="5" t="s">
        <v>321</v>
      </c>
      <c r="W136" s="5" t="s">
        <v>70</v>
      </c>
      <c r="X136" s="5" t="s">
        <v>198</v>
      </c>
    </row>
    <row r="137" customFormat="false" ht="15" hidden="false" customHeight="false" outlineLevel="0" collapsed="false">
      <c r="A137" s="5" t="s">
        <v>351</v>
      </c>
      <c r="B137" s="5" t="s">
        <v>64</v>
      </c>
      <c r="C137" s="5" t="s">
        <v>108</v>
      </c>
      <c r="D137" s="5" t="s">
        <v>192</v>
      </c>
      <c r="E137" s="5" t="s">
        <v>320</v>
      </c>
      <c r="F137" s="5" t="s">
        <v>206</v>
      </c>
      <c r="G137" s="15" t="n">
        <v>2.6686373</v>
      </c>
      <c r="H137" s="15" t="n">
        <v>4.79106045</v>
      </c>
      <c r="I137" s="15" t="n">
        <v>6.9134836</v>
      </c>
      <c r="J137" s="5" t="s">
        <v>321</v>
      </c>
      <c r="K137" s="5" t="n">
        <v>2020</v>
      </c>
      <c r="L137" s="5" t="str">
        <f aca="false">IF(AND(K137&gt;=Hypothèses!$B$9,K137&lt;=Hypothèses!$B$10),"actuel",IF(K137=2030,"2030",IF(K137=2050,"2050","autre")))</f>
        <v>actuel</v>
      </c>
      <c r="M137" s="5"/>
      <c r="N137" s="5" t="s">
        <v>196</v>
      </c>
      <c r="O137" s="5"/>
      <c r="P137" s="5" t="s">
        <v>230</v>
      </c>
      <c r="Q137" s="5" t="s">
        <v>45</v>
      </c>
      <c r="R137" s="12" t="n">
        <f aca="false">INDEX(Hypothèses!$B$14:$B$17,MATCH(Q137,Hypothèses!$A$14:$A$17,0))</f>
        <v>1</v>
      </c>
      <c r="S137" s="15" t="n">
        <f aca="false">IF(G137="","",G137*R137)</f>
        <v>2.6686373</v>
      </c>
      <c r="T137" s="15" t="n">
        <f aca="false">IF(H137="","",H137*R137)</f>
        <v>4.79106045</v>
      </c>
      <c r="U137" s="15" t="n">
        <f aca="false">IF(I137="","",I137*R137)</f>
        <v>6.9134836</v>
      </c>
      <c r="V137" s="5" t="s">
        <v>321</v>
      </c>
      <c r="W137" s="5" t="s">
        <v>70</v>
      </c>
      <c r="X137" s="5" t="s">
        <v>198</v>
      </c>
    </row>
    <row r="138" customFormat="false" ht="15" hidden="false" customHeight="false" outlineLevel="0" collapsed="false">
      <c r="A138" s="5" t="s">
        <v>352</v>
      </c>
      <c r="B138" s="5" t="s">
        <v>64</v>
      </c>
      <c r="C138" s="5" t="s">
        <v>108</v>
      </c>
      <c r="D138" s="5" t="s">
        <v>192</v>
      </c>
      <c r="E138" s="5" t="s">
        <v>320</v>
      </c>
      <c r="F138" s="5" t="s">
        <v>206</v>
      </c>
      <c r="G138" s="15" t="n">
        <v>2.543791</v>
      </c>
      <c r="H138" s="15" t="n">
        <v>4.47893955</v>
      </c>
      <c r="I138" s="15" t="n">
        <v>6.4140881</v>
      </c>
      <c r="J138" s="5" t="s">
        <v>321</v>
      </c>
      <c r="K138" s="5" t="n">
        <v>2021</v>
      </c>
      <c r="L138" s="5" t="str">
        <f aca="false">IF(AND(K138&gt;=Hypothèses!$B$9,K138&lt;=Hypothèses!$B$10),"actuel",IF(K138=2030,"2030",IF(K138=2050,"2050","autre")))</f>
        <v>actuel</v>
      </c>
      <c r="M138" s="5"/>
      <c r="N138" s="5" t="s">
        <v>196</v>
      </c>
      <c r="O138" s="5"/>
      <c r="P138" s="5" t="s">
        <v>230</v>
      </c>
      <c r="Q138" s="5" t="s">
        <v>45</v>
      </c>
      <c r="R138" s="12" t="n">
        <f aca="false">INDEX(Hypothèses!$B$14:$B$17,MATCH(Q138,Hypothèses!$A$14:$A$17,0))</f>
        <v>1</v>
      </c>
      <c r="S138" s="15" t="n">
        <f aca="false">IF(G138="","",G138*R138)</f>
        <v>2.543791</v>
      </c>
      <c r="T138" s="15" t="n">
        <f aca="false">IF(H138="","",H138*R138)</f>
        <v>4.47893955</v>
      </c>
      <c r="U138" s="15" t="n">
        <f aca="false">IF(I138="","",I138*R138)</f>
        <v>6.4140881</v>
      </c>
      <c r="V138" s="5" t="s">
        <v>321</v>
      </c>
      <c r="W138" s="5" t="s">
        <v>70</v>
      </c>
      <c r="X138" s="5" t="s">
        <v>198</v>
      </c>
    </row>
    <row r="139" customFormat="false" ht="15" hidden="false" customHeight="false" outlineLevel="0" collapsed="false">
      <c r="A139" s="5" t="s">
        <v>353</v>
      </c>
      <c r="B139" s="5" t="s">
        <v>64</v>
      </c>
      <c r="C139" s="5" t="s">
        <v>108</v>
      </c>
      <c r="D139" s="5" t="s">
        <v>192</v>
      </c>
      <c r="E139" s="5" t="s">
        <v>320</v>
      </c>
      <c r="F139" s="5" t="s">
        <v>206</v>
      </c>
      <c r="G139" s="15" t="n">
        <v>2.2940881</v>
      </c>
      <c r="H139" s="15" t="n">
        <v>4.14340675</v>
      </c>
      <c r="I139" s="15" t="n">
        <v>5.9927254</v>
      </c>
      <c r="J139" s="5" t="s">
        <v>321</v>
      </c>
      <c r="K139" s="5" t="n">
        <v>2022</v>
      </c>
      <c r="L139" s="5" t="str">
        <f aca="false">IF(AND(K139&gt;=Hypothèses!$B$9,K139&lt;=Hypothèses!$B$10),"actuel",IF(K139=2030,"2030",IF(K139=2050,"2050","autre")))</f>
        <v>actuel</v>
      </c>
      <c r="M139" s="5"/>
      <c r="N139" s="5" t="s">
        <v>196</v>
      </c>
      <c r="O139" s="5"/>
      <c r="P139" s="5" t="s">
        <v>230</v>
      </c>
      <c r="Q139" s="5" t="s">
        <v>45</v>
      </c>
      <c r="R139" s="12" t="n">
        <f aca="false">INDEX(Hypothèses!$B$14:$B$17,MATCH(Q139,Hypothèses!$A$14:$A$17,0))</f>
        <v>1</v>
      </c>
      <c r="S139" s="15" t="n">
        <f aca="false">IF(G139="","",G139*R139)</f>
        <v>2.2940881</v>
      </c>
      <c r="T139" s="15" t="n">
        <f aca="false">IF(H139="","",H139*R139)</f>
        <v>4.14340675</v>
      </c>
      <c r="U139" s="15" t="n">
        <f aca="false">IF(I139="","",I139*R139)</f>
        <v>5.9927254</v>
      </c>
      <c r="V139" s="5" t="s">
        <v>321</v>
      </c>
      <c r="W139" s="5" t="s">
        <v>70</v>
      </c>
      <c r="X139" s="5" t="s">
        <v>198</v>
      </c>
    </row>
    <row r="140" customFormat="false" ht="15" hidden="false" customHeight="false" outlineLevel="0" collapsed="false">
      <c r="A140" s="5" t="s">
        <v>354</v>
      </c>
      <c r="B140" s="5" t="s">
        <v>64</v>
      </c>
      <c r="C140" s="5" t="s">
        <v>108</v>
      </c>
      <c r="D140" s="5" t="s">
        <v>192</v>
      </c>
      <c r="E140" s="5" t="s">
        <v>320</v>
      </c>
      <c r="F140" s="5" t="s">
        <v>206</v>
      </c>
      <c r="G140" s="15" t="n">
        <v>2.2004508</v>
      </c>
      <c r="H140" s="15" t="n">
        <v>3.893709</v>
      </c>
      <c r="I140" s="15" t="n">
        <v>5.5869672</v>
      </c>
      <c r="J140" s="5" t="s">
        <v>321</v>
      </c>
      <c r="K140" s="5" t="n">
        <v>2023</v>
      </c>
      <c r="L140" s="5" t="str">
        <f aca="false">IF(AND(K140&gt;=Hypothèses!$B$9,K140&lt;=Hypothèses!$B$10),"actuel",IF(K140=2030,"2030",IF(K140=2050,"2050","autre")))</f>
        <v>actuel</v>
      </c>
      <c r="M140" s="5"/>
      <c r="N140" s="5" t="s">
        <v>196</v>
      </c>
      <c r="O140" s="5"/>
      <c r="P140" s="5" t="s">
        <v>230</v>
      </c>
      <c r="Q140" s="5" t="s">
        <v>45</v>
      </c>
      <c r="R140" s="12" t="n">
        <f aca="false">INDEX(Hypothèses!$B$14:$B$17,MATCH(Q140,Hypothèses!$A$14:$A$17,0))</f>
        <v>1</v>
      </c>
      <c r="S140" s="15" t="n">
        <f aca="false">IF(G140="","",G140*R140)</f>
        <v>2.2004508</v>
      </c>
      <c r="T140" s="15" t="n">
        <f aca="false">IF(H140="","",H140*R140)</f>
        <v>3.893709</v>
      </c>
      <c r="U140" s="15" t="n">
        <f aca="false">IF(I140="","",I140*R140)</f>
        <v>5.5869672</v>
      </c>
      <c r="V140" s="5" t="s">
        <v>321</v>
      </c>
      <c r="W140" s="5" t="s">
        <v>70</v>
      </c>
      <c r="X140" s="5" t="s">
        <v>198</v>
      </c>
    </row>
    <row r="141" customFormat="false" ht="15" hidden="false" customHeight="false" outlineLevel="0" collapsed="false">
      <c r="A141" s="5" t="s">
        <v>355</v>
      </c>
      <c r="B141" s="5" t="s">
        <v>64</v>
      </c>
      <c r="C141" s="5" t="s">
        <v>108</v>
      </c>
      <c r="D141" s="5" t="s">
        <v>192</v>
      </c>
      <c r="E141" s="5" t="s">
        <v>320</v>
      </c>
      <c r="F141" s="5" t="s">
        <v>206</v>
      </c>
      <c r="G141" s="15" t="n">
        <v>2.2004508</v>
      </c>
      <c r="H141" s="15" t="n">
        <v>3.70643955</v>
      </c>
      <c r="I141" s="15" t="n">
        <v>5.2124283</v>
      </c>
      <c r="J141" s="5" t="s">
        <v>321</v>
      </c>
      <c r="K141" s="5" t="n">
        <v>2024</v>
      </c>
      <c r="L141" s="5" t="str">
        <f aca="false">IF(AND(K141&gt;=Hypothèses!$B$9,K141&lt;=Hypothèses!$B$10),"actuel",IF(K141=2030,"2030",IF(K141=2050,"2050","autre")))</f>
        <v>actuel</v>
      </c>
      <c r="M141" s="5"/>
      <c r="N141" s="5" t="s">
        <v>196</v>
      </c>
      <c r="O141" s="5"/>
      <c r="P141" s="5" t="s">
        <v>230</v>
      </c>
      <c r="Q141" s="5" t="s">
        <v>45</v>
      </c>
      <c r="R141" s="12" t="n">
        <f aca="false">INDEX(Hypothèses!$B$14:$B$17,MATCH(Q141,Hypothèses!$A$14:$A$17,0))</f>
        <v>1</v>
      </c>
      <c r="S141" s="15" t="n">
        <f aca="false">IF(G141="","",G141*R141)</f>
        <v>2.2004508</v>
      </c>
      <c r="T141" s="15" t="n">
        <f aca="false">IF(H141="","",H141*R141)</f>
        <v>3.70643955</v>
      </c>
      <c r="U141" s="15" t="n">
        <f aca="false">IF(I141="","",I141*R141)</f>
        <v>5.2124283</v>
      </c>
      <c r="V141" s="5" t="s">
        <v>321</v>
      </c>
      <c r="W141" s="5" t="s">
        <v>70</v>
      </c>
      <c r="X141" s="5" t="s">
        <v>198</v>
      </c>
    </row>
    <row r="142" customFormat="false" ht="15" hidden="false" customHeight="false" outlineLevel="0" collapsed="false">
      <c r="A142" s="5" t="s">
        <v>356</v>
      </c>
      <c r="B142" s="5" t="s">
        <v>64</v>
      </c>
      <c r="C142" s="5" t="s">
        <v>108</v>
      </c>
      <c r="D142" s="5" t="s">
        <v>192</v>
      </c>
      <c r="E142" s="5" t="s">
        <v>320</v>
      </c>
      <c r="F142" s="5" t="s">
        <v>206</v>
      </c>
      <c r="G142" s="15" t="n">
        <v>2.0443955</v>
      </c>
      <c r="H142" s="15" t="n">
        <v>3.47235145</v>
      </c>
      <c r="I142" s="15" t="n">
        <v>4.9003074</v>
      </c>
      <c r="J142" s="5" t="s">
        <v>321</v>
      </c>
      <c r="K142" s="5" t="n">
        <v>2025</v>
      </c>
      <c r="L142" s="5" t="str">
        <f aca="false">IF(AND(K142&gt;=Hypothèses!$B$9,K142&lt;=Hypothèses!$B$10),"actuel",IF(K142=2030,"2030",IF(K142=2050,"2050","autre")))</f>
        <v>actuel</v>
      </c>
      <c r="M142" s="5"/>
      <c r="N142" s="5" t="s">
        <v>196</v>
      </c>
      <c r="O142" s="5"/>
      <c r="P142" s="5" t="s">
        <v>230</v>
      </c>
      <c r="Q142" s="5" t="s">
        <v>45</v>
      </c>
      <c r="R142" s="12" t="n">
        <f aca="false">INDEX(Hypothèses!$B$14:$B$17,MATCH(Q142,Hypothèses!$A$14:$A$17,0))</f>
        <v>1</v>
      </c>
      <c r="S142" s="15" t="n">
        <f aca="false">IF(G142="","",G142*R142)</f>
        <v>2.0443955</v>
      </c>
      <c r="T142" s="15" t="n">
        <f aca="false">IF(H142="","",H142*R142)</f>
        <v>3.47235145</v>
      </c>
      <c r="U142" s="15" t="n">
        <f aca="false">IF(I142="","",I142*R142)</f>
        <v>4.9003074</v>
      </c>
      <c r="V142" s="5" t="s">
        <v>321</v>
      </c>
      <c r="W142" s="5" t="s">
        <v>70</v>
      </c>
      <c r="X142" s="5" t="s">
        <v>198</v>
      </c>
    </row>
    <row r="143" customFormat="false" ht="15" hidden="false" customHeight="false" outlineLevel="0" collapsed="false">
      <c r="A143" s="5" t="s">
        <v>357</v>
      </c>
      <c r="B143" s="5" t="s">
        <v>64</v>
      </c>
      <c r="C143" s="5" t="s">
        <v>108</v>
      </c>
      <c r="D143" s="5" t="s">
        <v>192</v>
      </c>
      <c r="E143" s="5" t="s">
        <v>320</v>
      </c>
      <c r="F143" s="5" t="s">
        <v>206</v>
      </c>
      <c r="G143" s="15" t="n">
        <v>1.9975717</v>
      </c>
      <c r="H143" s="15" t="n">
        <v>3.2928791</v>
      </c>
      <c r="I143" s="15" t="n">
        <v>4.5881865</v>
      </c>
      <c r="J143" s="5" t="s">
        <v>321</v>
      </c>
      <c r="K143" s="5" t="n">
        <v>2026</v>
      </c>
      <c r="L143" s="5" t="str">
        <f aca="false">IF(AND(K143&gt;=Hypothèses!$B$9,K143&lt;=Hypothèses!$B$10),"actuel",IF(K143=2030,"2030",IF(K143=2050,"2050","autre")))</f>
        <v>autre</v>
      </c>
      <c r="M143" s="5"/>
      <c r="N143" s="5" t="s">
        <v>196</v>
      </c>
      <c r="O143" s="5"/>
      <c r="P143" s="5" t="s">
        <v>230</v>
      </c>
      <c r="Q143" s="5" t="s">
        <v>45</v>
      </c>
      <c r="R143" s="12" t="n">
        <f aca="false">INDEX(Hypothèses!$B$14:$B$17,MATCH(Q143,Hypothèses!$A$14:$A$17,0))</f>
        <v>1</v>
      </c>
      <c r="S143" s="15" t="n">
        <f aca="false">IF(G143="","",G143*R143)</f>
        <v>1.9975717</v>
      </c>
      <c r="T143" s="15" t="n">
        <f aca="false">IF(H143="","",H143*R143)</f>
        <v>3.2928791</v>
      </c>
      <c r="U143" s="15" t="n">
        <f aca="false">IF(I143="","",I143*R143)</f>
        <v>4.5881865</v>
      </c>
      <c r="V143" s="5" t="s">
        <v>321</v>
      </c>
      <c r="W143" s="5" t="s">
        <v>70</v>
      </c>
      <c r="X143" s="5" t="s">
        <v>198</v>
      </c>
    </row>
    <row r="144" customFormat="false" ht="15" hidden="false" customHeight="false" outlineLevel="0" collapsed="false">
      <c r="A144" s="5" t="s">
        <v>358</v>
      </c>
      <c r="B144" s="5" t="s">
        <v>64</v>
      </c>
      <c r="C144" s="5" t="s">
        <v>108</v>
      </c>
      <c r="D144" s="5" t="s">
        <v>192</v>
      </c>
      <c r="E144" s="5" t="s">
        <v>320</v>
      </c>
      <c r="F144" s="5" t="s">
        <v>206</v>
      </c>
      <c r="G144" s="15" t="n">
        <v>1.8727254</v>
      </c>
      <c r="H144" s="15" t="n">
        <v>3.0665881</v>
      </c>
      <c r="I144" s="15" t="n">
        <v>4.2604508</v>
      </c>
      <c r="J144" s="5" t="s">
        <v>321</v>
      </c>
      <c r="K144" s="5" t="n">
        <v>2027</v>
      </c>
      <c r="L144" s="5" t="str">
        <f aca="false">IF(AND(K144&gt;=Hypothèses!$B$9,K144&lt;=Hypothèses!$B$10),"actuel",IF(K144=2030,"2030",IF(K144=2050,"2050","autre")))</f>
        <v>autre</v>
      </c>
      <c r="M144" s="5"/>
      <c r="N144" s="5" t="s">
        <v>196</v>
      </c>
      <c r="O144" s="5"/>
      <c r="P144" s="5" t="s">
        <v>230</v>
      </c>
      <c r="Q144" s="5" t="s">
        <v>45</v>
      </c>
      <c r="R144" s="12" t="n">
        <f aca="false">INDEX(Hypothèses!$B$14:$B$17,MATCH(Q144,Hypothèses!$A$14:$A$17,0))</f>
        <v>1</v>
      </c>
      <c r="S144" s="15" t="n">
        <f aca="false">IF(G144="","",G144*R144)</f>
        <v>1.8727254</v>
      </c>
      <c r="T144" s="15" t="n">
        <f aca="false">IF(H144="","",H144*R144)</f>
        <v>3.0665881</v>
      </c>
      <c r="U144" s="15" t="n">
        <f aca="false">IF(I144="","",I144*R144)</f>
        <v>4.2604508</v>
      </c>
      <c r="V144" s="5" t="s">
        <v>321</v>
      </c>
      <c r="W144" s="5" t="s">
        <v>70</v>
      </c>
      <c r="X144" s="5" t="s">
        <v>198</v>
      </c>
    </row>
    <row r="145" customFormat="false" ht="15" hidden="false" customHeight="false" outlineLevel="0" collapsed="false">
      <c r="A145" s="5" t="s">
        <v>359</v>
      </c>
      <c r="B145" s="5" t="s">
        <v>64</v>
      </c>
      <c r="C145" s="5" t="s">
        <v>108</v>
      </c>
      <c r="D145" s="5" t="s">
        <v>192</v>
      </c>
      <c r="E145" s="5" t="s">
        <v>320</v>
      </c>
      <c r="F145" s="5" t="s">
        <v>206</v>
      </c>
      <c r="G145" s="15" t="n">
        <v>1.8727254</v>
      </c>
      <c r="H145" s="15" t="n">
        <v>2.91052765</v>
      </c>
      <c r="I145" s="15" t="n">
        <v>3.9483299</v>
      </c>
      <c r="J145" s="5" t="s">
        <v>321</v>
      </c>
      <c r="K145" s="5" t="n">
        <v>2028</v>
      </c>
      <c r="L145" s="5" t="str">
        <f aca="false">IF(AND(K145&gt;=Hypothèses!$B$9,K145&lt;=Hypothèses!$B$10),"actuel",IF(K145=2030,"2030",IF(K145=2050,"2050","autre")))</f>
        <v>autre</v>
      </c>
      <c r="M145" s="5"/>
      <c r="N145" s="5" t="s">
        <v>196</v>
      </c>
      <c r="O145" s="5"/>
      <c r="P145" s="5" t="s">
        <v>230</v>
      </c>
      <c r="Q145" s="5" t="s">
        <v>45</v>
      </c>
      <c r="R145" s="12" t="n">
        <f aca="false">INDEX(Hypothèses!$B$14:$B$17,MATCH(Q145,Hypothèses!$A$14:$A$17,0))</f>
        <v>1</v>
      </c>
      <c r="S145" s="15" t="n">
        <f aca="false">IF(G145="","",G145*R145)</f>
        <v>1.8727254</v>
      </c>
      <c r="T145" s="15" t="n">
        <f aca="false">IF(H145="","",H145*R145)</f>
        <v>2.91052765</v>
      </c>
      <c r="U145" s="15" t="n">
        <f aca="false">IF(I145="","",I145*R145)</f>
        <v>3.9483299</v>
      </c>
      <c r="V145" s="5" t="s">
        <v>321</v>
      </c>
      <c r="W145" s="5" t="s">
        <v>70</v>
      </c>
      <c r="X145" s="5" t="s">
        <v>198</v>
      </c>
    </row>
    <row r="146" customFormat="false" ht="15" hidden="false" customHeight="false" outlineLevel="0" collapsed="false">
      <c r="A146" s="5" t="s">
        <v>360</v>
      </c>
      <c r="B146" s="5" t="s">
        <v>64</v>
      </c>
      <c r="C146" s="5" t="s">
        <v>108</v>
      </c>
      <c r="D146" s="5" t="s">
        <v>192</v>
      </c>
      <c r="E146" s="5" t="s">
        <v>320</v>
      </c>
      <c r="F146" s="5" t="s">
        <v>206</v>
      </c>
      <c r="G146" s="15" t="n">
        <v>1.7478791</v>
      </c>
      <c r="H146" s="15" t="n">
        <v>2.6998463</v>
      </c>
      <c r="I146" s="15" t="n">
        <v>3.6518135</v>
      </c>
      <c r="J146" s="5" t="s">
        <v>321</v>
      </c>
      <c r="K146" s="5" t="n">
        <v>2029</v>
      </c>
      <c r="L146" s="5" t="str">
        <f aca="false">IF(AND(K146&gt;=Hypothèses!$B$9,K146&lt;=Hypothèses!$B$10),"actuel",IF(K146=2030,"2030",IF(K146=2050,"2050","autre")))</f>
        <v>autre</v>
      </c>
      <c r="M146" s="5"/>
      <c r="N146" s="5" t="s">
        <v>196</v>
      </c>
      <c r="O146" s="5"/>
      <c r="P146" s="5" t="s">
        <v>230</v>
      </c>
      <c r="Q146" s="5" t="s">
        <v>45</v>
      </c>
      <c r="R146" s="12" t="n">
        <f aca="false">INDEX(Hypothèses!$B$14:$B$17,MATCH(Q146,Hypothèses!$A$14:$A$17,0))</f>
        <v>1</v>
      </c>
      <c r="S146" s="15" t="n">
        <f aca="false">IF(G146="","",G146*R146)</f>
        <v>1.7478791</v>
      </c>
      <c r="T146" s="15" t="n">
        <f aca="false">IF(H146="","",H146*R146)</f>
        <v>2.6998463</v>
      </c>
      <c r="U146" s="15" t="n">
        <f aca="false">IF(I146="","",I146*R146)</f>
        <v>3.6518135</v>
      </c>
      <c r="V146" s="5" t="s">
        <v>321</v>
      </c>
      <c r="W146" s="5" t="s">
        <v>70</v>
      </c>
      <c r="X146" s="5" t="s">
        <v>198</v>
      </c>
    </row>
    <row r="147" customFormat="false" ht="15" hidden="false" customHeight="false" outlineLevel="0" collapsed="false">
      <c r="A147" s="5" t="s">
        <v>361</v>
      </c>
      <c r="B147" s="5" t="s">
        <v>64</v>
      </c>
      <c r="C147" s="5" t="s">
        <v>108</v>
      </c>
      <c r="D147" s="5" t="s">
        <v>192</v>
      </c>
      <c r="E147" s="5" t="s">
        <v>320</v>
      </c>
      <c r="F147" s="5" t="s">
        <v>206</v>
      </c>
      <c r="G147" s="15" t="n">
        <v>1.6230328</v>
      </c>
      <c r="H147" s="15" t="n">
        <v>2.4657582</v>
      </c>
      <c r="I147" s="15" t="n">
        <v>3.3084836</v>
      </c>
      <c r="J147" s="5" t="s">
        <v>321</v>
      </c>
      <c r="K147" s="5" t="n">
        <v>2030</v>
      </c>
      <c r="L147" s="5" t="str">
        <f aca="false">IF(AND(K147&gt;=Hypothèses!$B$9,K147&lt;=Hypothèses!$B$10),"actuel",IF(K147=2030,"2030",IF(K147=2050,"2050","autre")))</f>
        <v>2030</v>
      </c>
      <c r="M147" s="5"/>
      <c r="N147" s="5" t="s">
        <v>196</v>
      </c>
      <c r="O147" s="5"/>
      <c r="P147" s="5" t="s">
        <v>230</v>
      </c>
      <c r="Q147" s="5" t="s">
        <v>45</v>
      </c>
      <c r="R147" s="12" t="n">
        <f aca="false">INDEX(Hypothèses!$B$14:$B$17,MATCH(Q147,Hypothèses!$A$14:$A$17,0))</f>
        <v>1</v>
      </c>
      <c r="S147" s="15" t="n">
        <f aca="false">IF(G147="","",G147*R147)</f>
        <v>1.6230328</v>
      </c>
      <c r="T147" s="15" t="n">
        <f aca="false">IF(H147="","",H147*R147)</f>
        <v>2.4657582</v>
      </c>
      <c r="U147" s="15" t="n">
        <f aca="false">IF(I147="","",I147*R147)</f>
        <v>3.3084836</v>
      </c>
      <c r="V147" s="5" t="s">
        <v>321</v>
      </c>
      <c r="W147" s="5" t="s">
        <v>70</v>
      </c>
      <c r="X147" s="5" t="s">
        <v>198</v>
      </c>
    </row>
    <row r="148" customFormat="false" ht="15" hidden="false" customHeight="false" outlineLevel="0" collapsed="false">
      <c r="A148" s="5" t="s">
        <v>362</v>
      </c>
      <c r="B148" s="5" t="s">
        <v>64</v>
      </c>
      <c r="C148" s="5" t="s">
        <v>108</v>
      </c>
      <c r="D148" s="5" t="s">
        <v>192</v>
      </c>
      <c r="E148" s="5" t="s">
        <v>320</v>
      </c>
      <c r="F148" s="5" t="s">
        <v>206</v>
      </c>
      <c r="G148" s="15" t="n">
        <v>1.6386373</v>
      </c>
      <c r="H148" s="15" t="n">
        <v>2.4501537</v>
      </c>
      <c r="I148" s="15" t="n">
        <v>3.2616701</v>
      </c>
      <c r="J148" s="5" t="s">
        <v>321</v>
      </c>
      <c r="K148" s="5" t="n">
        <v>2031</v>
      </c>
      <c r="L148" s="5" t="str">
        <f aca="false">IF(AND(K148&gt;=Hypothèses!$B$9,K148&lt;=Hypothèses!$B$10),"actuel",IF(K148=2030,"2030",IF(K148=2050,"2050","autre")))</f>
        <v>autre</v>
      </c>
      <c r="M148" s="5"/>
      <c r="N148" s="5" t="s">
        <v>196</v>
      </c>
      <c r="O148" s="5"/>
      <c r="P148" s="5" t="s">
        <v>230</v>
      </c>
      <c r="Q148" s="5" t="s">
        <v>45</v>
      </c>
      <c r="R148" s="12" t="n">
        <f aca="false">INDEX(Hypothèses!$B$14:$B$17,MATCH(Q148,Hypothèses!$A$14:$A$17,0))</f>
        <v>1</v>
      </c>
      <c r="S148" s="15" t="n">
        <f aca="false">IF(G148="","",G148*R148)</f>
        <v>1.6386373</v>
      </c>
      <c r="T148" s="15" t="n">
        <f aca="false">IF(H148="","",H148*R148)</f>
        <v>2.4501537</v>
      </c>
      <c r="U148" s="15" t="n">
        <f aca="false">IF(I148="","",I148*R148)</f>
        <v>3.2616701</v>
      </c>
      <c r="V148" s="5" t="s">
        <v>321</v>
      </c>
      <c r="W148" s="5" t="s">
        <v>70</v>
      </c>
      <c r="X148" s="5" t="s">
        <v>198</v>
      </c>
    </row>
    <row r="149" customFormat="false" ht="15" hidden="false" customHeight="false" outlineLevel="0" collapsed="false">
      <c r="A149" s="5" t="s">
        <v>363</v>
      </c>
      <c r="B149" s="5" t="s">
        <v>64</v>
      </c>
      <c r="C149" s="5" t="s">
        <v>108</v>
      </c>
      <c r="D149" s="5" t="s">
        <v>192</v>
      </c>
      <c r="E149" s="5" t="s">
        <v>320</v>
      </c>
      <c r="F149" s="5" t="s">
        <v>206</v>
      </c>
      <c r="G149" s="15" t="n">
        <v>1.576209</v>
      </c>
      <c r="H149" s="15" t="n">
        <v>2.36431865</v>
      </c>
      <c r="I149" s="15" t="n">
        <v>3.1524283</v>
      </c>
      <c r="J149" s="5" t="s">
        <v>321</v>
      </c>
      <c r="K149" s="5" t="n">
        <v>2032</v>
      </c>
      <c r="L149" s="5" t="str">
        <f aca="false">IF(AND(K149&gt;=Hypothèses!$B$9,K149&lt;=Hypothèses!$B$10),"actuel",IF(K149=2030,"2030",IF(K149=2050,"2050","autre")))</f>
        <v>autre</v>
      </c>
      <c r="M149" s="5"/>
      <c r="N149" s="5" t="s">
        <v>196</v>
      </c>
      <c r="O149" s="5"/>
      <c r="P149" s="5" t="s">
        <v>230</v>
      </c>
      <c r="Q149" s="5" t="s">
        <v>45</v>
      </c>
      <c r="R149" s="12" t="n">
        <f aca="false">INDEX(Hypothèses!$B$14:$B$17,MATCH(Q149,Hypothèses!$A$14:$A$17,0))</f>
        <v>1</v>
      </c>
      <c r="S149" s="15" t="n">
        <f aca="false">IF(G149="","",G149*R149)</f>
        <v>1.576209</v>
      </c>
      <c r="T149" s="15" t="n">
        <f aca="false">IF(H149="","",H149*R149)</f>
        <v>2.36431865</v>
      </c>
      <c r="U149" s="15" t="n">
        <f aca="false">IF(I149="","",I149*R149)</f>
        <v>3.1524283</v>
      </c>
      <c r="V149" s="5" t="s">
        <v>321</v>
      </c>
      <c r="W149" s="5" t="s">
        <v>70</v>
      </c>
      <c r="X149" s="5" t="s">
        <v>198</v>
      </c>
    </row>
    <row r="150" customFormat="false" ht="15" hidden="false" customHeight="false" outlineLevel="0" collapsed="false">
      <c r="A150" s="5" t="s">
        <v>364</v>
      </c>
      <c r="B150" s="5" t="s">
        <v>64</v>
      </c>
      <c r="C150" s="5" t="s">
        <v>108</v>
      </c>
      <c r="D150" s="5" t="s">
        <v>192</v>
      </c>
      <c r="E150" s="5" t="s">
        <v>320</v>
      </c>
      <c r="F150" s="5" t="s">
        <v>206</v>
      </c>
      <c r="G150" s="15" t="n">
        <v>1.545</v>
      </c>
      <c r="H150" s="15" t="n">
        <v>2.30969775</v>
      </c>
      <c r="I150" s="15" t="n">
        <v>3.0743955</v>
      </c>
      <c r="J150" s="5" t="s">
        <v>321</v>
      </c>
      <c r="K150" s="5" t="n">
        <v>2033</v>
      </c>
      <c r="L150" s="5" t="str">
        <f aca="false">IF(AND(K150&gt;=Hypothèses!$B$9,K150&lt;=Hypothèses!$B$10),"actuel",IF(K150=2030,"2030",IF(K150=2050,"2050","autre")))</f>
        <v>autre</v>
      </c>
      <c r="M150" s="5"/>
      <c r="N150" s="5" t="s">
        <v>196</v>
      </c>
      <c r="O150" s="5"/>
      <c r="P150" s="5" t="s">
        <v>230</v>
      </c>
      <c r="Q150" s="5" t="s">
        <v>45</v>
      </c>
      <c r="R150" s="12" t="n">
        <f aca="false">INDEX(Hypothèses!$B$14:$B$17,MATCH(Q150,Hypothèses!$A$14:$A$17,0))</f>
        <v>1</v>
      </c>
      <c r="S150" s="15" t="n">
        <f aca="false">IF(G150="","",G150*R150)</f>
        <v>1.545</v>
      </c>
      <c r="T150" s="15" t="n">
        <f aca="false">IF(H150="","",H150*R150)</f>
        <v>2.30969775</v>
      </c>
      <c r="U150" s="15" t="n">
        <f aca="false">IF(I150="","",I150*R150)</f>
        <v>3.0743955</v>
      </c>
      <c r="V150" s="5" t="s">
        <v>321</v>
      </c>
      <c r="W150" s="5" t="s">
        <v>70</v>
      </c>
      <c r="X150" s="5" t="s">
        <v>198</v>
      </c>
    </row>
    <row r="151" customFormat="false" ht="15" hidden="false" customHeight="false" outlineLevel="0" collapsed="false">
      <c r="A151" s="5" t="s">
        <v>365</v>
      </c>
      <c r="B151" s="5" t="s">
        <v>64</v>
      </c>
      <c r="C151" s="5" t="s">
        <v>108</v>
      </c>
      <c r="D151" s="5" t="s">
        <v>192</v>
      </c>
      <c r="E151" s="5" t="s">
        <v>320</v>
      </c>
      <c r="F151" s="5" t="s">
        <v>206</v>
      </c>
      <c r="G151" s="15" t="n">
        <v>1.4825717</v>
      </c>
      <c r="H151" s="15" t="n">
        <v>2.24726945</v>
      </c>
      <c r="I151" s="15" t="n">
        <v>3.0119672</v>
      </c>
      <c r="J151" s="5" t="s">
        <v>321</v>
      </c>
      <c r="K151" s="5" t="n">
        <v>2034</v>
      </c>
      <c r="L151" s="5" t="str">
        <f aca="false">IF(AND(K151&gt;=Hypothèses!$B$9,K151&lt;=Hypothèses!$B$10),"actuel",IF(K151=2030,"2030",IF(K151=2050,"2050","autre")))</f>
        <v>autre</v>
      </c>
      <c r="M151" s="5"/>
      <c r="N151" s="5" t="s">
        <v>196</v>
      </c>
      <c r="O151" s="5"/>
      <c r="P151" s="5" t="s">
        <v>230</v>
      </c>
      <c r="Q151" s="5" t="s">
        <v>45</v>
      </c>
      <c r="R151" s="12" t="n">
        <f aca="false">INDEX(Hypothèses!$B$14:$B$17,MATCH(Q151,Hypothèses!$A$14:$A$17,0))</f>
        <v>1</v>
      </c>
      <c r="S151" s="15" t="n">
        <f aca="false">IF(G151="","",G151*R151)</f>
        <v>1.4825717</v>
      </c>
      <c r="T151" s="15" t="n">
        <f aca="false">IF(H151="","",H151*R151)</f>
        <v>2.24726945</v>
      </c>
      <c r="U151" s="15" t="n">
        <f aca="false">IF(I151="","",I151*R151)</f>
        <v>3.0119672</v>
      </c>
      <c r="V151" s="5" t="s">
        <v>321</v>
      </c>
      <c r="W151" s="5" t="s">
        <v>70</v>
      </c>
      <c r="X151" s="5" t="s">
        <v>198</v>
      </c>
    </row>
    <row r="152" customFormat="false" ht="15" hidden="false" customHeight="false" outlineLevel="0" collapsed="false">
      <c r="A152" s="5" t="s">
        <v>366</v>
      </c>
      <c r="B152" s="5" t="s">
        <v>64</v>
      </c>
      <c r="C152" s="5" t="s">
        <v>108</v>
      </c>
      <c r="D152" s="5" t="s">
        <v>192</v>
      </c>
      <c r="E152" s="5" t="s">
        <v>320</v>
      </c>
      <c r="F152" s="5" t="s">
        <v>206</v>
      </c>
      <c r="G152" s="15" t="n">
        <v>1.4513627</v>
      </c>
      <c r="H152" s="15" t="n">
        <v>2.19264855</v>
      </c>
      <c r="I152" s="15" t="n">
        <v>2.9339344</v>
      </c>
      <c r="J152" s="5" t="s">
        <v>321</v>
      </c>
      <c r="K152" s="5" t="n">
        <v>2035</v>
      </c>
      <c r="L152" s="5" t="str">
        <f aca="false">IF(AND(K152&gt;=Hypothèses!$B$9,K152&lt;=Hypothèses!$B$10),"actuel",IF(K152=2030,"2030",IF(K152=2050,"2050","autre")))</f>
        <v>autre</v>
      </c>
      <c r="M152" s="5"/>
      <c r="N152" s="5" t="s">
        <v>196</v>
      </c>
      <c r="O152" s="5"/>
      <c r="P152" s="5" t="s">
        <v>230</v>
      </c>
      <c r="Q152" s="5" t="s">
        <v>45</v>
      </c>
      <c r="R152" s="12" t="n">
        <f aca="false">INDEX(Hypothèses!$B$14:$B$17,MATCH(Q152,Hypothèses!$A$14:$A$17,0))</f>
        <v>1</v>
      </c>
      <c r="S152" s="15" t="n">
        <f aca="false">IF(G152="","",G152*R152)</f>
        <v>1.4513627</v>
      </c>
      <c r="T152" s="15" t="n">
        <f aca="false">IF(H152="","",H152*R152)</f>
        <v>2.19264855</v>
      </c>
      <c r="U152" s="15" t="n">
        <f aca="false">IF(I152="","",I152*R152)</f>
        <v>2.9339344</v>
      </c>
      <c r="V152" s="5" t="s">
        <v>321</v>
      </c>
      <c r="W152" s="5" t="s">
        <v>70</v>
      </c>
      <c r="X152" s="5" t="s">
        <v>198</v>
      </c>
    </row>
    <row r="153" customFormat="false" ht="15" hidden="false" customHeight="false" outlineLevel="0" collapsed="false">
      <c r="A153" s="5" t="s">
        <v>367</v>
      </c>
      <c r="B153" s="5" t="s">
        <v>64</v>
      </c>
      <c r="C153" s="5" t="s">
        <v>108</v>
      </c>
      <c r="D153" s="5" t="s">
        <v>192</v>
      </c>
      <c r="E153" s="5" t="s">
        <v>320</v>
      </c>
      <c r="F153" s="5" t="s">
        <v>206</v>
      </c>
      <c r="G153" s="15" t="n">
        <v>1.4201537</v>
      </c>
      <c r="H153" s="15" t="n">
        <v>2.14583505</v>
      </c>
      <c r="I153" s="15" t="n">
        <v>2.8715164</v>
      </c>
      <c r="J153" s="5" t="s">
        <v>321</v>
      </c>
      <c r="K153" s="5" t="n">
        <v>2036</v>
      </c>
      <c r="L153" s="5" t="str">
        <f aca="false">IF(AND(K153&gt;=Hypothèses!$B$9,K153&lt;=Hypothèses!$B$10),"actuel",IF(K153=2030,"2030",IF(K153=2050,"2050","autre")))</f>
        <v>autre</v>
      </c>
      <c r="M153" s="5"/>
      <c r="N153" s="5" t="s">
        <v>196</v>
      </c>
      <c r="O153" s="5"/>
      <c r="P153" s="5" t="s">
        <v>230</v>
      </c>
      <c r="Q153" s="5" t="s">
        <v>45</v>
      </c>
      <c r="R153" s="12" t="n">
        <f aca="false">INDEX(Hypothèses!$B$14:$B$17,MATCH(Q153,Hypothèses!$A$14:$A$17,0))</f>
        <v>1</v>
      </c>
      <c r="S153" s="15" t="n">
        <f aca="false">IF(G153="","",G153*R153)</f>
        <v>1.4201537</v>
      </c>
      <c r="T153" s="15" t="n">
        <f aca="false">IF(H153="","",H153*R153)</f>
        <v>2.14583505</v>
      </c>
      <c r="U153" s="15" t="n">
        <f aca="false">IF(I153="","",I153*R153)</f>
        <v>2.8715164</v>
      </c>
      <c r="V153" s="5" t="s">
        <v>321</v>
      </c>
      <c r="W153" s="5" t="s">
        <v>70</v>
      </c>
      <c r="X153" s="5" t="s">
        <v>198</v>
      </c>
    </row>
    <row r="154" customFormat="false" ht="15" hidden="false" customHeight="false" outlineLevel="0" collapsed="false">
      <c r="A154" s="5" t="s">
        <v>368</v>
      </c>
      <c r="B154" s="5" t="s">
        <v>64</v>
      </c>
      <c r="C154" s="5" t="s">
        <v>108</v>
      </c>
      <c r="D154" s="5" t="s">
        <v>192</v>
      </c>
      <c r="E154" s="5" t="s">
        <v>320</v>
      </c>
      <c r="F154" s="5" t="s">
        <v>206</v>
      </c>
      <c r="G154" s="15" t="n">
        <v>1.4201537</v>
      </c>
      <c r="H154" s="15" t="n">
        <v>2.1146209</v>
      </c>
      <c r="I154" s="15" t="n">
        <v>2.8090881</v>
      </c>
      <c r="J154" s="5" t="s">
        <v>321</v>
      </c>
      <c r="K154" s="5" t="n">
        <v>2037</v>
      </c>
      <c r="L154" s="5" t="str">
        <f aca="false">IF(AND(K154&gt;=Hypothèses!$B$9,K154&lt;=Hypothèses!$B$10),"actuel",IF(K154=2030,"2030",IF(K154=2050,"2050","autre")))</f>
        <v>autre</v>
      </c>
      <c r="M154" s="5"/>
      <c r="N154" s="5" t="s">
        <v>196</v>
      </c>
      <c r="O154" s="5"/>
      <c r="P154" s="5" t="s">
        <v>230</v>
      </c>
      <c r="Q154" s="5" t="s">
        <v>45</v>
      </c>
      <c r="R154" s="12" t="n">
        <f aca="false">INDEX(Hypothèses!$B$14:$B$17,MATCH(Q154,Hypothèses!$A$14:$A$17,0))</f>
        <v>1</v>
      </c>
      <c r="S154" s="15" t="n">
        <f aca="false">IF(G154="","",G154*R154)</f>
        <v>1.4201537</v>
      </c>
      <c r="T154" s="15" t="n">
        <f aca="false">IF(H154="","",H154*R154)</f>
        <v>2.1146209</v>
      </c>
      <c r="U154" s="15" t="n">
        <f aca="false">IF(I154="","",I154*R154)</f>
        <v>2.8090881</v>
      </c>
      <c r="V154" s="5" t="s">
        <v>321</v>
      </c>
      <c r="W154" s="5" t="s">
        <v>70</v>
      </c>
      <c r="X154" s="5" t="s">
        <v>198</v>
      </c>
    </row>
    <row r="155" customFormat="false" ht="15" hidden="false" customHeight="false" outlineLevel="0" collapsed="false">
      <c r="A155" s="5" t="s">
        <v>369</v>
      </c>
      <c r="B155" s="5" t="s">
        <v>64</v>
      </c>
      <c r="C155" s="5" t="s">
        <v>108</v>
      </c>
      <c r="D155" s="5" t="s">
        <v>192</v>
      </c>
      <c r="E155" s="5" t="s">
        <v>320</v>
      </c>
      <c r="F155" s="5" t="s">
        <v>206</v>
      </c>
      <c r="G155" s="15" t="n">
        <v>1.3733299</v>
      </c>
      <c r="H155" s="15" t="n">
        <v>2.05219775</v>
      </c>
      <c r="I155" s="15" t="n">
        <v>2.7310656</v>
      </c>
      <c r="J155" s="5" t="s">
        <v>321</v>
      </c>
      <c r="K155" s="5" t="n">
        <v>2038</v>
      </c>
      <c r="L155" s="5" t="str">
        <f aca="false">IF(AND(K155&gt;=Hypothèses!$B$9,K155&lt;=Hypothèses!$B$10),"actuel",IF(K155=2030,"2030",IF(K155=2050,"2050","autre")))</f>
        <v>autre</v>
      </c>
      <c r="M155" s="5"/>
      <c r="N155" s="5" t="s">
        <v>196</v>
      </c>
      <c r="O155" s="5"/>
      <c r="P155" s="5" t="s">
        <v>230</v>
      </c>
      <c r="Q155" s="5" t="s">
        <v>45</v>
      </c>
      <c r="R155" s="12" t="n">
        <f aca="false">INDEX(Hypothèses!$B$14:$B$17,MATCH(Q155,Hypothèses!$A$14:$A$17,0))</f>
        <v>1</v>
      </c>
      <c r="S155" s="15" t="n">
        <f aca="false">IF(G155="","",G155*R155)</f>
        <v>1.3733299</v>
      </c>
      <c r="T155" s="15" t="n">
        <f aca="false">IF(H155="","",H155*R155)</f>
        <v>2.05219775</v>
      </c>
      <c r="U155" s="15" t="n">
        <f aca="false">IF(I155="","",I155*R155)</f>
        <v>2.7310656</v>
      </c>
      <c r="V155" s="5" t="s">
        <v>321</v>
      </c>
      <c r="W155" s="5" t="s">
        <v>70</v>
      </c>
      <c r="X155" s="5" t="s">
        <v>198</v>
      </c>
    </row>
    <row r="156" customFormat="false" ht="15" hidden="false" customHeight="false" outlineLevel="0" collapsed="false">
      <c r="A156" s="5" t="s">
        <v>370</v>
      </c>
      <c r="B156" s="5" t="s">
        <v>64</v>
      </c>
      <c r="C156" s="5" t="s">
        <v>108</v>
      </c>
      <c r="D156" s="5" t="s">
        <v>192</v>
      </c>
      <c r="E156" s="5" t="s">
        <v>320</v>
      </c>
      <c r="F156" s="5" t="s">
        <v>206</v>
      </c>
      <c r="G156" s="15" t="n">
        <v>1.2953074</v>
      </c>
      <c r="H156" s="15" t="n">
        <v>1.9741701</v>
      </c>
      <c r="I156" s="15" t="n">
        <v>2.6530328</v>
      </c>
      <c r="J156" s="5" t="s">
        <v>321</v>
      </c>
      <c r="K156" s="5" t="n">
        <v>2039</v>
      </c>
      <c r="L156" s="5" t="str">
        <f aca="false">IF(AND(K156&gt;=Hypothèses!$B$9,K156&lt;=Hypothèses!$B$10),"actuel",IF(K156=2030,"2030",IF(K156=2050,"2050","autre")))</f>
        <v>autre</v>
      </c>
      <c r="M156" s="5"/>
      <c r="N156" s="5" t="s">
        <v>196</v>
      </c>
      <c r="O156" s="5"/>
      <c r="P156" s="5" t="s">
        <v>230</v>
      </c>
      <c r="Q156" s="5" t="s">
        <v>45</v>
      </c>
      <c r="R156" s="12" t="n">
        <f aca="false">INDEX(Hypothèses!$B$14:$B$17,MATCH(Q156,Hypothèses!$A$14:$A$17,0))</f>
        <v>1</v>
      </c>
      <c r="S156" s="15" t="n">
        <f aca="false">IF(G156="","",G156*R156)</f>
        <v>1.2953074</v>
      </c>
      <c r="T156" s="15" t="n">
        <f aca="false">IF(H156="","",H156*R156)</f>
        <v>1.9741701</v>
      </c>
      <c r="U156" s="15" t="n">
        <f aca="false">IF(I156="","",I156*R156)</f>
        <v>2.6530328</v>
      </c>
      <c r="V156" s="5" t="s">
        <v>321</v>
      </c>
      <c r="W156" s="5" t="s">
        <v>70</v>
      </c>
      <c r="X156" s="5" t="s">
        <v>198</v>
      </c>
    </row>
    <row r="157" customFormat="false" ht="15" hidden="false" customHeight="false" outlineLevel="0" collapsed="false">
      <c r="A157" s="5" t="s">
        <v>371</v>
      </c>
      <c r="B157" s="5" t="s">
        <v>64</v>
      </c>
      <c r="C157" s="5" t="s">
        <v>108</v>
      </c>
      <c r="D157" s="5" t="s">
        <v>192</v>
      </c>
      <c r="E157" s="5" t="s">
        <v>320</v>
      </c>
      <c r="F157" s="5" t="s">
        <v>206</v>
      </c>
      <c r="G157" s="15" t="n">
        <v>1.2640881</v>
      </c>
      <c r="H157" s="15" t="n">
        <v>1.91954405</v>
      </c>
      <c r="I157" s="15" t="n">
        <v>2.575</v>
      </c>
      <c r="J157" s="5" t="s">
        <v>321</v>
      </c>
      <c r="K157" s="5" t="n">
        <v>2040</v>
      </c>
      <c r="L157" s="5" t="str">
        <f aca="false">IF(AND(K157&gt;=Hypothèses!$B$9,K157&lt;=Hypothèses!$B$10),"actuel",IF(K157=2030,"2030",IF(K157=2050,"2050","autre")))</f>
        <v>autre</v>
      </c>
      <c r="M157" s="5"/>
      <c r="N157" s="5" t="s">
        <v>196</v>
      </c>
      <c r="O157" s="5"/>
      <c r="P157" s="5" t="s">
        <v>230</v>
      </c>
      <c r="Q157" s="5" t="s">
        <v>45</v>
      </c>
      <c r="R157" s="12" t="n">
        <f aca="false">INDEX(Hypothèses!$B$14:$B$17,MATCH(Q157,Hypothèses!$A$14:$A$17,0))</f>
        <v>1</v>
      </c>
      <c r="S157" s="15" t="n">
        <f aca="false">IF(G157="","",G157*R157)</f>
        <v>1.2640881</v>
      </c>
      <c r="T157" s="15" t="n">
        <f aca="false">IF(H157="","",H157*R157)</f>
        <v>1.91954405</v>
      </c>
      <c r="U157" s="15" t="n">
        <f aca="false">IF(I157="","",I157*R157)</f>
        <v>2.575</v>
      </c>
      <c r="V157" s="5" t="s">
        <v>321</v>
      </c>
      <c r="W157" s="5" t="s">
        <v>70</v>
      </c>
      <c r="X157" s="5" t="s">
        <v>198</v>
      </c>
    </row>
    <row r="158" customFormat="false" ht="15" hidden="false" customHeight="false" outlineLevel="0" collapsed="false">
      <c r="A158" s="5" t="s">
        <v>372</v>
      </c>
      <c r="B158" s="5" t="s">
        <v>64</v>
      </c>
      <c r="C158" s="5" t="s">
        <v>108</v>
      </c>
      <c r="D158" s="5" t="s">
        <v>192</v>
      </c>
      <c r="E158" s="5" t="s">
        <v>320</v>
      </c>
      <c r="F158" s="5" t="s">
        <v>206</v>
      </c>
      <c r="G158" s="15" t="n">
        <v>1.1860656</v>
      </c>
      <c r="H158" s="15" t="n">
        <v>1.8649283</v>
      </c>
      <c r="I158" s="15" t="n">
        <v>2.543791</v>
      </c>
      <c r="J158" s="5" t="s">
        <v>321</v>
      </c>
      <c r="K158" s="5" t="n">
        <v>2041</v>
      </c>
      <c r="L158" s="5" t="str">
        <f aca="false">IF(AND(K158&gt;=Hypothèses!$B$9,K158&lt;=Hypothèses!$B$10),"actuel",IF(K158=2030,"2030",IF(K158=2050,"2050","autre")))</f>
        <v>autre</v>
      </c>
      <c r="M158" s="5"/>
      <c r="N158" s="5" t="s">
        <v>196</v>
      </c>
      <c r="O158" s="5"/>
      <c r="P158" s="5" t="s">
        <v>230</v>
      </c>
      <c r="Q158" s="5" t="s">
        <v>45</v>
      </c>
      <c r="R158" s="12" t="n">
        <f aca="false">INDEX(Hypothèses!$B$14:$B$17,MATCH(Q158,Hypothèses!$A$14:$A$17,0))</f>
        <v>1</v>
      </c>
      <c r="S158" s="15" t="n">
        <f aca="false">IF(G158="","",G158*R158)</f>
        <v>1.1860656</v>
      </c>
      <c r="T158" s="15" t="n">
        <f aca="false">IF(H158="","",H158*R158)</f>
        <v>1.8649283</v>
      </c>
      <c r="U158" s="15" t="n">
        <f aca="false">IF(I158="","",I158*R158)</f>
        <v>2.543791</v>
      </c>
      <c r="V158" s="5" t="s">
        <v>321</v>
      </c>
      <c r="W158" s="5" t="s">
        <v>70</v>
      </c>
      <c r="X158" s="5" t="s">
        <v>198</v>
      </c>
    </row>
    <row r="159" customFormat="false" ht="15" hidden="false" customHeight="false" outlineLevel="0" collapsed="false">
      <c r="A159" s="5" t="s">
        <v>373</v>
      </c>
      <c r="B159" s="5" t="s">
        <v>64</v>
      </c>
      <c r="C159" s="5" t="s">
        <v>108</v>
      </c>
      <c r="D159" s="5" t="s">
        <v>192</v>
      </c>
      <c r="E159" s="5" t="s">
        <v>320</v>
      </c>
      <c r="F159" s="5" t="s">
        <v>206</v>
      </c>
      <c r="G159" s="15" t="n">
        <v>1.2172746</v>
      </c>
      <c r="H159" s="15" t="n">
        <v>1.84931865</v>
      </c>
      <c r="I159" s="15" t="n">
        <v>2.4813627</v>
      </c>
      <c r="J159" s="5" t="s">
        <v>321</v>
      </c>
      <c r="K159" s="5" t="n">
        <v>2042</v>
      </c>
      <c r="L159" s="5" t="str">
        <f aca="false">IF(AND(K159&gt;=Hypothèses!$B$9,K159&lt;=Hypothèses!$B$10),"actuel",IF(K159=2030,"2030",IF(K159=2050,"2050","autre")))</f>
        <v>autre</v>
      </c>
      <c r="M159" s="5"/>
      <c r="N159" s="5" t="s">
        <v>196</v>
      </c>
      <c r="O159" s="5"/>
      <c r="P159" s="5" t="s">
        <v>230</v>
      </c>
      <c r="Q159" s="5" t="s">
        <v>45</v>
      </c>
      <c r="R159" s="12" t="n">
        <f aca="false">INDEX(Hypothèses!$B$14:$B$17,MATCH(Q159,Hypothèses!$A$14:$A$17,0))</f>
        <v>1</v>
      </c>
      <c r="S159" s="15" t="n">
        <f aca="false">IF(G159="","",G159*R159)</f>
        <v>1.2172746</v>
      </c>
      <c r="T159" s="15" t="n">
        <f aca="false">IF(H159="","",H159*R159)</f>
        <v>1.84931865</v>
      </c>
      <c r="U159" s="15" t="n">
        <f aca="false">IF(I159="","",I159*R159)</f>
        <v>2.4813627</v>
      </c>
      <c r="V159" s="5" t="s">
        <v>321</v>
      </c>
      <c r="W159" s="5" t="s">
        <v>70</v>
      </c>
      <c r="X159" s="5" t="s">
        <v>198</v>
      </c>
    </row>
    <row r="160" customFormat="false" ht="15" hidden="false" customHeight="false" outlineLevel="0" collapsed="false">
      <c r="A160" s="5" t="s">
        <v>374</v>
      </c>
      <c r="B160" s="5" t="s">
        <v>64</v>
      </c>
      <c r="C160" s="5" t="s">
        <v>108</v>
      </c>
      <c r="D160" s="5" t="s">
        <v>192</v>
      </c>
      <c r="E160" s="5" t="s">
        <v>320</v>
      </c>
      <c r="F160" s="5" t="s">
        <v>206</v>
      </c>
      <c r="G160" s="15" t="n">
        <v>1.1704508</v>
      </c>
      <c r="H160" s="15" t="n">
        <v>1.7946926</v>
      </c>
      <c r="I160" s="15" t="n">
        <v>2.4189344</v>
      </c>
      <c r="J160" s="5" t="s">
        <v>321</v>
      </c>
      <c r="K160" s="5" t="n">
        <v>2043</v>
      </c>
      <c r="L160" s="5" t="str">
        <f aca="false">IF(AND(K160&gt;=Hypothèses!$B$9,K160&lt;=Hypothèses!$B$10),"actuel",IF(K160=2030,"2030",IF(K160=2050,"2050","autre")))</f>
        <v>autre</v>
      </c>
      <c r="M160" s="5"/>
      <c r="N160" s="5" t="s">
        <v>196</v>
      </c>
      <c r="O160" s="5"/>
      <c r="P160" s="5" t="s">
        <v>230</v>
      </c>
      <c r="Q160" s="5" t="s">
        <v>45</v>
      </c>
      <c r="R160" s="12" t="n">
        <f aca="false">INDEX(Hypothèses!$B$14:$B$17,MATCH(Q160,Hypothèses!$A$14:$A$17,0))</f>
        <v>1</v>
      </c>
      <c r="S160" s="15" t="n">
        <f aca="false">IF(G160="","",G160*R160)</f>
        <v>1.1704508</v>
      </c>
      <c r="T160" s="15" t="n">
        <f aca="false">IF(H160="","",H160*R160)</f>
        <v>1.7946926</v>
      </c>
      <c r="U160" s="15" t="n">
        <f aca="false">IF(I160="","",I160*R160)</f>
        <v>2.4189344</v>
      </c>
      <c r="V160" s="5" t="s">
        <v>321</v>
      </c>
      <c r="W160" s="5" t="s">
        <v>70</v>
      </c>
      <c r="X160" s="5" t="s">
        <v>198</v>
      </c>
    </row>
    <row r="161" customFormat="false" ht="15" hidden="false" customHeight="false" outlineLevel="0" collapsed="false">
      <c r="A161" s="5" t="s">
        <v>375</v>
      </c>
      <c r="B161" s="5" t="s">
        <v>64</v>
      </c>
      <c r="C161" s="5" t="s">
        <v>108</v>
      </c>
      <c r="D161" s="5" t="s">
        <v>192</v>
      </c>
      <c r="E161" s="5" t="s">
        <v>320</v>
      </c>
      <c r="F161" s="5" t="s">
        <v>206</v>
      </c>
      <c r="G161" s="15" t="n">
        <v>1.1548463</v>
      </c>
      <c r="H161" s="15" t="n">
        <v>1.75568135</v>
      </c>
      <c r="I161" s="15" t="n">
        <v>2.3565164</v>
      </c>
      <c r="J161" s="5" t="s">
        <v>321</v>
      </c>
      <c r="K161" s="5" t="n">
        <v>2044</v>
      </c>
      <c r="L161" s="5" t="str">
        <f aca="false">IF(AND(K161&gt;=Hypothèses!$B$9,K161&lt;=Hypothèses!$B$10),"actuel",IF(K161=2030,"2030",IF(K161=2050,"2050","autre")))</f>
        <v>autre</v>
      </c>
      <c r="M161" s="5"/>
      <c r="N161" s="5" t="s">
        <v>196</v>
      </c>
      <c r="O161" s="5"/>
      <c r="P161" s="5" t="s">
        <v>230</v>
      </c>
      <c r="Q161" s="5" t="s">
        <v>45</v>
      </c>
      <c r="R161" s="12" t="n">
        <f aca="false">INDEX(Hypothèses!$B$14:$B$17,MATCH(Q161,Hypothèses!$A$14:$A$17,0))</f>
        <v>1</v>
      </c>
      <c r="S161" s="15" t="n">
        <f aca="false">IF(G161="","",G161*R161)</f>
        <v>1.1548463</v>
      </c>
      <c r="T161" s="15" t="n">
        <f aca="false">IF(H161="","",H161*R161)</f>
        <v>1.75568135</v>
      </c>
      <c r="U161" s="15" t="n">
        <f aca="false">IF(I161="","",I161*R161)</f>
        <v>2.3565164</v>
      </c>
      <c r="V161" s="5" t="s">
        <v>321</v>
      </c>
      <c r="W161" s="5" t="s">
        <v>70</v>
      </c>
      <c r="X161" s="5" t="s">
        <v>198</v>
      </c>
    </row>
    <row r="162" customFormat="false" ht="15" hidden="false" customHeight="false" outlineLevel="0" collapsed="false">
      <c r="A162" s="5" t="s">
        <v>376</v>
      </c>
      <c r="B162" s="5" t="s">
        <v>64</v>
      </c>
      <c r="C162" s="5" t="s">
        <v>108</v>
      </c>
      <c r="D162" s="5" t="s">
        <v>192</v>
      </c>
      <c r="E162" s="5" t="s">
        <v>320</v>
      </c>
      <c r="F162" s="5" t="s">
        <v>206</v>
      </c>
      <c r="G162" s="15" t="n">
        <v>1.1080328</v>
      </c>
      <c r="H162" s="15" t="n">
        <v>1.6932582</v>
      </c>
      <c r="I162" s="15" t="n">
        <v>2.2784836</v>
      </c>
      <c r="J162" s="5" t="s">
        <v>321</v>
      </c>
      <c r="K162" s="5" t="n">
        <v>2045</v>
      </c>
      <c r="L162" s="5" t="str">
        <f aca="false">IF(AND(K162&gt;=Hypothèses!$B$9,K162&lt;=Hypothèses!$B$10),"actuel",IF(K162=2030,"2030",IF(K162=2050,"2050","autre")))</f>
        <v>autre</v>
      </c>
      <c r="M162" s="5"/>
      <c r="N162" s="5" t="s">
        <v>196</v>
      </c>
      <c r="O162" s="5"/>
      <c r="P162" s="5" t="s">
        <v>230</v>
      </c>
      <c r="Q162" s="5" t="s">
        <v>45</v>
      </c>
      <c r="R162" s="12" t="n">
        <f aca="false">INDEX(Hypothèses!$B$14:$B$17,MATCH(Q162,Hypothèses!$A$14:$A$17,0))</f>
        <v>1</v>
      </c>
      <c r="S162" s="15" t="n">
        <f aca="false">IF(G162="","",G162*R162)</f>
        <v>1.1080328</v>
      </c>
      <c r="T162" s="15" t="n">
        <f aca="false">IF(H162="","",H162*R162)</f>
        <v>1.6932582</v>
      </c>
      <c r="U162" s="15" t="n">
        <f aca="false">IF(I162="","",I162*R162)</f>
        <v>2.2784836</v>
      </c>
      <c r="V162" s="5" t="s">
        <v>321</v>
      </c>
      <c r="W162" s="5" t="s">
        <v>70</v>
      </c>
      <c r="X162" s="5" t="s">
        <v>198</v>
      </c>
    </row>
    <row r="163" customFormat="false" ht="15" hidden="false" customHeight="false" outlineLevel="0" collapsed="false">
      <c r="A163" s="5" t="s">
        <v>377</v>
      </c>
      <c r="B163" s="5" t="s">
        <v>64</v>
      </c>
      <c r="C163" s="5" t="s">
        <v>108</v>
      </c>
      <c r="D163" s="5" t="s">
        <v>192</v>
      </c>
      <c r="E163" s="5" t="s">
        <v>320</v>
      </c>
      <c r="F163" s="5" t="s">
        <v>206</v>
      </c>
      <c r="G163" s="15" t="n">
        <v>1.061209</v>
      </c>
      <c r="H163" s="15" t="n">
        <v>1.6386373</v>
      </c>
      <c r="I163" s="15" t="n">
        <v>2.2160656</v>
      </c>
      <c r="J163" s="5" t="s">
        <v>321</v>
      </c>
      <c r="K163" s="5" t="n">
        <v>2046</v>
      </c>
      <c r="L163" s="5" t="str">
        <f aca="false">IF(AND(K163&gt;=Hypothèses!$B$9,K163&lt;=Hypothèses!$B$10),"actuel",IF(K163=2030,"2030",IF(K163=2050,"2050","autre")))</f>
        <v>autre</v>
      </c>
      <c r="M163" s="5"/>
      <c r="N163" s="5" t="s">
        <v>196</v>
      </c>
      <c r="O163" s="5"/>
      <c r="P163" s="5" t="s">
        <v>230</v>
      </c>
      <c r="Q163" s="5" t="s">
        <v>45</v>
      </c>
      <c r="R163" s="12" t="n">
        <f aca="false">INDEX(Hypothèses!$B$14:$B$17,MATCH(Q163,Hypothèses!$A$14:$A$17,0))</f>
        <v>1</v>
      </c>
      <c r="S163" s="15" t="n">
        <f aca="false">IF(G163="","",G163*R163)</f>
        <v>1.061209</v>
      </c>
      <c r="T163" s="15" t="n">
        <f aca="false">IF(H163="","",H163*R163)</f>
        <v>1.6386373</v>
      </c>
      <c r="U163" s="15" t="n">
        <f aca="false">IF(I163="","",I163*R163)</f>
        <v>2.2160656</v>
      </c>
      <c r="V163" s="5" t="s">
        <v>321</v>
      </c>
      <c r="W163" s="5" t="s">
        <v>70</v>
      </c>
      <c r="X163" s="5" t="s">
        <v>198</v>
      </c>
    </row>
    <row r="164" customFormat="false" ht="15" hidden="false" customHeight="false" outlineLevel="0" collapsed="false">
      <c r="A164" s="5" t="s">
        <v>378</v>
      </c>
      <c r="B164" s="5" t="s">
        <v>64</v>
      </c>
      <c r="C164" s="5" t="s">
        <v>108</v>
      </c>
      <c r="D164" s="5" t="s">
        <v>192</v>
      </c>
      <c r="E164" s="5" t="s">
        <v>320</v>
      </c>
      <c r="F164" s="5" t="s">
        <v>206</v>
      </c>
      <c r="G164" s="15" t="n">
        <v>0.98318135</v>
      </c>
      <c r="H164" s="15" t="n">
        <v>1.576211575</v>
      </c>
      <c r="I164" s="15" t="n">
        <v>2.1692418</v>
      </c>
      <c r="J164" s="5" t="s">
        <v>321</v>
      </c>
      <c r="K164" s="5" t="n">
        <v>2047</v>
      </c>
      <c r="L164" s="5" t="str">
        <f aca="false">IF(AND(K164&gt;=Hypothèses!$B$9,K164&lt;=Hypothèses!$B$10),"actuel",IF(K164=2030,"2030",IF(K164=2050,"2050","autre")))</f>
        <v>autre</v>
      </c>
      <c r="M164" s="5"/>
      <c r="N164" s="5" t="s">
        <v>196</v>
      </c>
      <c r="O164" s="5"/>
      <c r="P164" s="5" t="s">
        <v>230</v>
      </c>
      <c r="Q164" s="5" t="s">
        <v>45</v>
      </c>
      <c r="R164" s="12" t="n">
        <f aca="false">INDEX(Hypothèses!$B$14:$B$17,MATCH(Q164,Hypothèses!$A$14:$A$17,0))</f>
        <v>1</v>
      </c>
      <c r="S164" s="15" t="n">
        <f aca="false">IF(G164="","",G164*R164)</f>
        <v>0.98318135</v>
      </c>
      <c r="T164" s="15" t="n">
        <f aca="false">IF(H164="","",H164*R164)</f>
        <v>1.576211575</v>
      </c>
      <c r="U164" s="15" t="n">
        <f aca="false">IF(I164="","",I164*R164)</f>
        <v>2.1692418</v>
      </c>
      <c r="V164" s="5" t="s">
        <v>321</v>
      </c>
      <c r="W164" s="5" t="s">
        <v>70</v>
      </c>
      <c r="X164" s="5" t="s">
        <v>198</v>
      </c>
    </row>
    <row r="165" customFormat="false" ht="15" hidden="false" customHeight="false" outlineLevel="0" collapsed="false">
      <c r="A165" s="5" t="s">
        <v>379</v>
      </c>
      <c r="B165" s="5" t="s">
        <v>64</v>
      </c>
      <c r="C165" s="5" t="s">
        <v>108</v>
      </c>
      <c r="D165" s="5" t="s">
        <v>192</v>
      </c>
      <c r="E165" s="5" t="s">
        <v>320</v>
      </c>
      <c r="F165" s="5" t="s">
        <v>206</v>
      </c>
      <c r="G165" s="15" t="n">
        <v>0.93636373</v>
      </c>
      <c r="H165" s="15" t="n">
        <v>1.521588615</v>
      </c>
      <c r="I165" s="15" t="n">
        <v>2.1068135</v>
      </c>
      <c r="J165" s="5" t="s">
        <v>321</v>
      </c>
      <c r="K165" s="5" t="n">
        <v>2048</v>
      </c>
      <c r="L165" s="5" t="str">
        <f aca="false">IF(AND(K165&gt;=Hypothèses!$B$9,K165&lt;=Hypothèses!$B$10),"actuel",IF(K165=2030,"2030",IF(K165=2050,"2050","autre")))</f>
        <v>autre</v>
      </c>
      <c r="M165" s="5"/>
      <c r="N165" s="5" t="s">
        <v>196</v>
      </c>
      <c r="O165" s="5"/>
      <c r="P165" s="5" t="s">
        <v>230</v>
      </c>
      <c r="Q165" s="5" t="s">
        <v>45</v>
      </c>
      <c r="R165" s="12" t="n">
        <f aca="false">INDEX(Hypothèses!$B$14:$B$17,MATCH(Q165,Hypothèses!$A$14:$A$17,0))</f>
        <v>1</v>
      </c>
      <c r="S165" s="15" t="n">
        <f aca="false">IF(G165="","",G165*R165)</f>
        <v>0.93636373</v>
      </c>
      <c r="T165" s="15" t="n">
        <f aca="false">IF(H165="","",H165*R165)</f>
        <v>1.521588615</v>
      </c>
      <c r="U165" s="15" t="n">
        <f aca="false">IF(I165="","",I165*R165)</f>
        <v>2.1068135</v>
      </c>
      <c r="V165" s="5" t="s">
        <v>321</v>
      </c>
      <c r="W165" s="5" t="s">
        <v>70</v>
      </c>
      <c r="X165" s="5" t="s">
        <v>198</v>
      </c>
    </row>
    <row r="166" customFormat="false" ht="15" hidden="false" customHeight="false" outlineLevel="0" collapsed="false">
      <c r="A166" s="5" t="s">
        <v>380</v>
      </c>
      <c r="B166" s="5" t="s">
        <v>64</v>
      </c>
      <c r="C166" s="5" t="s">
        <v>108</v>
      </c>
      <c r="D166" s="5" t="s">
        <v>192</v>
      </c>
      <c r="E166" s="5" t="s">
        <v>320</v>
      </c>
      <c r="F166" s="5" t="s">
        <v>206</v>
      </c>
      <c r="G166" s="15" t="n">
        <v>0.98318135</v>
      </c>
      <c r="H166" s="15" t="n">
        <v>1.513788425</v>
      </c>
      <c r="I166" s="15" t="n">
        <v>2.0443955</v>
      </c>
      <c r="J166" s="5" t="s">
        <v>321</v>
      </c>
      <c r="K166" s="5" t="n">
        <v>2049</v>
      </c>
      <c r="L166" s="5" t="str">
        <f aca="false">IF(AND(K166&gt;=Hypothèses!$B$9,K166&lt;=Hypothèses!$B$10),"actuel",IF(K166=2030,"2030",IF(K166=2050,"2050","autre")))</f>
        <v>autre</v>
      </c>
      <c r="M166" s="5"/>
      <c r="N166" s="5" t="s">
        <v>196</v>
      </c>
      <c r="O166" s="5"/>
      <c r="P166" s="5" t="s">
        <v>230</v>
      </c>
      <c r="Q166" s="5" t="s">
        <v>45</v>
      </c>
      <c r="R166" s="12" t="n">
        <f aca="false">INDEX(Hypothèses!$B$14:$B$17,MATCH(Q166,Hypothèses!$A$14:$A$17,0))</f>
        <v>1</v>
      </c>
      <c r="S166" s="15" t="n">
        <f aca="false">IF(G166="","",G166*R166)</f>
        <v>0.98318135</v>
      </c>
      <c r="T166" s="15" t="n">
        <f aca="false">IF(H166="","",H166*R166)</f>
        <v>1.513788425</v>
      </c>
      <c r="U166" s="15" t="n">
        <f aca="false">IF(I166="","",I166*R166)</f>
        <v>2.0443955</v>
      </c>
      <c r="V166" s="5" t="s">
        <v>321</v>
      </c>
      <c r="W166" s="5" t="s">
        <v>70</v>
      </c>
      <c r="X166" s="5" t="s">
        <v>198</v>
      </c>
    </row>
    <row r="167" customFormat="false" ht="15" hidden="false" customHeight="false" outlineLevel="0" collapsed="false">
      <c r="A167" s="5" t="s">
        <v>381</v>
      </c>
      <c r="B167" s="5" t="s">
        <v>64</v>
      </c>
      <c r="C167" s="5" t="s">
        <v>108</v>
      </c>
      <c r="D167" s="5" t="s">
        <v>192</v>
      </c>
      <c r="E167" s="5" t="s">
        <v>320</v>
      </c>
      <c r="F167" s="5" t="s">
        <v>206</v>
      </c>
      <c r="G167" s="15" t="n">
        <v>0.93636373</v>
      </c>
      <c r="H167" s="15" t="n">
        <v>1.451363215</v>
      </c>
      <c r="I167" s="15" t="n">
        <v>1.9663627</v>
      </c>
      <c r="J167" s="5" t="s">
        <v>321</v>
      </c>
      <c r="K167" s="5" t="n">
        <v>2050</v>
      </c>
      <c r="L167" s="5" t="str">
        <f aca="false">IF(AND(K167&gt;=Hypothèses!$B$9,K167&lt;=Hypothèses!$B$10),"actuel",IF(K167=2030,"2030",IF(K167=2050,"2050","autre")))</f>
        <v>2050</v>
      </c>
      <c r="M167" s="5"/>
      <c r="N167" s="5" t="s">
        <v>196</v>
      </c>
      <c r="O167" s="5"/>
      <c r="P167" s="5" t="s">
        <v>230</v>
      </c>
      <c r="Q167" s="5" t="s">
        <v>45</v>
      </c>
      <c r="R167" s="12" t="n">
        <f aca="false">INDEX(Hypothèses!$B$14:$B$17,MATCH(Q167,Hypothèses!$A$14:$A$17,0))</f>
        <v>1</v>
      </c>
      <c r="S167" s="15" t="n">
        <f aca="false">IF(G167="","",G167*R167)</f>
        <v>0.93636373</v>
      </c>
      <c r="T167" s="15" t="n">
        <f aca="false">IF(H167="","",H167*R167)</f>
        <v>1.451363215</v>
      </c>
      <c r="U167" s="15" t="n">
        <f aca="false">IF(I167="","",I167*R167)</f>
        <v>1.9663627</v>
      </c>
      <c r="V167" s="5" t="s">
        <v>321</v>
      </c>
      <c r="W167" s="5" t="s">
        <v>70</v>
      </c>
      <c r="X167" s="5" t="s">
        <v>198</v>
      </c>
    </row>
    <row r="168" customFormat="false" ht="15" hidden="false" customHeight="false" outlineLevel="0" collapsed="false">
      <c r="A168" s="5" t="s">
        <v>382</v>
      </c>
      <c r="B168" s="5" t="s">
        <v>64</v>
      </c>
      <c r="C168" s="5" t="s">
        <v>110</v>
      </c>
      <c r="D168" s="5" t="s">
        <v>192</v>
      </c>
      <c r="E168" s="5" t="s">
        <v>320</v>
      </c>
      <c r="F168" s="5" t="s">
        <v>206</v>
      </c>
      <c r="G168" s="15" t="n">
        <v>2.23812368238081</v>
      </c>
      <c r="H168" s="15" t="n">
        <v>4.36375244788015</v>
      </c>
      <c r="I168" s="15" t="n">
        <v>6.4893812133795</v>
      </c>
      <c r="J168" s="5" t="s">
        <v>321</v>
      </c>
      <c r="K168" s="5" t="n">
        <v>2020</v>
      </c>
      <c r="L168" s="5" t="str">
        <f aca="false">IF(AND(K168&gt;=Hypothèses!$B$9,K168&lt;=Hypothèses!$B$10),"actuel",IF(K168=2030,"2030",IF(K168=2050,"2050","autre")))</f>
        <v>actuel</v>
      </c>
      <c r="M168" s="5"/>
      <c r="N168" s="5" t="s">
        <v>196</v>
      </c>
      <c r="O168" s="5"/>
      <c r="P168" s="5" t="s">
        <v>212</v>
      </c>
      <c r="Q168" s="5" t="s">
        <v>45</v>
      </c>
      <c r="R168" s="12" t="n">
        <f aca="false">INDEX(Hypothèses!$B$14:$B$17,MATCH(Q168,Hypothèses!$A$14:$A$17,0))</f>
        <v>1</v>
      </c>
      <c r="S168" s="15" t="n">
        <f aca="false">IF(G168="","",G168*R168)</f>
        <v>2.23812368238081</v>
      </c>
      <c r="T168" s="15" t="n">
        <f aca="false">IF(H168="","",H168*R168)</f>
        <v>4.36375244788015</v>
      </c>
      <c r="U168" s="15" t="n">
        <f aca="false">IF(I168="","",I168*R168)</f>
        <v>6.4893812133795</v>
      </c>
      <c r="V168" s="5" t="s">
        <v>321</v>
      </c>
      <c r="W168" s="5" t="s">
        <v>70</v>
      </c>
      <c r="X168" s="5" t="s">
        <v>198</v>
      </c>
    </row>
    <row r="169" customFormat="false" ht="15" hidden="false" customHeight="false" outlineLevel="0" collapsed="false">
      <c r="A169" s="5" t="s">
        <v>383</v>
      </c>
      <c r="B169" s="5" t="s">
        <v>64</v>
      </c>
      <c r="C169" s="5" t="s">
        <v>110</v>
      </c>
      <c r="D169" s="5" t="s">
        <v>192</v>
      </c>
      <c r="E169" s="5" t="s">
        <v>320</v>
      </c>
      <c r="F169" s="5" t="s">
        <v>206</v>
      </c>
      <c r="G169" s="15" t="n">
        <v>1.9482770728286</v>
      </c>
      <c r="H169" s="15" t="n">
        <v>3.49271833219839</v>
      </c>
      <c r="I169" s="15" t="n">
        <v>5.03715959156817</v>
      </c>
      <c r="J169" s="5" t="s">
        <v>321</v>
      </c>
      <c r="K169" s="5" t="n">
        <v>2030</v>
      </c>
      <c r="L169" s="5" t="str">
        <f aca="false">IF(AND(K169&gt;=Hypothèses!$B$9,K169&lt;=Hypothèses!$B$10),"actuel",IF(K169=2030,"2030",IF(K169=2050,"2050","autre")))</f>
        <v>2030</v>
      </c>
      <c r="M169" s="5"/>
      <c r="N169" s="5" t="s">
        <v>196</v>
      </c>
      <c r="O169" s="5"/>
      <c r="P169" s="5" t="s">
        <v>212</v>
      </c>
      <c r="Q169" s="5" t="s">
        <v>45</v>
      </c>
      <c r="R169" s="12" t="n">
        <f aca="false">INDEX(Hypothèses!$B$14:$B$17,MATCH(Q169,Hypothèses!$A$14:$A$17,0))</f>
        <v>1</v>
      </c>
      <c r="S169" s="15" t="n">
        <f aca="false">IF(G169="","",G169*R169)</f>
        <v>1.9482770728286</v>
      </c>
      <c r="T169" s="15" t="n">
        <f aca="false">IF(H169="","",H169*R169)</f>
        <v>3.49271833219839</v>
      </c>
      <c r="U169" s="15" t="n">
        <f aca="false">IF(I169="","",I169*R169)</f>
        <v>5.03715959156817</v>
      </c>
      <c r="V169" s="5" t="s">
        <v>321</v>
      </c>
      <c r="W169" s="5" t="s">
        <v>70</v>
      </c>
      <c r="X169" s="5" t="s">
        <v>198</v>
      </c>
    </row>
    <row r="170" customFormat="false" ht="15" hidden="false" customHeight="false" outlineLevel="0" collapsed="false">
      <c r="A170" s="5" t="s">
        <v>384</v>
      </c>
      <c r="B170" s="5" t="s">
        <v>64</v>
      </c>
      <c r="C170" s="5" t="s">
        <v>110</v>
      </c>
      <c r="D170" s="5" t="s">
        <v>192</v>
      </c>
      <c r="E170" s="5" t="s">
        <v>320</v>
      </c>
      <c r="F170" s="5" t="s">
        <v>206</v>
      </c>
      <c r="G170" s="15" t="n">
        <v>1.74941679589531</v>
      </c>
      <c r="H170" s="15" t="n">
        <v>3.02879748594119</v>
      </c>
      <c r="I170" s="15" t="n">
        <v>4.30817817598706</v>
      </c>
      <c r="J170" s="5" t="s">
        <v>321</v>
      </c>
      <c r="K170" s="5" t="n">
        <v>2040</v>
      </c>
      <c r="L170" s="5" t="str">
        <f aca="false">IF(AND(K170&gt;=Hypothèses!$B$9,K170&lt;=Hypothèses!$B$10),"actuel",IF(K170=2030,"2030",IF(K170=2050,"2050","autre")))</f>
        <v>autre</v>
      </c>
      <c r="M170" s="5"/>
      <c r="N170" s="5" t="s">
        <v>196</v>
      </c>
      <c r="O170" s="5"/>
      <c r="P170" s="5" t="s">
        <v>212</v>
      </c>
      <c r="Q170" s="5" t="s">
        <v>45</v>
      </c>
      <c r="R170" s="12" t="n">
        <f aca="false">INDEX(Hypothèses!$B$14:$B$17,MATCH(Q170,Hypothèses!$A$14:$A$17,0))</f>
        <v>1</v>
      </c>
      <c r="S170" s="15" t="n">
        <f aca="false">IF(G170="","",G170*R170)</f>
        <v>1.74941679589531</v>
      </c>
      <c r="T170" s="15" t="n">
        <f aca="false">IF(H170="","",H170*R170)</f>
        <v>3.02879748594119</v>
      </c>
      <c r="U170" s="15" t="n">
        <f aca="false">IF(I170="","",I170*R170)</f>
        <v>4.30817817598706</v>
      </c>
      <c r="V170" s="5" t="s">
        <v>321</v>
      </c>
      <c r="W170" s="5" t="s">
        <v>70</v>
      </c>
      <c r="X170" s="5" t="s">
        <v>198</v>
      </c>
    </row>
    <row r="171" customFormat="false" ht="15" hidden="false" customHeight="false" outlineLevel="0" collapsed="false">
      <c r="A171" s="5" t="s">
        <v>385</v>
      </c>
      <c r="B171" s="5" t="s">
        <v>64</v>
      </c>
      <c r="C171" s="5" t="s">
        <v>110</v>
      </c>
      <c r="D171" s="5" t="s">
        <v>192</v>
      </c>
      <c r="E171" s="5" t="s">
        <v>320</v>
      </c>
      <c r="F171" s="5" t="s">
        <v>206</v>
      </c>
      <c r="G171" s="15" t="n">
        <v>1.59894012047361</v>
      </c>
      <c r="H171" s="15" t="n">
        <v>2.67725454171051</v>
      </c>
      <c r="I171" s="15" t="n">
        <v>3.75556896294741</v>
      </c>
      <c r="J171" s="5" t="s">
        <v>321</v>
      </c>
      <c r="K171" s="5" t="n">
        <v>2050</v>
      </c>
      <c r="L171" s="5" t="str">
        <f aca="false">IF(AND(K171&gt;=Hypothèses!$B$9,K171&lt;=Hypothèses!$B$10),"actuel",IF(K171=2030,"2030",IF(K171=2050,"2050","autre")))</f>
        <v>2050</v>
      </c>
      <c r="M171" s="5"/>
      <c r="N171" s="5" t="s">
        <v>196</v>
      </c>
      <c r="O171" s="5"/>
      <c r="P171" s="5" t="s">
        <v>212</v>
      </c>
      <c r="Q171" s="5" t="s">
        <v>45</v>
      </c>
      <c r="R171" s="12" t="n">
        <f aca="false">INDEX(Hypothèses!$B$14:$B$17,MATCH(Q171,Hypothèses!$A$14:$A$17,0))</f>
        <v>1</v>
      </c>
      <c r="S171" s="15" t="n">
        <f aca="false">IF(G171="","",G171*R171)</f>
        <v>1.59894012047361</v>
      </c>
      <c r="T171" s="15" t="n">
        <f aca="false">IF(H171="","",H171*R171)</f>
        <v>2.67725454171051</v>
      </c>
      <c r="U171" s="15" t="n">
        <f aca="false">IF(I171="","",I171*R171)</f>
        <v>3.75556896294741</v>
      </c>
      <c r="V171" s="5" t="s">
        <v>321</v>
      </c>
      <c r="W171" s="5" t="s">
        <v>70</v>
      </c>
      <c r="X171" s="5" t="s">
        <v>198</v>
      </c>
    </row>
    <row r="172" customFormat="false" ht="15" hidden="false" customHeight="false" outlineLevel="0" collapsed="false">
      <c r="A172" s="5" t="s">
        <v>386</v>
      </c>
      <c r="B172" s="5" t="s">
        <v>64</v>
      </c>
      <c r="C172" s="5" t="s">
        <v>114</v>
      </c>
      <c r="D172" s="5" t="s">
        <v>192</v>
      </c>
      <c r="E172" s="5" t="s">
        <v>320</v>
      </c>
      <c r="F172" s="5" t="s">
        <v>206</v>
      </c>
      <c r="G172" s="15"/>
      <c r="H172" s="15" t="n">
        <v>3.1915326652962</v>
      </c>
      <c r="I172" s="15"/>
      <c r="J172" s="5" t="s">
        <v>321</v>
      </c>
      <c r="K172" s="5" t="n">
        <v>2020</v>
      </c>
      <c r="L172" s="5" t="str">
        <f aca="false">IF(AND(K172&gt;=Hypothèses!$B$9,K172&lt;=Hypothèses!$B$10),"actuel",IF(K172=2030,"2030",IF(K172=2050,"2050","autre")))</f>
        <v>actuel</v>
      </c>
      <c r="M172" s="5"/>
      <c r="N172" s="5" t="s">
        <v>196</v>
      </c>
      <c r="O172" s="5"/>
      <c r="P172" s="5" t="s">
        <v>387</v>
      </c>
      <c r="Q172" s="5" t="s">
        <v>45</v>
      </c>
      <c r="R172" s="12" t="n">
        <f aca="false">INDEX(Hypothèses!$B$14:$B$17,MATCH(Q172,Hypothèses!$A$14:$A$17,0))</f>
        <v>1</v>
      </c>
      <c r="S172" s="15" t="str">
        <f aca="false">IF(G172="","",G172*R172)</f>
        <v/>
      </c>
      <c r="T172" s="15" t="n">
        <f aca="false">IF(H172="","",H172*R172)</f>
        <v>3.1915326652962</v>
      </c>
      <c r="U172" s="15" t="str">
        <f aca="false">IF(I172="","",I172*R172)</f>
        <v/>
      </c>
      <c r="V172" s="5" t="s">
        <v>321</v>
      </c>
      <c r="W172" s="5" t="s">
        <v>70</v>
      </c>
      <c r="X172" s="5" t="s">
        <v>198</v>
      </c>
    </row>
    <row r="173" customFormat="false" ht="15" hidden="false" customHeight="false" outlineLevel="0" collapsed="false">
      <c r="A173" s="5" t="s">
        <v>388</v>
      </c>
      <c r="B173" s="5" t="s">
        <v>64</v>
      </c>
      <c r="C173" s="5" t="s">
        <v>114</v>
      </c>
      <c r="D173" s="5" t="s">
        <v>192</v>
      </c>
      <c r="E173" s="5" t="s">
        <v>320</v>
      </c>
      <c r="F173" s="5" t="s">
        <v>206</v>
      </c>
      <c r="G173" s="15"/>
      <c r="H173" s="15" t="n">
        <v>2.52281675274828</v>
      </c>
      <c r="I173" s="15"/>
      <c r="J173" s="5" t="s">
        <v>321</v>
      </c>
      <c r="K173" s="5" t="n">
        <v>2030</v>
      </c>
      <c r="L173" s="5" t="str">
        <f aca="false">IF(AND(K173&gt;=Hypothèses!$B$9,K173&lt;=Hypothèses!$B$10),"actuel",IF(K173=2030,"2030",IF(K173=2050,"2050","autre")))</f>
        <v>2030</v>
      </c>
      <c r="M173" s="5"/>
      <c r="N173" s="5" t="s">
        <v>196</v>
      </c>
      <c r="O173" s="5"/>
      <c r="P173" s="5" t="s">
        <v>387</v>
      </c>
      <c r="Q173" s="5" t="s">
        <v>45</v>
      </c>
      <c r="R173" s="12" t="n">
        <f aca="false">INDEX(Hypothèses!$B$14:$B$17,MATCH(Q173,Hypothèses!$A$14:$A$17,0))</f>
        <v>1</v>
      </c>
      <c r="S173" s="15" t="str">
        <f aca="false">IF(G173="","",G173*R173)</f>
        <v/>
      </c>
      <c r="T173" s="15" t="n">
        <f aca="false">IF(H173="","",H173*R173)</f>
        <v>2.52281675274828</v>
      </c>
      <c r="U173" s="15" t="str">
        <f aca="false">IF(I173="","",I173*R173)</f>
        <v/>
      </c>
      <c r="V173" s="5" t="s">
        <v>321</v>
      </c>
      <c r="W173" s="5" t="s">
        <v>70</v>
      </c>
      <c r="X173" s="5" t="s">
        <v>198</v>
      </c>
    </row>
    <row r="174" customFormat="false" ht="15" hidden="false" customHeight="false" outlineLevel="0" collapsed="false">
      <c r="A174" s="5" t="s">
        <v>389</v>
      </c>
      <c r="B174" s="5" t="s">
        <v>64</v>
      </c>
      <c r="C174" s="5" t="s">
        <v>114</v>
      </c>
      <c r="D174" s="5" t="s">
        <v>192</v>
      </c>
      <c r="E174" s="5" t="s">
        <v>320</v>
      </c>
      <c r="F174" s="5" t="s">
        <v>206</v>
      </c>
      <c r="G174" s="15"/>
      <c r="H174" s="15" t="n">
        <v>2.27764774779604</v>
      </c>
      <c r="I174" s="15"/>
      <c r="J174" s="5" t="s">
        <v>321</v>
      </c>
      <c r="K174" s="5" t="n">
        <v>2040</v>
      </c>
      <c r="L174" s="5" t="str">
        <f aca="false">IF(AND(K174&gt;=Hypothèses!$B$9,K174&lt;=Hypothèses!$B$10),"actuel",IF(K174=2030,"2030",IF(K174=2050,"2050","autre")))</f>
        <v>autre</v>
      </c>
      <c r="M174" s="5"/>
      <c r="N174" s="5" t="s">
        <v>196</v>
      </c>
      <c r="O174" s="5"/>
      <c r="P174" s="5" t="s">
        <v>387</v>
      </c>
      <c r="Q174" s="5" t="s">
        <v>45</v>
      </c>
      <c r="R174" s="12" t="n">
        <f aca="false">INDEX(Hypothèses!$B$14:$B$17,MATCH(Q174,Hypothèses!$A$14:$A$17,0))</f>
        <v>1</v>
      </c>
      <c r="S174" s="15" t="str">
        <f aca="false">IF(G174="","",G174*R174)</f>
        <v/>
      </c>
      <c r="T174" s="15" t="n">
        <f aca="false">IF(H174="","",H174*R174)</f>
        <v>2.27764774779604</v>
      </c>
      <c r="U174" s="15" t="str">
        <f aca="false">IF(I174="","",I174*R174)</f>
        <v/>
      </c>
      <c r="V174" s="5" t="s">
        <v>321</v>
      </c>
      <c r="W174" s="5" t="s">
        <v>70</v>
      </c>
      <c r="X174" s="5" t="s">
        <v>198</v>
      </c>
    </row>
    <row r="175" customFormat="false" ht="15" hidden="false" customHeight="false" outlineLevel="0" collapsed="false">
      <c r="A175" s="5" t="s">
        <v>390</v>
      </c>
      <c r="B175" s="5" t="s">
        <v>64</v>
      </c>
      <c r="C175" s="5" t="s">
        <v>114</v>
      </c>
      <c r="D175" s="5" t="s">
        <v>192</v>
      </c>
      <c r="E175" s="5" t="s">
        <v>320</v>
      </c>
      <c r="F175" s="5" t="s">
        <v>206</v>
      </c>
      <c r="G175" s="15"/>
      <c r="H175" s="15" t="n">
        <v>2.14096627542168</v>
      </c>
      <c r="I175" s="15"/>
      <c r="J175" s="5" t="s">
        <v>321</v>
      </c>
      <c r="K175" s="5" t="n">
        <v>2050</v>
      </c>
      <c r="L175" s="5" t="str">
        <f aca="false">IF(AND(K175&gt;=Hypothèses!$B$9,K175&lt;=Hypothèses!$B$10),"actuel",IF(K175=2030,"2030",IF(K175=2050,"2050","autre")))</f>
        <v>2050</v>
      </c>
      <c r="M175" s="5"/>
      <c r="N175" s="5" t="s">
        <v>196</v>
      </c>
      <c r="O175" s="5"/>
      <c r="P175" s="5" t="s">
        <v>387</v>
      </c>
      <c r="Q175" s="5" t="s">
        <v>45</v>
      </c>
      <c r="R175" s="12" t="n">
        <f aca="false">INDEX(Hypothèses!$B$14:$B$17,MATCH(Q175,Hypothèses!$A$14:$A$17,0))</f>
        <v>1</v>
      </c>
      <c r="S175" s="15" t="str">
        <f aca="false">IF(G175="","",G175*R175)</f>
        <v/>
      </c>
      <c r="T175" s="15" t="n">
        <f aca="false">IF(H175="","",H175*R175)</f>
        <v>2.14096627542168</v>
      </c>
      <c r="U175" s="15" t="str">
        <f aca="false">IF(I175="","",I175*R175)</f>
        <v/>
      </c>
      <c r="V175" s="5" t="s">
        <v>321</v>
      </c>
      <c r="W175" s="5" t="s">
        <v>70</v>
      </c>
      <c r="X175" s="5" t="s">
        <v>198</v>
      </c>
    </row>
    <row r="176" customFormat="false" ht="15" hidden="false" customHeight="false" outlineLevel="0" collapsed="false">
      <c r="A176" s="5" t="s">
        <v>391</v>
      </c>
      <c r="B176" s="5" t="s">
        <v>64</v>
      </c>
      <c r="C176" s="5" t="s">
        <v>116</v>
      </c>
      <c r="D176" s="5" t="s">
        <v>192</v>
      </c>
      <c r="E176" s="5" t="s">
        <v>320</v>
      </c>
      <c r="F176" s="5" t="s">
        <v>206</v>
      </c>
      <c r="G176" s="15"/>
      <c r="H176" s="15" t="n">
        <v>3.43837947743435</v>
      </c>
      <c r="I176" s="15"/>
      <c r="J176" s="5" t="s">
        <v>321</v>
      </c>
      <c r="K176" s="5" t="n">
        <v>2020</v>
      </c>
      <c r="L176" s="5" t="str">
        <f aca="false">IF(AND(K176&gt;=Hypothèses!$B$9,K176&lt;=Hypothèses!$B$10),"actuel",IF(K176=2030,"2030",IF(K176=2050,"2050","autre")))</f>
        <v>actuel</v>
      </c>
      <c r="M176" s="5"/>
      <c r="N176" s="5" t="s">
        <v>196</v>
      </c>
      <c r="O176" s="5"/>
      <c r="P176" s="5" t="s">
        <v>392</v>
      </c>
      <c r="Q176" s="5" t="s">
        <v>45</v>
      </c>
      <c r="R176" s="12" t="n">
        <f aca="false">INDEX(Hypothèses!$B$14:$B$17,MATCH(Q176,Hypothèses!$A$14:$A$17,0))</f>
        <v>1</v>
      </c>
      <c r="S176" s="15" t="str">
        <f aca="false">IF(G176="","",G176*R176)</f>
        <v/>
      </c>
      <c r="T176" s="15" t="n">
        <f aca="false">IF(H176="","",H176*R176)</f>
        <v>3.43837947743435</v>
      </c>
      <c r="U176" s="15" t="str">
        <f aca="false">IF(I176="","",I176*R176)</f>
        <v/>
      </c>
      <c r="V176" s="5" t="s">
        <v>321</v>
      </c>
      <c r="W176" s="5" t="s">
        <v>70</v>
      </c>
      <c r="X176" s="5" t="s">
        <v>198</v>
      </c>
    </row>
    <row r="177" customFormat="false" ht="15" hidden="false" customHeight="false" outlineLevel="0" collapsed="false">
      <c r="A177" s="5" t="s">
        <v>393</v>
      </c>
      <c r="B177" s="5" t="s">
        <v>64</v>
      </c>
      <c r="C177" s="5" t="s">
        <v>116</v>
      </c>
      <c r="D177" s="5" t="s">
        <v>192</v>
      </c>
      <c r="E177" s="5" t="s">
        <v>320</v>
      </c>
      <c r="F177" s="5" t="s">
        <v>206</v>
      </c>
      <c r="G177" s="15"/>
      <c r="H177" s="15" t="n">
        <v>2.63562863108416</v>
      </c>
      <c r="I177" s="15"/>
      <c r="J177" s="5" t="s">
        <v>321</v>
      </c>
      <c r="K177" s="5" t="n">
        <v>2030</v>
      </c>
      <c r="L177" s="5" t="str">
        <f aca="false">IF(AND(K177&gt;=Hypothèses!$B$9,K177&lt;=Hypothèses!$B$10),"actuel",IF(K177=2030,"2030",IF(K177=2050,"2050","autre")))</f>
        <v>2030</v>
      </c>
      <c r="M177" s="5"/>
      <c r="N177" s="5" t="s">
        <v>196</v>
      </c>
      <c r="O177" s="5"/>
      <c r="P177" s="5" t="s">
        <v>392</v>
      </c>
      <c r="Q177" s="5" t="s">
        <v>45</v>
      </c>
      <c r="R177" s="12" t="n">
        <f aca="false">INDEX(Hypothèses!$B$14:$B$17,MATCH(Q177,Hypothèses!$A$14:$A$17,0))</f>
        <v>1</v>
      </c>
      <c r="S177" s="15" t="str">
        <f aca="false">IF(G177="","",G177*R177)</f>
        <v/>
      </c>
      <c r="T177" s="15" t="n">
        <f aca="false">IF(H177="","",H177*R177)</f>
        <v>2.63562863108416</v>
      </c>
      <c r="U177" s="15" t="str">
        <f aca="false">IF(I177="","",I177*R177)</f>
        <v/>
      </c>
      <c r="V177" s="5" t="s">
        <v>321</v>
      </c>
      <c r="W177" s="5" t="s">
        <v>70</v>
      </c>
      <c r="X177" s="5" t="s">
        <v>198</v>
      </c>
    </row>
    <row r="178" customFormat="false" ht="15" hidden="false" customHeight="false" outlineLevel="0" collapsed="false">
      <c r="A178" s="5" t="s">
        <v>394</v>
      </c>
      <c r="B178" s="5" t="s">
        <v>64</v>
      </c>
      <c r="C178" s="5" t="s">
        <v>116</v>
      </c>
      <c r="D178" s="5" t="s">
        <v>192</v>
      </c>
      <c r="E178" s="5" t="s">
        <v>320</v>
      </c>
      <c r="F178" s="5" t="s">
        <v>206</v>
      </c>
      <c r="G178" s="15"/>
      <c r="H178" s="15" t="n">
        <v>2.24783863166482</v>
      </c>
      <c r="I178" s="15"/>
      <c r="J178" s="5" t="s">
        <v>321</v>
      </c>
      <c r="K178" s="5" t="n">
        <v>2040</v>
      </c>
      <c r="L178" s="5" t="str">
        <f aca="false">IF(AND(K178&gt;=Hypothèses!$B$9,K178&lt;=Hypothèses!$B$10),"actuel",IF(K178=2030,"2030",IF(K178=2050,"2050","autre")))</f>
        <v>autre</v>
      </c>
      <c r="M178" s="5"/>
      <c r="N178" s="5" t="s">
        <v>196</v>
      </c>
      <c r="O178" s="5"/>
      <c r="P178" s="5" t="s">
        <v>392</v>
      </c>
      <c r="Q178" s="5" t="s">
        <v>45</v>
      </c>
      <c r="R178" s="12" t="n">
        <f aca="false">INDEX(Hypothèses!$B$14:$B$17,MATCH(Q178,Hypothèses!$A$14:$A$17,0))</f>
        <v>1</v>
      </c>
      <c r="S178" s="15" t="str">
        <f aca="false">IF(G178="","",G178*R178)</f>
        <v/>
      </c>
      <c r="T178" s="15" t="n">
        <f aca="false">IF(H178="","",H178*R178)</f>
        <v>2.24783863166482</v>
      </c>
      <c r="U178" s="15" t="str">
        <f aca="false">IF(I178="","",I178*R178)</f>
        <v/>
      </c>
      <c r="V178" s="5" t="s">
        <v>321</v>
      </c>
      <c r="W178" s="5" t="s">
        <v>70</v>
      </c>
      <c r="X178" s="5" t="s">
        <v>198</v>
      </c>
    </row>
    <row r="179" customFormat="false" ht="15" hidden="false" customHeight="false" outlineLevel="0" collapsed="false">
      <c r="A179" s="5" t="s">
        <v>395</v>
      </c>
      <c r="B179" s="5" t="s">
        <v>64</v>
      </c>
      <c r="C179" s="5" t="s">
        <v>116</v>
      </c>
      <c r="D179" s="5" t="s">
        <v>192</v>
      </c>
      <c r="E179" s="5" t="s">
        <v>320</v>
      </c>
      <c r="F179" s="5" t="s">
        <v>206</v>
      </c>
      <c r="G179" s="15"/>
      <c r="H179" s="15" t="n">
        <v>1.95994460058623</v>
      </c>
      <c r="I179" s="15"/>
      <c r="J179" s="5" t="s">
        <v>321</v>
      </c>
      <c r="K179" s="5" t="n">
        <v>2050</v>
      </c>
      <c r="L179" s="5" t="str">
        <f aca="false">IF(AND(K179&gt;=Hypothèses!$B$9,K179&lt;=Hypothèses!$B$10),"actuel",IF(K179=2030,"2030",IF(K179=2050,"2050","autre")))</f>
        <v>2050</v>
      </c>
      <c r="M179" s="5"/>
      <c r="N179" s="5" t="s">
        <v>196</v>
      </c>
      <c r="O179" s="5"/>
      <c r="P179" s="5" t="s">
        <v>392</v>
      </c>
      <c r="Q179" s="5" t="s">
        <v>45</v>
      </c>
      <c r="R179" s="12" t="n">
        <f aca="false">INDEX(Hypothèses!$B$14:$B$17,MATCH(Q179,Hypothèses!$A$14:$A$17,0))</f>
        <v>1</v>
      </c>
      <c r="S179" s="15" t="str">
        <f aca="false">IF(G179="","",G179*R179)</f>
        <v/>
      </c>
      <c r="T179" s="15" t="n">
        <f aca="false">IF(H179="","",H179*R179)</f>
        <v>1.95994460058623</v>
      </c>
      <c r="U179" s="15" t="str">
        <f aca="false">IF(I179="","",I179*R179)</f>
        <v/>
      </c>
      <c r="V179" s="5" t="s">
        <v>321</v>
      </c>
      <c r="W179" s="5" t="s">
        <v>70</v>
      </c>
      <c r="X179" s="5" t="s">
        <v>198</v>
      </c>
    </row>
    <row r="180" customFormat="false" ht="15" hidden="false" customHeight="false" outlineLevel="0" collapsed="false">
      <c r="A180" s="5" t="s">
        <v>396</v>
      </c>
      <c r="B180" s="5" t="s">
        <v>64</v>
      </c>
      <c r="C180" s="5" t="s">
        <v>118</v>
      </c>
      <c r="D180" s="5" t="s">
        <v>192</v>
      </c>
      <c r="E180" s="5" t="s">
        <v>320</v>
      </c>
      <c r="F180" s="5" t="s">
        <v>206</v>
      </c>
      <c r="G180" s="15" t="n">
        <v>3.9401929</v>
      </c>
      <c r="H180" s="15" t="n">
        <v>4.53825725</v>
      </c>
      <c r="I180" s="15" t="n">
        <v>5.1363216</v>
      </c>
      <c r="J180" s="5" t="s">
        <v>321</v>
      </c>
      <c r="K180" s="5" t="n">
        <v>2020</v>
      </c>
      <c r="L180" s="5" t="str">
        <f aca="false">IF(AND(K180&gt;=Hypothèses!$B$9,K180&lt;=Hypothèses!$B$10),"actuel",IF(K180=2030,"2030",IF(K180=2050,"2050","autre")))</f>
        <v>actuel</v>
      </c>
      <c r="M180" s="5"/>
      <c r="N180" s="5" t="s">
        <v>196</v>
      </c>
      <c r="O180" s="5"/>
      <c r="P180" s="5" t="s">
        <v>300</v>
      </c>
      <c r="Q180" s="5" t="s">
        <v>45</v>
      </c>
      <c r="R180" s="12" t="n">
        <f aca="false">INDEX(Hypothèses!$B$14:$B$17,MATCH(Q180,Hypothèses!$A$14:$A$17,0))</f>
        <v>1</v>
      </c>
      <c r="S180" s="15" t="n">
        <f aca="false">IF(G180="","",G180*R180)</f>
        <v>3.9401929</v>
      </c>
      <c r="T180" s="15" t="n">
        <f aca="false">IF(H180="","",H180*R180)</f>
        <v>4.53825725</v>
      </c>
      <c r="U180" s="15" t="n">
        <f aca="false">IF(I180="","",I180*R180)</f>
        <v>5.1363216</v>
      </c>
      <c r="V180" s="5" t="s">
        <v>321</v>
      </c>
      <c r="W180" s="5" t="s">
        <v>70</v>
      </c>
      <c r="X180" s="5" t="s">
        <v>198</v>
      </c>
    </row>
    <row r="181" customFormat="false" ht="15" hidden="false" customHeight="false" outlineLevel="0" collapsed="false">
      <c r="A181" s="5" t="s">
        <v>397</v>
      </c>
      <c r="B181" s="5" t="s">
        <v>64</v>
      </c>
      <c r="C181" s="5" t="s">
        <v>118</v>
      </c>
      <c r="D181" s="5" t="s">
        <v>192</v>
      </c>
      <c r="E181" s="5" t="s">
        <v>320</v>
      </c>
      <c r="F181" s="5" t="s">
        <v>206</v>
      </c>
      <c r="G181" s="15" t="n">
        <v>3.3069489</v>
      </c>
      <c r="H181" s="15" t="n">
        <v>4.3506273</v>
      </c>
      <c r="I181" s="15" t="n">
        <v>5.3943057</v>
      </c>
      <c r="J181" s="5" t="s">
        <v>321</v>
      </c>
      <c r="K181" s="5" t="n">
        <v>2025</v>
      </c>
      <c r="L181" s="5" t="str">
        <f aca="false">IF(AND(K181&gt;=Hypothèses!$B$9,K181&lt;=Hypothèses!$B$10),"actuel",IF(K181=2030,"2030",IF(K181=2050,"2050","autre")))</f>
        <v>actuel</v>
      </c>
      <c r="M181" s="5"/>
      <c r="N181" s="5" t="s">
        <v>196</v>
      </c>
      <c r="O181" s="5"/>
      <c r="P181" s="5" t="s">
        <v>300</v>
      </c>
      <c r="Q181" s="5" t="s">
        <v>45</v>
      </c>
      <c r="R181" s="12" t="n">
        <f aca="false">INDEX(Hypothèses!$B$14:$B$17,MATCH(Q181,Hypothèses!$A$14:$A$17,0))</f>
        <v>1</v>
      </c>
      <c r="S181" s="15" t="n">
        <f aca="false">IF(G181="","",G181*R181)</f>
        <v>3.3069489</v>
      </c>
      <c r="T181" s="15" t="n">
        <f aca="false">IF(H181="","",H181*R181)</f>
        <v>4.3506273</v>
      </c>
      <c r="U181" s="15" t="n">
        <f aca="false">IF(I181="","",I181*R181)</f>
        <v>5.3943057</v>
      </c>
      <c r="V181" s="5" t="s">
        <v>321</v>
      </c>
      <c r="W181" s="5" t="s">
        <v>70</v>
      </c>
      <c r="X181" s="5" t="s">
        <v>198</v>
      </c>
    </row>
    <row r="182" customFormat="false" ht="15" hidden="false" customHeight="false" outlineLevel="0" collapsed="false">
      <c r="A182" s="5" t="s">
        <v>398</v>
      </c>
      <c r="B182" s="5" t="s">
        <v>64</v>
      </c>
      <c r="C182" s="5" t="s">
        <v>118</v>
      </c>
      <c r="D182" s="5" t="s">
        <v>192</v>
      </c>
      <c r="E182" s="5" t="s">
        <v>320</v>
      </c>
      <c r="F182" s="5" t="s">
        <v>206</v>
      </c>
      <c r="G182" s="15" t="n">
        <v>2.615067</v>
      </c>
      <c r="H182" s="15" t="n">
        <v>3.6528847</v>
      </c>
      <c r="I182" s="15" t="n">
        <v>4.6907024</v>
      </c>
      <c r="J182" s="5" t="s">
        <v>321</v>
      </c>
      <c r="K182" s="5" t="n">
        <v>2030</v>
      </c>
      <c r="L182" s="5" t="str">
        <f aca="false">IF(AND(K182&gt;=Hypothèses!$B$9,K182&lt;=Hypothèses!$B$10),"actuel",IF(K182=2030,"2030",IF(K182=2050,"2050","autre")))</f>
        <v>2030</v>
      </c>
      <c r="M182" s="5"/>
      <c r="N182" s="5" t="s">
        <v>196</v>
      </c>
      <c r="O182" s="5"/>
      <c r="P182" s="5" t="s">
        <v>300</v>
      </c>
      <c r="Q182" s="5" t="s">
        <v>45</v>
      </c>
      <c r="R182" s="12" t="n">
        <f aca="false">INDEX(Hypothèses!$B$14:$B$17,MATCH(Q182,Hypothèses!$A$14:$A$17,0))</f>
        <v>1</v>
      </c>
      <c r="S182" s="15" t="n">
        <f aca="false">IF(G182="","",G182*R182)</f>
        <v>2.615067</v>
      </c>
      <c r="T182" s="15" t="n">
        <f aca="false">IF(H182="","",H182*R182)</f>
        <v>3.6528847</v>
      </c>
      <c r="U182" s="15" t="n">
        <f aca="false">IF(I182="","",I182*R182)</f>
        <v>4.6907024</v>
      </c>
      <c r="V182" s="5" t="s">
        <v>321</v>
      </c>
      <c r="W182" s="5" t="s">
        <v>70</v>
      </c>
      <c r="X182" s="5" t="s">
        <v>198</v>
      </c>
    </row>
    <row r="183" customFormat="false" ht="15" hidden="false" customHeight="false" outlineLevel="0" collapsed="false">
      <c r="A183" s="5" t="s">
        <v>399</v>
      </c>
      <c r="B183" s="5" t="s">
        <v>64</v>
      </c>
      <c r="C183" s="5" t="s">
        <v>118</v>
      </c>
      <c r="D183" s="5" t="s">
        <v>192</v>
      </c>
      <c r="E183" s="5" t="s">
        <v>320</v>
      </c>
      <c r="F183" s="5" t="s">
        <v>206</v>
      </c>
      <c r="G183" s="15" t="n">
        <v>2.063914</v>
      </c>
      <c r="H183" s="15" t="n">
        <v>3.18967825</v>
      </c>
      <c r="I183" s="15" t="n">
        <v>4.3154425</v>
      </c>
      <c r="J183" s="5" t="s">
        <v>321</v>
      </c>
      <c r="K183" s="5" t="n">
        <v>2035</v>
      </c>
      <c r="L183" s="5" t="str">
        <f aca="false">IF(AND(K183&gt;=Hypothèses!$B$9,K183&lt;=Hypothèses!$B$10),"actuel",IF(K183=2030,"2030",IF(K183=2050,"2050","autre")))</f>
        <v>autre</v>
      </c>
      <c r="M183" s="5"/>
      <c r="N183" s="5" t="s">
        <v>196</v>
      </c>
      <c r="O183" s="5"/>
      <c r="P183" s="5" t="s">
        <v>300</v>
      </c>
      <c r="Q183" s="5" t="s">
        <v>45</v>
      </c>
      <c r="R183" s="12" t="n">
        <f aca="false">INDEX(Hypothèses!$B$14:$B$17,MATCH(Q183,Hypothèses!$A$14:$A$17,0))</f>
        <v>1</v>
      </c>
      <c r="S183" s="15" t="n">
        <f aca="false">IF(G183="","",G183*R183)</f>
        <v>2.063914</v>
      </c>
      <c r="T183" s="15" t="n">
        <f aca="false">IF(H183="","",H183*R183)</f>
        <v>3.18967825</v>
      </c>
      <c r="U183" s="15" t="n">
        <f aca="false">IF(I183="","",I183*R183)</f>
        <v>4.3154425</v>
      </c>
      <c r="V183" s="5" t="s">
        <v>321</v>
      </c>
      <c r="W183" s="5" t="s">
        <v>70</v>
      </c>
      <c r="X183" s="5" t="s">
        <v>198</v>
      </c>
    </row>
    <row r="184" customFormat="false" ht="15" hidden="false" customHeight="false" outlineLevel="0" collapsed="false">
      <c r="A184" s="5" t="s">
        <v>400</v>
      </c>
      <c r="B184" s="5" t="s">
        <v>64</v>
      </c>
      <c r="C184" s="5" t="s">
        <v>118</v>
      </c>
      <c r="D184" s="5" t="s">
        <v>192</v>
      </c>
      <c r="E184" s="5" t="s">
        <v>320</v>
      </c>
      <c r="F184" s="5" t="s">
        <v>206</v>
      </c>
      <c r="G184" s="15" t="n">
        <v>1.7238286</v>
      </c>
      <c r="H184" s="15" t="n">
        <v>2.849598</v>
      </c>
      <c r="I184" s="15" t="n">
        <v>3.9753674</v>
      </c>
      <c r="J184" s="5" t="s">
        <v>321</v>
      </c>
      <c r="K184" s="5" t="n">
        <v>2040</v>
      </c>
      <c r="L184" s="5" t="str">
        <f aca="false">IF(AND(K184&gt;=Hypothèses!$B$9,K184&lt;=Hypothèses!$B$10),"actuel",IF(K184=2030,"2030",IF(K184=2050,"2050","autre")))</f>
        <v>autre</v>
      </c>
      <c r="M184" s="5"/>
      <c r="N184" s="5" t="s">
        <v>196</v>
      </c>
      <c r="O184" s="5"/>
      <c r="P184" s="5" t="s">
        <v>300</v>
      </c>
      <c r="Q184" s="5" t="s">
        <v>45</v>
      </c>
      <c r="R184" s="12" t="n">
        <f aca="false">INDEX(Hypothèses!$B$14:$B$17,MATCH(Q184,Hypothèses!$A$14:$A$17,0))</f>
        <v>1</v>
      </c>
      <c r="S184" s="15" t="n">
        <f aca="false">IF(G184="","",G184*R184)</f>
        <v>1.7238286</v>
      </c>
      <c r="T184" s="15" t="n">
        <f aca="false">IF(H184="","",H184*R184)</f>
        <v>2.849598</v>
      </c>
      <c r="U184" s="15" t="n">
        <f aca="false">IF(I184="","",I184*R184)</f>
        <v>3.9753674</v>
      </c>
      <c r="V184" s="5" t="s">
        <v>321</v>
      </c>
      <c r="W184" s="5" t="s">
        <v>70</v>
      </c>
      <c r="X184" s="5" t="s">
        <v>198</v>
      </c>
    </row>
    <row r="185" customFormat="false" ht="15" hidden="false" customHeight="false" outlineLevel="0" collapsed="false">
      <c r="A185" s="5" t="s">
        <v>401</v>
      </c>
      <c r="B185" s="5" t="s">
        <v>64</v>
      </c>
      <c r="C185" s="5" t="s">
        <v>118</v>
      </c>
      <c r="D185" s="5" t="s">
        <v>192</v>
      </c>
      <c r="E185" s="5" t="s">
        <v>320</v>
      </c>
      <c r="F185" s="5" t="s">
        <v>206</v>
      </c>
      <c r="G185" s="15" t="n">
        <v>1.5010293</v>
      </c>
      <c r="H185" s="15" t="n">
        <v>2.5857532</v>
      </c>
      <c r="I185" s="15" t="n">
        <v>3.6704771</v>
      </c>
      <c r="J185" s="5" t="s">
        <v>321</v>
      </c>
      <c r="K185" s="5" t="n">
        <v>2045</v>
      </c>
      <c r="L185" s="5" t="str">
        <f aca="false">IF(AND(K185&gt;=Hypothèses!$B$9,K185&lt;=Hypothèses!$B$10),"actuel",IF(K185=2030,"2030",IF(K185=2050,"2050","autre")))</f>
        <v>autre</v>
      </c>
      <c r="M185" s="5"/>
      <c r="N185" s="5" t="s">
        <v>196</v>
      </c>
      <c r="O185" s="5"/>
      <c r="P185" s="5" t="s">
        <v>300</v>
      </c>
      <c r="Q185" s="5" t="s">
        <v>45</v>
      </c>
      <c r="R185" s="12" t="n">
        <f aca="false">INDEX(Hypothèses!$B$14:$B$17,MATCH(Q185,Hypothèses!$A$14:$A$17,0))</f>
        <v>1</v>
      </c>
      <c r="S185" s="15" t="n">
        <f aca="false">IF(G185="","",G185*R185)</f>
        <v>1.5010293</v>
      </c>
      <c r="T185" s="15" t="n">
        <f aca="false">IF(H185="","",H185*R185)</f>
        <v>2.5857532</v>
      </c>
      <c r="U185" s="15" t="n">
        <f aca="false">IF(I185="","",I185*R185)</f>
        <v>3.6704771</v>
      </c>
      <c r="V185" s="5" t="s">
        <v>321</v>
      </c>
      <c r="W185" s="5" t="s">
        <v>70</v>
      </c>
      <c r="X185" s="5" t="s">
        <v>198</v>
      </c>
    </row>
    <row r="186" customFormat="false" ht="15" hidden="false" customHeight="false" outlineLevel="0" collapsed="false">
      <c r="A186" s="5" t="s">
        <v>402</v>
      </c>
      <c r="B186" s="5" t="s">
        <v>64</v>
      </c>
      <c r="C186" s="5" t="s">
        <v>118</v>
      </c>
      <c r="D186" s="5" t="s">
        <v>192</v>
      </c>
      <c r="E186" s="5" t="s">
        <v>320</v>
      </c>
      <c r="F186" s="5" t="s">
        <v>206</v>
      </c>
      <c r="G186" s="15" t="n">
        <v>1.3603004</v>
      </c>
      <c r="H186" s="15" t="n">
        <v>2.35707775</v>
      </c>
      <c r="I186" s="15" t="n">
        <v>3.3538551</v>
      </c>
      <c r="J186" s="5" t="s">
        <v>321</v>
      </c>
      <c r="K186" s="5" t="n">
        <v>2050</v>
      </c>
      <c r="L186" s="5" t="str">
        <f aca="false">IF(AND(K186&gt;=Hypothèses!$B$9,K186&lt;=Hypothèses!$B$10),"actuel",IF(K186=2030,"2030",IF(K186=2050,"2050","autre")))</f>
        <v>2050</v>
      </c>
      <c r="M186" s="5"/>
      <c r="N186" s="5" t="s">
        <v>196</v>
      </c>
      <c r="O186" s="5"/>
      <c r="P186" s="5" t="s">
        <v>300</v>
      </c>
      <c r="Q186" s="5" t="s">
        <v>45</v>
      </c>
      <c r="R186" s="12" t="n">
        <f aca="false">INDEX(Hypothèses!$B$14:$B$17,MATCH(Q186,Hypothèses!$A$14:$A$17,0))</f>
        <v>1</v>
      </c>
      <c r="S186" s="15" t="n">
        <f aca="false">IF(G186="","",G186*R186)</f>
        <v>1.3603004</v>
      </c>
      <c r="T186" s="15" t="n">
        <f aca="false">IF(H186="","",H186*R186)</f>
        <v>2.35707775</v>
      </c>
      <c r="U186" s="15" t="n">
        <f aca="false">IF(I186="","",I186*R186)</f>
        <v>3.3538551</v>
      </c>
      <c r="V186" s="5" t="s">
        <v>321</v>
      </c>
      <c r="W186" s="5" t="s">
        <v>70</v>
      </c>
      <c r="X186" s="5" t="s">
        <v>198</v>
      </c>
    </row>
    <row r="187" customFormat="false" ht="15" hidden="false" customHeight="false" outlineLevel="0" collapsed="false">
      <c r="A187" s="5" t="s">
        <v>403</v>
      </c>
      <c r="B187" s="5" t="s">
        <v>64</v>
      </c>
      <c r="C187" s="5" t="s">
        <v>130</v>
      </c>
      <c r="D187" s="5" t="s">
        <v>192</v>
      </c>
      <c r="E187" s="5" t="s">
        <v>320</v>
      </c>
      <c r="F187" s="5" t="s">
        <v>206</v>
      </c>
      <c r="G187" s="15"/>
      <c r="H187" s="15" t="n">
        <v>6.2301087996</v>
      </c>
      <c r="I187" s="15"/>
      <c r="J187" s="5" t="s">
        <v>321</v>
      </c>
      <c r="K187" s="5" t="n">
        <v>2025</v>
      </c>
      <c r="L187" s="5" t="str">
        <f aca="false">IF(AND(K187&gt;=Hypothèses!$B$9,K187&lt;=Hypothèses!$B$10),"actuel",IF(K187=2030,"2030",IF(K187=2050,"2050","autre")))</f>
        <v>actuel</v>
      </c>
      <c r="M187" s="5"/>
      <c r="N187" s="5" t="s">
        <v>196</v>
      </c>
      <c r="O187" s="5"/>
      <c r="P187" s="5" t="s">
        <v>308</v>
      </c>
      <c r="Q187" s="5" t="s">
        <v>45</v>
      </c>
      <c r="R187" s="12" t="n">
        <f aca="false">INDEX(Hypothèses!$B$14:$B$17,MATCH(Q187,Hypothèses!$A$14:$A$17,0))</f>
        <v>1</v>
      </c>
      <c r="S187" s="15" t="str">
        <f aca="false">IF(G187="","",G187*R187)</f>
        <v/>
      </c>
      <c r="T187" s="15" t="n">
        <f aca="false">IF(H187="","",H187*R187)</f>
        <v>6.2301087996</v>
      </c>
      <c r="U187" s="15" t="str">
        <f aca="false">IF(I187="","",I187*R187)</f>
        <v/>
      </c>
      <c r="V187" s="5" t="s">
        <v>321</v>
      </c>
      <c r="W187" s="5" t="s">
        <v>70</v>
      </c>
      <c r="X187" s="5" t="s">
        <v>198</v>
      </c>
    </row>
    <row r="188" customFormat="false" ht="15" hidden="false" customHeight="false" outlineLevel="0" collapsed="false">
      <c r="A188" s="5" t="s">
        <v>404</v>
      </c>
      <c r="B188" s="5" t="s">
        <v>64</v>
      </c>
      <c r="C188" s="5" t="s">
        <v>130</v>
      </c>
      <c r="D188" s="5" t="s">
        <v>192</v>
      </c>
      <c r="E188" s="5" t="s">
        <v>320</v>
      </c>
      <c r="F188" s="5" t="s">
        <v>206</v>
      </c>
      <c r="G188" s="15"/>
      <c r="H188" s="15" t="n">
        <v>5.10419128766</v>
      </c>
      <c r="I188" s="15"/>
      <c r="J188" s="5" t="s">
        <v>321</v>
      </c>
      <c r="K188" s="5" t="n">
        <v>2030</v>
      </c>
      <c r="L188" s="5" t="str">
        <f aca="false">IF(AND(K188&gt;=Hypothèses!$B$9,K188&lt;=Hypothèses!$B$10),"actuel",IF(K188=2030,"2030",IF(K188=2050,"2050","autre")))</f>
        <v>2030</v>
      </c>
      <c r="M188" s="5"/>
      <c r="N188" s="5" t="s">
        <v>196</v>
      </c>
      <c r="O188" s="5"/>
      <c r="P188" s="5" t="s">
        <v>308</v>
      </c>
      <c r="Q188" s="5" t="s">
        <v>45</v>
      </c>
      <c r="R188" s="12" t="n">
        <f aca="false">INDEX(Hypothèses!$B$14:$B$17,MATCH(Q188,Hypothèses!$A$14:$A$17,0))</f>
        <v>1</v>
      </c>
      <c r="S188" s="15" t="str">
        <f aca="false">IF(G188="","",G188*R188)</f>
        <v/>
      </c>
      <c r="T188" s="15" t="n">
        <f aca="false">IF(H188="","",H188*R188)</f>
        <v>5.10419128766</v>
      </c>
      <c r="U188" s="15" t="str">
        <f aca="false">IF(I188="","",I188*R188)</f>
        <v/>
      </c>
      <c r="V188" s="5" t="s">
        <v>321</v>
      </c>
      <c r="W188" s="5" t="s">
        <v>70</v>
      </c>
      <c r="X188" s="5" t="s">
        <v>198</v>
      </c>
    </row>
    <row r="189" customFormat="false" ht="15" hidden="false" customHeight="false" outlineLevel="0" collapsed="false">
      <c r="A189" s="5" t="s">
        <v>405</v>
      </c>
      <c r="B189" s="5" t="s">
        <v>64</v>
      </c>
      <c r="C189" s="5" t="s">
        <v>130</v>
      </c>
      <c r="D189" s="5" t="s">
        <v>192</v>
      </c>
      <c r="E189" s="5" t="s">
        <v>320</v>
      </c>
      <c r="F189" s="5" t="s">
        <v>206</v>
      </c>
      <c r="G189" s="15"/>
      <c r="H189" s="15" t="n">
        <v>4.6701890848</v>
      </c>
      <c r="I189" s="15"/>
      <c r="J189" s="5" t="s">
        <v>321</v>
      </c>
      <c r="K189" s="5" t="n">
        <v>2035</v>
      </c>
      <c r="L189" s="5" t="str">
        <f aca="false">IF(AND(K189&gt;=Hypothèses!$B$9,K189&lt;=Hypothèses!$B$10),"actuel",IF(K189=2030,"2030",IF(K189=2050,"2050","autre")))</f>
        <v>autre</v>
      </c>
      <c r="M189" s="5"/>
      <c r="N189" s="5" t="s">
        <v>196</v>
      </c>
      <c r="O189" s="5"/>
      <c r="P189" s="5" t="s">
        <v>308</v>
      </c>
      <c r="Q189" s="5" t="s">
        <v>45</v>
      </c>
      <c r="R189" s="12" t="n">
        <f aca="false">INDEX(Hypothèses!$B$14:$B$17,MATCH(Q189,Hypothèses!$A$14:$A$17,0))</f>
        <v>1</v>
      </c>
      <c r="S189" s="15" t="str">
        <f aca="false">IF(G189="","",G189*R189)</f>
        <v/>
      </c>
      <c r="T189" s="15" t="n">
        <f aca="false">IF(H189="","",H189*R189)</f>
        <v>4.6701890848</v>
      </c>
      <c r="U189" s="15" t="str">
        <f aca="false">IF(I189="","",I189*R189)</f>
        <v/>
      </c>
      <c r="V189" s="5" t="s">
        <v>321</v>
      </c>
      <c r="W189" s="5" t="s">
        <v>70</v>
      </c>
      <c r="X189" s="5" t="s">
        <v>198</v>
      </c>
    </row>
    <row r="190" customFormat="false" ht="15" hidden="false" customHeight="false" outlineLevel="0" collapsed="false">
      <c r="A190" s="5" t="s">
        <v>406</v>
      </c>
      <c r="B190" s="5" t="s">
        <v>64</v>
      </c>
      <c r="C190" s="5" t="s">
        <v>130</v>
      </c>
      <c r="D190" s="5" t="s">
        <v>192</v>
      </c>
      <c r="E190" s="5" t="s">
        <v>320</v>
      </c>
      <c r="F190" s="5" t="s">
        <v>206</v>
      </c>
      <c r="G190" s="15"/>
      <c r="H190" s="15" t="n">
        <v>4.31801089152</v>
      </c>
      <c r="I190" s="15"/>
      <c r="J190" s="5" t="s">
        <v>321</v>
      </c>
      <c r="K190" s="5" t="n">
        <v>2040</v>
      </c>
      <c r="L190" s="5" t="str">
        <f aca="false">IF(AND(K190&gt;=Hypothèses!$B$9,K190&lt;=Hypothèses!$B$10),"actuel",IF(K190=2030,"2030",IF(K190=2050,"2050","autre")))</f>
        <v>autre</v>
      </c>
      <c r="M190" s="5"/>
      <c r="N190" s="5" t="s">
        <v>196</v>
      </c>
      <c r="O190" s="5"/>
      <c r="P190" s="5" t="s">
        <v>308</v>
      </c>
      <c r="Q190" s="5" t="s">
        <v>45</v>
      </c>
      <c r="R190" s="12" t="n">
        <f aca="false">INDEX(Hypothèses!$B$14:$B$17,MATCH(Q190,Hypothèses!$A$14:$A$17,0))</f>
        <v>1</v>
      </c>
      <c r="S190" s="15" t="str">
        <f aca="false">IF(G190="","",G190*R190)</f>
        <v/>
      </c>
      <c r="T190" s="15" t="n">
        <f aca="false">IF(H190="","",H190*R190)</f>
        <v>4.31801089152</v>
      </c>
      <c r="U190" s="15" t="str">
        <f aca="false">IF(I190="","",I190*R190)</f>
        <v/>
      </c>
      <c r="V190" s="5" t="s">
        <v>321</v>
      </c>
      <c r="W190" s="5" t="s">
        <v>70</v>
      </c>
      <c r="X190" s="5" t="s">
        <v>198</v>
      </c>
    </row>
    <row r="191" customFormat="false" ht="15" hidden="false" customHeight="false" outlineLevel="0" collapsed="false">
      <c r="A191" s="5" t="s">
        <v>407</v>
      </c>
      <c r="B191" s="5" t="s">
        <v>64</v>
      </c>
      <c r="C191" s="5" t="s">
        <v>130</v>
      </c>
      <c r="D191" s="5" t="s">
        <v>192</v>
      </c>
      <c r="E191" s="5" t="s">
        <v>320</v>
      </c>
      <c r="F191" s="5" t="s">
        <v>206</v>
      </c>
      <c r="G191" s="15"/>
      <c r="H191" s="15" t="n">
        <v>4.29265023358</v>
      </c>
      <c r="I191" s="15"/>
      <c r="J191" s="5" t="s">
        <v>321</v>
      </c>
      <c r="K191" s="5" t="n">
        <v>2045</v>
      </c>
      <c r="L191" s="5" t="str">
        <f aca="false">IF(AND(K191&gt;=Hypothèses!$B$9,K191&lt;=Hypothèses!$B$10),"actuel",IF(K191=2030,"2030",IF(K191=2050,"2050","autre")))</f>
        <v>autre</v>
      </c>
      <c r="M191" s="5"/>
      <c r="N191" s="5" t="s">
        <v>196</v>
      </c>
      <c r="O191" s="5"/>
      <c r="P191" s="5" t="s">
        <v>308</v>
      </c>
      <c r="Q191" s="5" t="s">
        <v>45</v>
      </c>
      <c r="R191" s="12" t="n">
        <f aca="false">INDEX(Hypothèses!$B$14:$B$17,MATCH(Q191,Hypothèses!$A$14:$A$17,0))</f>
        <v>1</v>
      </c>
      <c r="S191" s="15" t="str">
        <f aca="false">IF(G191="","",G191*R191)</f>
        <v/>
      </c>
      <c r="T191" s="15" t="n">
        <f aca="false">IF(H191="","",H191*R191)</f>
        <v>4.29265023358</v>
      </c>
      <c r="U191" s="15" t="str">
        <f aca="false">IF(I191="","",I191*R191)</f>
        <v/>
      </c>
      <c r="V191" s="5" t="s">
        <v>321</v>
      </c>
      <c r="W191" s="5" t="s">
        <v>70</v>
      </c>
      <c r="X191" s="5" t="s">
        <v>198</v>
      </c>
    </row>
    <row r="192" customFormat="false" ht="15" hidden="false" customHeight="false" outlineLevel="0" collapsed="false">
      <c r="A192" s="5" t="s">
        <v>408</v>
      </c>
      <c r="B192" s="5" t="s">
        <v>64</v>
      </c>
      <c r="C192" s="5" t="s">
        <v>130</v>
      </c>
      <c r="D192" s="5" t="s">
        <v>192</v>
      </c>
      <c r="E192" s="5" t="s">
        <v>320</v>
      </c>
      <c r="F192" s="5" t="s">
        <v>206</v>
      </c>
      <c r="G192" s="15"/>
      <c r="H192" s="15" t="n">
        <v>4.25102047432</v>
      </c>
      <c r="I192" s="15"/>
      <c r="J192" s="5" t="s">
        <v>321</v>
      </c>
      <c r="K192" s="5" t="n">
        <v>2050</v>
      </c>
      <c r="L192" s="5" t="str">
        <f aca="false">IF(AND(K192&gt;=Hypothèses!$B$9,K192&lt;=Hypothèses!$B$10),"actuel",IF(K192=2030,"2030",IF(K192=2050,"2050","autre")))</f>
        <v>2050</v>
      </c>
      <c r="M192" s="5"/>
      <c r="N192" s="5" t="s">
        <v>196</v>
      </c>
      <c r="O192" s="5"/>
      <c r="P192" s="5" t="s">
        <v>308</v>
      </c>
      <c r="Q192" s="5" t="s">
        <v>45</v>
      </c>
      <c r="R192" s="12" t="n">
        <f aca="false">INDEX(Hypothèses!$B$14:$B$17,MATCH(Q192,Hypothèses!$A$14:$A$17,0))</f>
        <v>1</v>
      </c>
      <c r="S192" s="15" t="str">
        <f aca="false">IF(G192="","",G192*R192)</f>
        <v/>
      </c>
      <c r="T192" s="15" t="n">
        <f aca="false">IF(H192="","",H192*R192)</f>
        <v>4.25102047432</v>
      </c>
      <c r="U192" s="15" t="str">
        <f aca="false">IF(I192="","",I192*R192)</f>
        <v/>
      </c>
      <c r="V192" s="5" t="s">
        <v>321</v>
      </c>
      <c r="W192" s="5" t="s">
        <v>70</v>
      </c>
      <c r="X192" s="5" t="s">
        <v>198</v>
      </c>
    </row>
    <row r="193" customFormat="false" ht="15" hidden="false" customHeight="false" outlineLevel="0" collapsed="false">
      <c r="A193" s="5" t="s">
        <v>409</v>
      </c>
      <c r="B193" s="5" t="s">
        <v>64</v>
      </c>
      <c r="C193" s="5" t="s">
        <v>132</v>
      </c>
      <c r="D193" s="5" t="s">
        <v>192</v>
      </c>
      <c r="E193" s="5" t="s">
        <v>320</v>
      </c>
      <c r="F193" s="5" t="s">
        <v>206</v>
      </c>
      <c r="G193" s="15" t="n">
        <v>1.58461538461539</v>
      </c>
      <c r="H193" s="15" t="n">
        <v>2.12932692307692</v>
      </c>
      <c r="I193" s="15" t="n">
        <v>2.67403846153846</v>
      </c>
      <c r="J193" s="5" t="s">
        <v>321</v>
      </c>
      <c r="K193" s="5" t="n">
        <v>2021</v>
      </c>
      <c r="L193" s="5" t="str">
        <f aca="false">IF(AND(K193&gt;=Hypothèses!$B$9,K193&lt;=Hypothèses!$B$10),"actuel",IF(K193=2030,"2030",IF(K193=2050,"2050","autre")))</f>
        <v>actuel</v>
      </c>
      <c r="M193" s="5"/>
      <c r="N193" s="5" t="s">
        <v>196</v>
      </c>
      <c r="O193" s="5"/>
      <c r="P193" s="5" t="s">
        <v>316</v>
      </c>
      <c r="Q193" s="5" t="s">
        <v>45</v>
      </c>
      <c r="R193" s="12" t="n">
        <f aca="false">INDEX(Hypothèses!$B$14:$B$17,MATCH(Q193,Hypothèses!$A$14:$A$17,0))</f>
        <v>1</v>
      </c>
      <c r="S193" s="15" t="n">
        <f aca="false">IF(G193="","",G193*R193)</f>
        <v>1.58461538461539</v>
      </c>
      <c r="T193" s="15" t="n">
        <f aca="false">IF(H193="","",H193*R193)</f>
        <v>2.12932692307692</v>
      </c>
      <c r="U193" s="15" t="n">
        <f aca="false">IF(I193="","",I193*R193)</f>
        <v>2.67403846153846</v>
      </c>
      <c r="V193" s="5" t="s">
        <v>321</v>
      </c>
      <c r="W193" s="5" t="s">
        <v>70</v>
      </c>
      <c r="X193" s="5" t="s">
        <v>198</v>
      </c>
    </row>
    <row r="194" customFormat="false" ht="15" hidden="false" customHeight="false" outlineLevel="0" collapsed="false">
      <c r="A194" s="5" t="s">
        <v>410</v>
      </c>
      <c r="B194" s="5" t="s">
        <v>64</v>
      </c>
      <c r="C194" s="5" t="s">
        <v>132</v>
      </c>
      <c r="D194" s="5" t="s">
        <v>192</v>
      </c>
      <c r="E194" s="5" t="s">
        <v>320</v>
      </c>
      <c r="F194" s="5" t="s">
        <v>206</v>
      </c>
      <c r="G194" s="15" t="n">
        <v>0.990384615384615</v>
      </c>
      <c r="H194" s="15" t="n">
        <v>1.38653846153846</v>
      </c>
      <c r="I194" s="15" t="n">
        <v>1.78269230769231</v>
      </c>
      <c r="J194" s="5" t="s">
        <v>321</v>
      </c>
      <c r="K194" s="5" t="n">
        <v>2030</v>
      </c>
      <c r="L194" s="5" t="str">
        <f aca="false">IF(AND(K194&gt;=Hypothèses!$B$9,K194&lt;=Hypothèses!$B$10),"actuel",IF(K194=2030,"2030",IF(K194=2050,"2050","autre")))</f>
        <v>2030</v>
      </c>
      <c r="M194" s="5"/>
      <c r="N194" s="5" t="s">
        <v>196</v>
      </c>
      <c r="O194" s="5"/>
      <c r="P194" s="5" t="s">
        <v>316</v>
      </c>
      <c r="Q194" s="5" t="s">
        <v>45</v>
      </c>
      <c r="R194" s="12" t="n">
        <f aca="false">INDEX(Hypothèses!$B$14:$B$17,MATCH(Q194,Hypothèses!$A$14:$A$17,0))</f>
        <v>1</v>
      </c>
      <c r="S194" s="15" t="n">
        <f aca="false">IF(G194="","",G194*R194)</f>
        <v>0.990384615384615</v>
      </c>
      <c r="T194" s="15" t="n">
        <f aca="false">IF(H194="","",H194*R194)</f>
        <v>1.38653846153846</v>
      </c>
      <c r="U194" s="15" t="n">
        <f aca="false">IF(I194="","",I194*R194)</f>
        <v>1.78269230769231</v>
      </c>
      <c r="V194" s="5" t="s">
        <v>321</v>
      </c>
      <c r="W194" s="5" t="s">
        <v>70</v>
      </c>
      <c r="X194" s="5" t="s">
        <v>198</v>
      </c>
    </row>
    <row r="195" customFormat="false" ht="15" hidden="false" customHeight="false" outlineLevel="0" collapsed="false">
      <c r="A195" s="5" t="s">
        <v>411</v>
      </c>
      <c r="B195" s="5" t="s">
        <v>64</v>
      </c>
      <c r="C195" s="5" t="s">
        <v>132</v>
      </c>
      <c r="D195" s="5" t="s">
        <v>192</v>
      </c>
      <c r="E195" s="5" t="s">
        <v>320</v>
      </c>
      <c r="F195" s="5" t="s">
        <v>206</v>
      </c>
      <c r="G195" s="15" t="n">
        <v>0.495192307692308</v>
      </c>
      <c r="H195" s="15" t="n">
        <v>0.693269230769231</v>
      </c>
      <c r="I195" s="15" t="n">
        <v>0.891346153846154</v>
      </c>
      <c r="J195" s="5" t="s">
        <v>321</v>
      </c>
      <c r="K195" s="5" t="n">
        <v>2050</v>
      </c>
      <c r="L195" s="5" t="str">
        <f aca="false">IF(AND(K195&gt;=Hypothèses!$B$9,K195&lt;=Hypothèses!$B$10),"actuel",IF(K195=2030,"2030",IF(K195=2050,"2050","autre")))</f>
        <v>2050</v>
      </c>
      <c r="M195" s="5"/>
      <c r="N195" s="5" t="s">
        <v>196</v>
      </c>
      <c r="O195" s="5"/>
      <c r="P195" s="5" t="s">
        <v>316</v>
      </c>
      <c r="Q195" s="5" t="s">
        <v>45</v>
      </c>
      <c r="R195" s="12" t="n">
        <f aca="false">INDEX(Hypothèses!$B$14:$B$17,MATCH(Q195,Hypothèses!$A$14:$A$17,0))</f>
        <v>1</v>
      </c>
      <c r="S195" s="15" t="n">
        <f aca="false">IF(G195="","",G195*R195)</f>
        <v>0.495192307692308</v>
      </c>
      <c r="T195" s="15" t="n">
        <f aca="false">IF(H195="","",H195*R195)</f>
        <v>0.693269230769231</v>
      </c>
      <c r="U195" s="15" t="n">
        <f aca="false">IF(I195="","",I195*R195)</f>
        <v>0.891346153846154</v>
      </c>
      <c r="V195" s="5" t="s">
        <v>321</v>
      </c>
      <c r="W195" s="5" t="s">
        <v>70</v>
      </c>
      <c r="X195" s="5" t="s">
        <v>198</v>
      </c>
    </row>
    <row r="196" customFormat="false" ht="15" hidden="false" customHeight="false" outlineLevel="0" collapsed="false">
      <c r="A196" s="5" t="s">
        <v>412</v>
      </c>
      <c r="B196" s="5" t="s">
        <v>64</v>
      </c>
      <c r="C196" s="5" t="s">
        <v>63</v>
      </c>
      <c r="D196" s="5" t="s">
        <v>413</v>
      </c>
      <c r="E196" s="5" t="s">
        <v>193</v>
      </c>
      <c r="F196" s="5" t="s">
        <v>194</v>
      </c>
      <c r="G196" s="15"/>
      <c r="H196" s="15" t="n">
        <v>2621.8135</v>
      </c>
      <c r="I196" s="15"/>
      <c r="J196" s="5" t="s">
        <v>195</v>
      </c>
      <c r="K196" s="5" t="n">
        <v>2015</v>
      </c>
      <c r="L196" s="5" t="str">
        <f aca="false">IF(AND(K196&gt;=Hypothèses!$B$9,K196&lt;=Hypothèses!$B$10),"actuel",IF(K196=2030,"2030",IF(K196=2050,"2050","autre")))</f>
        <v>autre</v>
      </c>
      <c r="M196" s="5"/>
      <c r="N196" s="5" t="s">
        <v>196</v>
      </c>
      <c r="O196" s="5"/>
      <c r="P196" s="5" t="s">
        <v>197</v>
      </c>
      <c r="Q196" s="5" t="s">
        <v>45</v>
      </c>
      <c r="R196" s="12" t="n">
        <f aca="false">INDEX(Hypothèses!$B$14:$B$17,MATCH(Q196,Hypothèses!$A$14:$A$17,0))</f>
        <v>1</v>
      </c>
      <c r="S196" s="15" t="str">
        <f aca="false">IF(G196="","",G196*R196)</f>
        <v/>
      </c>
      <c r="T196" s="15" t="n">
        <f aca="false">IF(H196="","",H196*R196)</f>
        <v>2621.8135</v>
      </c>
      <c r="U196" s="15" t="str">
        <f aca="false">IF(I196="","",I196*R196)</f>
        <v/>
      </c>
      <c r="V196" s="5" t="s">
        <v>195</v>
      </c>
      <c r="W196" s="5" t="s">
        <v>70</v>
      </c>
      <c r="X196" s="5" t="s">
        <v>198</v>
      </c>
    </row>
    <row r="197" customFormat="false" ht="15" hidden="false" customHeight="false" outlineLevel="0" collapsed="false">
      <c r="A197" s="5" t="s">
        <v>414</v>
      </c>
      <c r="B197" s="5" t="s">
        <v>64</v>
      </c>
      <c r="C197" s="5" t="s">
        <v>63</v>
      </c>
      <c r="D197" s="5" t="s">
        <v>413</v>
      </c>
      <c r="E197" s="5" t="s">
        <v>193</v>
      </c>
      <c r="F197" s="5" t="s">
        <v>194</v>
      </c>
      <c r="G197" s="15"/>
      <c r="H197" s="15" t="n">
        <v>1920.8058</v>
      </c>
      <c r="I197" s="15"/>
      <c r="J197" s="5" t="s">
        <v>195</v>
      </c>
      <c r="K197" s="5" t="n">
        <v>2016</v>
      </c>
      <c r="L197" s="5" t="str">
        <f aca="false">IF(AND(K197&gt;=Hypothèses!$B$9,K197&lt;=Hypothèses!$B$10),"actuel",IF(K197=2030,"2030",IF(K197=2050,"2050","autre")))</f>
        <v>autre</v>
      </c>
      <c r="M197" s="5"/>
      <c r="N197" s="5" t="s">
        <v>196</v>
      </c>
      <c r="O197" s="5"/>
      <c r="P197" s="5" t="s">
        <v>197</v>
      </c>
      <c r="Q197" s="5" t="s">
        <v>45</v>
      </c>
      <c r="R197" s="12" t="n">
        <f aca="false">INDEX(Hypothèses!$B$14:$B$17,MATCH(Q197,Hypothèses!$A$14:$A$17,0))</f>
        <v>1</v>
      </c>
      <c r="S197" s="15" t="str">
        <f aca="false">IF(G197="","",G197*R197)</f>
        <v/>
      </c>
      <c r="T197" s="15" t="n">
        <f aca="false">IF(H197="","",H197*R197)</f>
        <v>1920.8058</v>
      </c>
      <c r="U197" s="15" t="str">
        <f aca="false">IF(I197="","",I197*R197)</f>
        <v/>
      </c>
      <c r="V197" s="5" t="s">
        <v>195</v>
      </c>
      <c r="W197" s="5" t="s">
        <v>70</v>
      </c>
      <c r="X197" s="5" t="s">
        <v>198</v>
      </c>
    </row>
    <row r="198" customFormat="false" ht="15" hidden="false" customHeight="false" outlineLevel="0" collapsed="false">
      <c r="A198" s="5" t="s">
        <v>415</v>
      </c>
      <c r="B198" s="5" t="s">
        <v>64</v>
      </c>
      <c r="C198" s="5" t="s">
        <v>63</v>
      </c>
      <c r="D198" s="5" t="s">
        <v>413</v>
      </c>
      <c r="E198" s="5" t="s">
        <v>193</v>
      </c>
      <c r="F198" s="5" t="s">
        <v>194</v>
      </c>
      <c r="G198" s="15"/>
      <c r="H198" s="15" t="n">
        <v>1670.2686</v>
      </c>
      <c r="I198" s="15"/>
      <c r="J198" s="5" t="s">
        <v>195</v>
      </c>
      <c r="K198" s="5" t="n">
        <v>2017</v>
      </c>
      <c r="L198" s="5" t="str">
        <f aca="false">IF(AND(K198&gt;=Hypothèses!$B$9,K198&lt;=Hypothèses!$B$10),"actuel",IF(K198=2030,"2030",IF(K198=2050,"2050","autre")))</f>
        <v>autre</v>
      </c>
      <c r="M198" s="5"/>
      <c r="N198" s="5" t="s">
        <v>196</v>
      </c>
      <c r="O198" s="5"/>
      <c r="P198" s="5" t="s">
        <v>197</v>
      </c>
      <c r="Q198" s="5" t="s">
        <v>45</v>
      </c>
      <c r="R198" s="12" t="n">
        <f aca="false">INDEX(Hypothèses!$B$14:$B$17,MATCH(Q198,Hypothèses!$A$14:$A$17,0))</f>
        <v>1</v>
      </c>
      <c r="S198" s="15" t="str">
        <f aca="false">IF(G198="","",G198*R198)</f>
        <v/>
      </c>
      <c r="T198" s="15" t="n">
        <f aca="false">IF(H198="","",H198*R198)</f>
        <v>1670.2686</v>
      </c>
      <c r="U198" s="15" t="str">
        <f aca="false">IF(I198="","",I198*R198)</f>
        <v/>
      </c>
      <c r="V198" s="5" t="s">
        <v>195</v>
      </c>
      <c r="W198" s="5" t="s">
        <v>70</v>
      </c>
      <c r="X198" s="5" t="s">
        <v>198</v>
      </c>
    </row>
    <row r="199" customFormat="false" ht="15" hidden="false" customHeight="false" outlineLevel="0" collapsed="false">
      <c r="A199" s="5" t="s">
        <v>416</v>
      </c>
      <c r="B199" s="5" t="s">
        <v>64</v>
      </c>
      <c r="C199" s="5" t="s">
        <v>63</v>
      </c>
      <c r="D199" s="5" t="s">
        <v>413</v>
      </c>
      <c r="E199" s="5" t="s">
        <v>193</v>
      </c>
      <c r="F199" s="5" t="s">
        <v>194</v>
      </c>
      <c r="G199" s="15"/>
      <c r="H199" s="15" t="n">
        <v>1252.7066</v>
      </c>
      <c r="I199" s="15"/>
      <c r="J199" s="5" t="s">
        <v>195</v>
      </c>
      <c r="K199" s="5" t="n">
        <v>2018</v>
      </c>
      <c r="L199" s="5" t="str">
        <f aca="false">IF(AND(K199&gt;=Hypothèses!$B$9,K199&lt;=Hypothèses!$B$10),"actuel",IF(K199=2030,"2030",IF(K199=2050,"2050","autre")))</f>
        <v>autre</v>
      </c>
      <c r="M199" s="5"/>
      <c r="N199" s="5" t="s">
        <v>196</v>
      </c>
      <c r="O199" s="5"/>
      <c r="P199" s="5" t="s">
        <v>197</v>
      </c>
      <c r="Q199" s="5" t="s">
        <v>45</v>
      </c>
      <c r="R199" s="12" t="n">
        <f aca="false">INDEX(Hypothèses!$B$14:$B$17,MATCH(Q199,Hypothèses!$A$14:$A$17,0))</f>
        <v>1</v>
      </c>
      <c r="S199" s="15" t="str">
        <f aca="false">IF(G199="","",G199*R199)</f>
        <v/>
      </c>
      <c r="T199" s="15" t="n">
        <f aca="false">IF(H199="","",H199*R199)</f>
        <v>1252.7066</v>
      </c>
      <c r="U199" s="15" t="str">
        <f aca="false">IF(I199="","",I199*R199)</f>
        <v/>
      </c>
      <c r="V199" s="5" t="s">
        <v>195</v>
      </c>
      <c r="W199" s="5" t="s">
        <v>70</v>
      </c>
      <c r="X199" s="5" t="s">
        <v>198</v>
      </c>
    </row>
    <row r="200" customFormat="false" ht="15" hidden="false" customHeight="false" outlineLevel="0" collapsed="false">
      <c r="A200" s="5" t="s">
        <v>417</v>
      </c>
      <c r="B200" s="5" t="s">
        <v>64</v>
      </c>
      <c r="C200" s="5" t="s">
        <v>63</v>
      </c>
      <c r="D200" s="5" t="s">
        <v>413</v>
      </c>
      <c r="E200" s="5" t="s">
        <v>193</v>
      </c>
      <c r="F200" s="5" t="s">
        <v>194</v>
      </c>
      <c r="G200" s="15"/>
      <c r="H200" s="15" t="n">
        <v>1217.46</v>
      </c>
      <c r="I200" s="15"/>
      <c r="J200" s="5" t="s">
        <v>195</v>
      </c>
      <c r="K200" s="5" t="n">
        <v>2020</v>
      </c>
      <c r="L200" s="5" t="str">
        <f aca="false">IF(AND(K200&gt;=Hypothèses!$B$9,K200&lt;=Hypothèses!$B$10),"actuel",IF(K200=2030,"2030",IF(K200=2050,"2050","autre")))</f>
        <v>actuel</v>
      </c>
      <c r="M200" s="5"/>
      <c r="N200" s="5" t="s">
        <v>196</v>
      </c>
      <c r="O200" s="5"/>
      <c r="P200" s="5" t="s">
        <v>197</v>
      </c>
      <c r="Q200" s="5" t="s">
        <v>45</v>
      </c>
      <c r="R200" s="12" t="n">
        <f aca="false">INDEX(Hypothèses!$B$14:$B$17,MATCH(Q200,Hypothèses!$A$14:$A$17,0))</f>
        <v>1</v>
      </c>
      <c r="S200" s="15" t="str">
        <f aca="false">IF(G200="","",G200*R200)</f>
        <v/>
      </c>
      <c r="T200" s="15" t="n">
        <f aca="false">IF(H200="","",H200*R200)</f>
        <v>1217.46</v>
      </c>
      <c r="U200" s="15" t="str">
        <f aca="false">IF(I200="","",I200*R200)</f>
        <v/>
      </c>
      <c r="V200" s="5" t="s">
        <v>195</v>
      </c>
      <c r="W200" s="5" t="s">
        <v>70</v>
      </c>
      <c r="X200" s="5" t="s">
        <v>198</v>
      </c>
    </row>
    <row r="201" customFormat="false" ht="15" hidden="false" customHeight="false" outlineLevel="0" collapsed="false">
      <c r="A201" s="5" t="s">
        <v>418</v>
      </c>
      <c r="B201" s="5" t="s">
        <v>64</v>
      </c>
      <c r="C201" s="5" t="s">
        <v>63</v>
      </c>
      <c r="D201" s="5" t="s">
        <v>413</v>
      </c>
      <c r="E201" s="5" t="s">
        <v>193</v>
      </c>
      <c r="F201" s="5" t="s">
        <v>194</v>
      </c>
      <c r="G201" s="15"/>
      <c r="H201" s="15" t="n">
        <v>992.2299</v>
      </c>
      <c r="I201" s="15"/>
      <c r="J201" s="5" t="s">
        <v>195</v>
      </c>
      <c r="K201" s="5" t="n">
        <v>2021</v>
      </c>
      <c r="L201" s="5" t="str">
        <f aca="false">IF(AND(K201&gt;=Hypothèses!$B$9,K201&lt;=Hypothèses!$B$10),"actuel",IF(K201=2030,"2030",IF(K201=2050,"2050","autre")))</f>
        <v>actuel</v>
      </c>
      <c r="M201" s="5"/>
      <c r="N201" s="5" t="s">
        <v>196</v>
      </c>
      <c r="O201" s="5"/>
      <c r="P201" s="5" t="s">
        <v>197</v>
      </c>
      <c r="Q201" s="5" t="s">
        <v>45</v>
      </c>
      <c r="R201" s="12" t="n">
        <f aca="false">INDEX(Hypothèses!$B$14:$B$17,MATCH(Q201,Hypothèses!$A$14:$A$17,0))</f>
        <v>1</v>
      </c>
      <c r="S201" s="15" t="str">
        <f aca="false">IF(G201="","",G201*R201)</f>
        <v/>
      </c>
      <c r="T201" s="15" t="n">
        <f aca="false">IF(H201="","",H201*R201)</f>
        <v>992.2299</v>
      </c>
      <c r="U201" s="15" t="str">
        <f aca="false">IF(I201="","",I201*R201)</f>
        <v/>
      </c>
      <c r="V201" s="5" t="s">
        <v>195</v>
      </c>
      <c r="W201" s="5" t="s">
        <v>70</v>
      </c>
      <c r="X201" s="5" t="s">
        <v>198</v>
      </c>
    </row>
    <row r="202" customFormat="false" ht="15" hidden="false" customHeight="false" outlineLevel="0" collapsed="false">
      <c r="A202" s="5" t="s">
        <v>419</v>
      </c>
      <c r="B202" s="5" t="s">
        <v>64</v>
      </c>
      <c r="C202" s="5" t="s">
        <v>63</v>
      </c>
      <c r="D202" s="5" t="s">
        <v>413</v>
      </c>
      <c r="E202" s="5" t="s">
        <v>193</v>
      </c>
      <c r="F202" s="5" t="s">
        <v>194</v>
      </c>
      <c r="G202" s="15" t="n">
        <v>511.704</v>
      </c>
      <c r="H202" s="15" t="n">
        <v>1234.764</v>
      </c>
      <c r="I202" s="15" t="n">
        <v>2769.876</v>
      </c>
      <c r="J202" s="5" t="s">
        <v>195</v>
      </c>
      <c r="K202" s="5" t="n">
        <v>2022</v>
      </c>
      <c r="L202" s="5" t="str">
        <f aca="false">IF(AND(K202&gt;=Hypothèses!$B$9,K202&lt;=Hypothèses!$B$10),"actuel",IF(K202=2030,"2030",IF(K202=2050,"2050","autre")))</f>
        <v>actuel</v>
      </c>
      <c r="M202" s="5"/>
      <c r="N202" s="5" t="s">
        <v>196</v>
      </c>
      <c r="O202" s="5"/>
      <c r="P202" s="5" t="s">
        <v>197</v>
      </c>
      <c r="Q202" s="5" t="s">
        <v>45</v>
      </c>
      <c r="R202" s="12" t="n">
        <f aca="false">INDEX(Hypothèses!$B$14:$B$17,MATCH(Q202,Hypothèses!$A$14:$A$17,0))</f>
        <v>1</v>
      </c>
      <c r="S202" s="15" t="n">
        <f aca="false">IF(G202="","",G202*R202)</f>
        <v>511.704</v>
      </c>
      <c r="T202" s="15" t="n">
        <f aca="false">IF(H202="","",H202*R202)</f>
        <v>1234.764</v>
      </c>
      <c r="U202" s="15" t="n">
        <f aca="false">IF(I202="","",I202*R202)</f>
        <v>2769.876</v>
      </c>
      <c r="V202" s="5" t="s">
        <v>195</v>
      </c>
      <c r="W202" s="5" t="s">
        <v>70</v>
      </c>
      <c r="X202" s="5" t="s">
        <v>198</v>
      </c>
    </row>
    <row r="203" customFormat="false" ht="15" hidden="false" customHeight="false" outlineLevel="0" collapsed="false">
      <c r="A203" s="5" t="s">
        <v>420</v>
      </c>
      <c r="B203" s="5" t="s">
        <v>64</v>
      </c>
      <c r="C203" s="5" t="s">
        <v>63</v>
      </c>
      <c r="D203" s="5" t="s">
        <v>413</v>
      </c>
      <c r="E203" s="5" t="s">
        <v>193</v>
      </c>
      <c r="F203" s="5" t="s">
        <v>194</v>
      </c>
      <c r="G203" s="15" t="n">
        <v>1010.1416</v>
      </c>
      <c r="H203" s="15" t="n">
        <v>1718.2048</v>
      </c>
      <c r="I203" s="15" t="n">
        <v>2426.268</v>
      </c>
      <c r="J203" s="5" t="s">
        <v>195</v>
      </c>
      <c r="K203" s="5" t="n">
        <v>2023</v>
      </c>
      <c r="L203" s="5" t="str">
        <f aca="false">IF(AND(K203&gt;=Hypothèses!$B$9,K203&lt;=Hypothèses!$B$10),"actuel",IF(K203=2030,"2030",IF(K203=2050,"2050","autre")))</f>
        <v>actuel</v>
      </c>
      <c r="M203" s="5"/>
      <c r="N203" s="5" t="s">
        <v>196</v>
      </c>
      <c r="O203" s="5"/>
      <c r="P203" s="5" t="s">
        <v>197</v>
      </c>
      <c r="Q203" s="5" t="s">
        <v>45</v>
      </c>
      <c r="R203" s="12" t="n">
        <f aca="false">INDEX(Hypothèses!$B$14:$B$17,MATCH(Q203,Hypothèses!$A$14:$A$17,0))</f>
        <v>1</v>
      </c>
      <c r="S203" s="15" t="n">
        <f aca="false">IF(G203="","",G203*R203)</f>
        <v>1010.1416</v>
      </c>
      <c r="T203" s="15" t="n">
        <f aca="false">IF(H203="","",H203*R203)</f>
        <v>1718.2048</v>
      </c>
      <c r="U203" s="15" t="n">
        <f aca="false">IF(I203="","",I203*R203)</f>
        <v>2426.268</v>
      </c>
      <c r="V203" s="5" t="s">
        <v>195</v>
      </c>
      <c r="W203" s="5" t="s">
        <v>70</v>
      </c>
      <c r="X203" s="5" t="s">
        <v>198</v>
      </c>
    </row>
    <row r="204" customFormat="false" ht="15" hidden="false" customHeight="false" outlineLevel="0" collapsed="false">
      <c r="A204" s="5" t="s">
        <v>421</v>
      </c>
      <c r="B204" s="5" t="s">
        <v>64</v>
      </c>
      <c r="C204" s="5" t="s">
        <v>78</v>
      </c>
      <c r="D204" s="5" t="s">
        <v>413</v>
      </c>
      <c r="E204" s="5" t="s">
        <v>193</v>
      </c>
      <c r="F204" s="5" t="s">
        <v>206</v>
      </c>
      <c r="G204" s="15"/>
      <c r="H204" s="15" t="n">
        <v>978.5</v>
      </c>
      <c r="I204" s="15"/>
      <c r="J204" s="5" t="s">
        <v>195</v>
      </c>
      <c r="K204" s="5" t="n">
        <v>2020</v>
      </c>
      <c r="L204" s="5" t="str">
        <f aca="false">IF(AND(K204&gt;=Hypothèses!$B$9,K204&lt;=Hypothèses!$B$10),"actuel",IF(K204=2030,"2030",IF(K204=2050,"2050","autre")))</f>
        <v>actuel</v>
      </c>
      <c r="M204" s="5"/>
      <c r="N204" s="5" t="s">
        <v>196</v>
      </c>
      <c r="O204" s="5"/>
      <c r="P204" s="5" t="s">
        <v>230</v>
      </c>
      <c r="Q204" s="5" t="s">
        <v>45</v>
      </c>
      <c r="R204" s="12" t="n">
        <f aca="false">INDEX(Hypothèses!$B$14:$B$17,MATCH(Q204,Hypothèses!$A$14:$A$17,0))</f>
        <v>1</v>
      </c>
      <c r="S204" s="15" t="str">
        <f aca="false">IF(G204="","",G204*R204)</f>
        <v/>
      </c>
      <c r="T204" s="15" t="n">
        <f aca="false">IF(H204="","",H204*R204)</f>
        <v>978.5</v>
      </c>
      <c r="U204" s="15" t="str">
        <f aca="false">IF(I204="","",I204*R204)</f>
        <v/>
      </c>
      <c r="V204" s="5" t="s">
        <v>195</v>
      </c>
      <c r="W204" s="5" t="s">
        <v>70</v>
      </c>
      <c r="X204" s="5" t="s">
        <v>198</v>
      </c>
    </row>
    <row r="205" customFormat="false" ht="15" hidden="false" customHeight="false" outlineLevel="0" collapsed="false">
      <c r="A205" s="5" t="s">
        <v>422</v>
      </c>
      <c r="B205" s="5" t="s">
        <v>64</v>
      </c>
      <c r="C205" s="5" t="s">
        <v>78</v>
      </c>
      <c r="D205" s="5" t="s">
        <v>413</v>
      </c>
      <c r="E205" s="5" t="s">
        <v>193</v>
      </c>
      <c r="F205" s="5" t="s">
        <v>206</v>
      </c>
      <c r="G205" s="15"/>
      <c r="H205" s="15" t="n">
        <v>643.75</v>
      </c>
      <c r="I205" s="15"/>
      <c r="J205" s="5" t="s">
        <v>195</v>
      </c>
      <c r="K205" s="5" t="n">
        <v>2030</v>
      </c>
      <c r="L205" s="5" t="str">
        <f aca="false">IF(AND(K205&gt;=Hypothèses!$B$9,K205&lt;=Hypothèses!$B$10),"actuel",IF(K205=2030,"2030",IF(K205=2050,"2050","autre")))</f>
        <v>2030</v>
      </c>
      <c r="M205" s="5"/>
      <c r="N205" s="5" t="s">
        <v>196</v>
      </c>
      <c r="O205" s="5"/>
      <c r="P205" s="5" t="s">
        <v>230</v>
      </c>
      <c r="Q205" s="5" t="s">
        <v>45</v>
      </c>
      <c r="R205" s="12" t="n">
        <f aca="false">INDEX(Hypothèses!$B$14:$B$17,MATCH(Q205,Hypothèses!$A$14:$A$17,0))</f>
        <v>1</v>
      </c>
      <c r="S205" s="15" t="str">
        <f aca="false">IF(G205="","",G205*R205)</f>
        <v/>
      </c>
      <c r="T205" s="15" t="n">
        <f aca="false">IF(H205="","",H205*R205)</f>
        <v>643.75</v>
      </c>
      <c r="U205" s="15" t="str">
        <f aca="false">IF(I205="","",I205*R205)</f>
        <v/>
      </c>
      <c r="V205" s="5" t="s">
        <v>195</v>
      </c>
      <c r="W205" s="5" t="s">
        <v>70</v>
      </c>
      <c r="X205" s="5" t="s">
        <v>198</v>
      </c>
    </row>
    <row r="206" customFormat="false" ht="15" hidden="false" customHeight="false" outlineLevel="0" collapsed="false">
      <c r="A206" s="5" t="s">
        <v>423</v>
      </c>
      <c r="B206" s="5" t="s">
        <v>64</v>
      </c>
      <c r="C206" s="5" t="s">
        <v>78</v>
      </c>
      <c r="D206" s="5" t="s">
        <v>413</v>
      </c>
      <c r="E206" s="5" t="s">
        <v>193</v>
      </c>
      <c r="F206" s="5" t="s">
        <v>206</v>
      </c>
      <c r="G206" s="15"/>
      <c r="H206" s="15" t="n">
        <v>553.625</v>
      </c>
      <c r="I206" s="15"/>
      <c r="J206" s="5" t="s">
        <v>195</v>
      </c>
      <c r="K206" s="5" t="n">
        <v>2040</v>
      </c>
      <c r="L206" s="5" t="str">
        <f aca="false">IF(AND(K206&gt;=Hypothèses!$B$9,K206&lt;=Hypothèses!$B$10),"actuel",IF(K206=2030,"2030",IF(K206=2050,"2050","autre")))</f>
        <v>autre</v>
      </c>
      <c r="M206" s="5"/>
      <c r="N206" s="5" t="s">
        <v>196</v>
      </c>
      <c r="O206" s="5"/>
      <c r="P206" s="5" t="s">
        <v>230</v>
      </c>
      <c r="Q206" s="5" t="s">
        <v>45</v>
      </c>
      <c r="R206" s="12" t="n">
        <f aca="false">INDEX(Hypothèses!$B$14:$B$17,MATCH(Q206,Hypothèses!$A$14:$A$17,0))</f>
        <v>1</v>
      </c>
      <c r="S206" s="15" t="str">
        <f aca="false">IF(G206="","",G206*R206)</f>
        <v/>
      </c>
      <c r="T206" s="15" t="n">
        <f aca="false">IF(H206="","",H206*R206)</f>
        <v>553.625</v>
      </c>
      <c r="U206" s="15" t="str">
        <f aca="false">IF(I206="","",I206*R206)</f>
        <v/>
      </c>
      <c r="V206" s="5" t="s">
        <v>195</v>
      </c>
      <c r="W206" s="5" t="s">
        <v>70</v>
      </c>
      <c r="X206" s="5" t="s">
        <v>198</v>
      </c>
    </row>
    <row r="207" customFormat="false" ht="15" hidden="false" customHeight="false" outlineLevel="0" collapsed="false">
      <c r="A207" s="5" t="s">
        <v>424</v>
      </c>
      <c r="B207" s="5" t="s">
        <v>64</v>
      </c>
      <c r="C207" s="5" t="s">
        <v>78</v>
      </c>
      <c r="D207" s="5" t="s">
        <v>413</v>
      </c>
      <c r="E207" s="5" t="s">
        <v>193</v>
      </c>
      <c r="F207" s="5" t="s">
        <v>206</v>
      </c>
      <c r="G207" s="15"/>
      <c r="H207" s="15" t="n">
        <v>463.5</v>
      </c>
      <c r="I207" s="15"/>
      <c r="J207" s="5" t="s">
        <v>195</v>
      </c>
      <c r="K207" s="5" t="n">
        <v>2050</v>
      </c>
      <c r="L207" s="5" t="str">
        <f aca="false">IF(AND(K207&gt;=Hypothèses!$B$9,K207&lt;=Hypothèses!$B$10),"actuel",IF(K207=2030,"2030",IF(K207=2050,"2050","autre")))</f>
        <v>2050</v>
      </c>
      <c r="M207" s="5"/>
      <c r="N207" s="5" t="s">
        <v>196</v>
      </c>
      <c r="O207" s="5"/>
      <c r="P207" s="5" t="s">
        <v>230</v>
      </c>
      <c r="Q207" s="5" t="s">
        <v>45</v>
      </c>
      <c r="R207" s="12" t="n">
        <f aca="false">INDEX(Hypothèses!$B$14:$B$17,MATCH(Q207,Hypothèses!$A$14:$A$17,0))</f>
        <v>1</v>
      </c>
      <c r="S207" s="15" t="str">
        <f aca="false">IF(G207="","",G207*R207)</f>
        <v/>
      </c>
      <c r="T207" s="15" t="n">
        <f aca="false">IF(H207="","",H207*R207)</f>
        <v>463.5</v>
      </c>
      <c r="U207" s="15" t="str">
        <f aca="false">IF(I207="","",I207*R207)</f>
        <v/>
      </c>
      <c r="V207" s="5" t="s">
        <v>195</v>
      </c>
      <c r="W207" s="5" t="s">
        <v>70</v>
      </c>
      <c r="X207" s="5" t="s">
        <v>198</v>
      </c>
    </row>
    <row r="208" customFormat="false" ht="15" hidden="false" customHeight="false" outlineLevel="0" collapsed="false">
      <c r="A208" s="5" t="s">
        <v>425</v>
      </c>
      <c r="B208" s="5" t="s">
        <v>64</v>
      </c>
      <c r="C208" s="5" t="s">
        <v>80</v>
      </c>
      <c r="D208" s="5" t="s">
        <v>413</v>
      </c>
      <c r="E208" s="5" t="s">
        <v>193</v>
      </c>
      <c r="F208" s="5" t="s">
        <v>206</v>
      </c>
      <c r="G208" s="15" t="n">
        <v>1647</v>
      </c>
      <c r="H208" s="15" t="n">
        <v>2052</v>
      </c>
      <c r="I208" s="15" t="n">
        <v>2457</v>
      </c>
      <c r="J208" s="5" t="s">
        <v>195</v>
      </c>
      <c r="K208" s="5" t="n">
        <v>2020</v>
      </c>
      <c r="L208" s="5" t="str">
        <f aca="false">IF(AND(K208&gt;=Hypothèses!$B$9,K208&lt;=Hypothèses!$B$10),"actuel",IF(K208=2030,"2030",IF(K208=2050,"2050","autre")))</f>
        <v>actuel</v>
      </c>
      <c r="M208" s="5" t="s">
        <v>211</v>
      </c>
      <c r="N208" s="5" t="s">
        <v>196</v>
      </c>
      <c r="O208" s="5"/>
      <c r="P208" s="5" t="s">
        <v>212</v>
      </c>
      <c r="Q208" s="5" t="s">
        <v>45</v>
      </c>
      <c r="R208" s="12" t="n">
        <f aca="false">INDEX(Hypothèses!$B$14:$B$17,MATCH(Q208,Hypothèses!$A$14:$A$17,0))</f>
        <v>1</v>
      </c>
      <c r="S208" s="15" t="n">
        <f aca="false">IF(G208="","",G208*R208)</f>
        <v>1647</v>
      </c>
      <c r="T208" s="15" t="n">
        <f aca="false">IF(H208="","",H208*R208)</f>
        <v>2052</v>
      </c>
      <c r="U208" s="15" t="n">
        <f aca="false">IF(I208="","",I208*R208)</f>
        <v>2457</v>
      </c>
      <c r="V208" s="5" t="s">
        <v>195</v>
      </c>
      <c r="W208" s="5" t="s">
        <v>70</v>
      </c>
      <c r="X208" s="5" t="s">
        <v>198</v>
      </c>
    </row>
    <row r="209" customFormat="false" ht="15" hidden="false" customHeight="false" outlineLevel="0" collapsed="false">
      <c r="A209" s="5" t="s">
        <v>426</v>
      </c>
      <c r="B209" s="5" t="s">
        <v>64</v>
      </c>
      <c r="C209" s="5" t="s">
        <v>80</v>
      </c>
      <c r="D209" s="5" t="s">
        <v>413</v>
      </c>
      <c r="E209" s="5" t="s">
        <v>193</v>
      </c>
      <c r="F209" s="5" t="s">
        <v>206</v>
      </c>
      <c r="G209" s="15"/>
      <c r="H209" s="15" t="n">
        <v>1539</v>
      </c>
      <c r="I209" s="15"/>
      <c r="J209" s="5" t="s">
        <v>195</v>
      </c>
      <c r="K209" s="5" t="n">
        <v>2025</v>
      </c>
      <c r="L209" s="5" t="str">
        <f aca="false">IF(AND(K209&gt;=Hypothèses!$B$9,K209&lt;=Hypothèses!$B$10),"actuel",IF(K209=2030,"2030",IF(K209=2050,"2050","autre")))</f>
        <v>actuel</v>
      </c>
      <c r="M209" s="5" t="s">
        <v>211</v>
      </c>
      <c r="N209" s="5" t="s">
        <v>196</v>
      </c>
      <c r="O209" s="5"/>
      <c r="P209" s="5" t="s">
        <v>212</v>
      </c>
      <c r="Q209" s="5" t="s">
        <v>45</v>
      </c>
      <c r="R209" s="12" t="n">
        <f aca="false">INDEX(Hypothèses!$B$14:$B$17,MATCH(Q209,Hypothèses!$A$14:$A$17,0))</f>
        <v>1</v>
      </c>
      <c r="S209" s="15" t="str">
        <f aca="false">IF(G209="","",G209*R209)</f>
        <v/>
      </c>
      <c r="T209" s="15" t="n">
        <f aca="false">IF(H209="","",H209*R209)</f>
        <v>1539</v>
      </c>
      <c r="U209" s="15" t="str">
        <f aca="false">IF(I209="","",I209*R209)</f>
        <v/>
      </c>
      <c r="V209" s="5" t="s">
        <v>195</v>
      </c>
      <c r="W209" s="5" t="s">
        <v>70</v>
      </c>
      <c r="X209" s="5" t="s">
        <v>198</v>
      </c>
    </row>
    <row r="210" customFormat="false" ht="15" hidden="false" customHeight="false" outlineLevel="0" collapsed="false">
      <c r="A210" s="5" t="s">
        <v>427</v>
      </c>
      <c r="B210" s="5" t="s">
        <v>64</v>
      </c>
      <c r="C210" s="5" t="s">
        <v>80</v>
      </c>
      <c r="D210" s="5" t="s">
        <v>413</v>
      </c>
      <c r="E210" s="5" t="s">
        <v>193</v>
      </c>
      <c r="F210" s="5" t="s">
        <v>206</v>
      </c>
      <c r="G210" s="15"/>
      <c r="H210" s="15" t="n">
        <v>1026</v>
      </c>
      <c r="I210" s="15"/>
      <c r="J210" s="5" t="s">
        <v>195</v>
      </c>
      <c r="K210" s="5" t="n">
        <v>2030</v>
      </c>
      <c r="L210" s="5" t="str">
        <f aca="false">IF(AND(K210&gt;=Hypothèses!$B$9,K210&lt;=Hypothèses!$B$10),"actuel",IF(K210=2030,"2030",IF(K210=2050,"2050","autre")))</f>
        <v>2030</v>
      </c>
      <c r="M210" s="5" t="s">
        <v>211</v>
      </c>
      <c r="N210" s="5" t="s">
        <v>196</v>
      </c>
      <c r="O210" s="5"/>
      <c r="P210" s="5" t="s">
        <v>212</v>
      </c>
      <c r="Q210" s="5" t="s">
        <v>45</v>
      </c>
      <c r="R210" s="12" t="n">
        <f aca="false">INDEX(Hypothèses!$B$14:$B$17,MATCH(Q210,Hypothèses!$A$14:$A$17,0))</f>
        <v>1</v>
      </c>
      <c r="S210" s="15" t="str">
        <f aca="false">IF(G210="","",G210*R210)</f>
        <v/>
      </c>
      <c r="T210" s="15" t="n">
        <f aca="false">IF(H210="","",H210*R210)</f>
        <v>1026</v>
      </c>
      <c r="U210" s="15" t="str">
        <f aca="false">IF(I210="","",I210*R210)</f>
        <v/>
      </c>
      <c r="V210" s="5" t="s">
        <v>195</v>
      </c>
      <c r="W210" s="5" t="s">
        <v>70</v>
      </c>
      <c r="X210" s="5" t="s">
        <v>198</v>
      </c>
    </row>
    <row r="211" customFormat="false" ht="15" hidden="false" customHeight="false" outlineLevel="0" collapsed="false">
      <c r="A211" s="5" t="s">
        <v>428</v>
      </c>
      <c r="B211" s="5" t="s">
        <v>64</v>
      </c>
      <c r="C211" s="5" t="s">
        <v>80</v>
      </c>
      <c r="D211" s="5" t="s">
        <v>413</v>
      </c>
      <c r="E211" s="5" t="s">
        <v>193</v>
      </c>
      <c r="F211" s="5" t="s">
        <v>206</v>
      </c>
      <c r="G211" s="15"/>
      <c r="H211" s="15" t="n">
        <v>783</v>
      </c>
      <c r="I211" s="15"/>
      <c r="J211" s="5" t="s">
        <v>195</v>
      </c>
      <c r="K211" s="5" t="n">
        <v>2040</v>
      </c>
      <c r="L211" s="5" t="str">
        <f aca="false">IF(AND(K211&gt;=Hypothèses!$B$9,K211&lt;=Hypothèses!$B$10),"actuel",IF(K211=2030,"2030",IF(K211=2050,"2050","autre")))</f>
        <v>autre</v>
      </c>
      <c r="M211" s="5" t="s">
        <v>211</v>
      </c>
      <c r="N211" s="5" t="s">
        <v>196</v>
      </c>
      <c r="O211" s="5"/>
      <c r="P211" s="5" t="s">
        <v>212</v>
      </c>
      <c r="Q211" s="5" t="s">
        <v>45</v>
      </c>
      <c r="R211" s="12" t="n">
        <f aca="false">INDEX(Hypothèses!$B$14:$B$17,MATCH(Q211,Hypothèses!$A$14:$A$17,0))</f>
        <v>1</v>
      </c>
      <c r="S211" s="15" t="str">
        <f aca="false">IF(G211="","",G211*R211)</f>
        <v/>
      </c>
      <c r="T211" s="15" t="n">
        <f aca="false">IF(H211="","",H211*R211)</f>
        <v>783</v>
      </c>
      <c r="U211" s="15" t="str">
        <f aca="false">IF(I211="","",I211*R211)</f>
        <v/>
      </c>
      <c r="V211" s="5" t="s">
        <v>195</v>
      </c>
      <c r="W211" s="5" t="s">
        <v>70</v>
      </c>
      <c r="X211" s="5" t="s">
        <v>198</v>
      </c>
    </row>
    <row r="212" customFormat="false" ht="15" hidden="false" customHeight="false" outlineLevel="0" collapsed="false">
      <c r="A212" s="5" t="s">
        <v>429</v>
      </c>
      <c r="B212" s="5" t="s">
        <v>64</v>
      </c>
      <c r="C212" s="5" t="s">
        <v>80</v>
      </c>
      <c r="D212" s="5" t="s">
        <v>413</v>
      </c>
      <c r="E212" s="5" t="s">
        <v>193</v>
      </c>
      <c r="F212" s="5" t="s">
        <v>206</v>
      </c>
      <c r="G212" s="15" t="n">
        <v>432</v>
      </c>
      <c r="H212" s="15" t="n">
        <v>540</v>
      </c>
      <c r="I212" s="15" t="n">
        <v>648</v>
      </c>
      <c r="J212" s="5" t="s">
        <v>195</v>
      </c>
      <c r="K212" s="5" t="n">
        <v>2050</v>
      </c>
      <c r="L212" s="5" t="str">
        <f aca="false">IF(AND(K212&gt;=Hypothèses!$B$9,K212&lt;=Hypothèses!$B$10),"actuel",IF(K212=2030,"2030",IF(K212=2050,"2050","autre")))</f>
        <v>2050</v>
      </c>
      <c r="M212" s="5" t="s">
        <v>211</v>
      </c>
      <c r="N212" s="5" t="s">
        <v>196</v>
      </c>
      <c r="O212" s="5"/>
      <c r="P212" s="5" t="s">
        <v>212</v>
      </c>
      <c r="Q212" s="5" t="s">
        <v>45</v>
      </c>
      <c r="R212" s="12" t="n">
        <f aca="false">INDEX(Hypothèses!$B$14:$B$17,MATCH(Q212,Hypothèses!$A$14:$A$17,0))</f>
        <v>1</v>
      </c>
      <c r="S212" s="15" t="n">
        <f aca="false">IF(G212="","",G212*R212)</f>
        <v>432</v>
      </c>
      <c r="T212" s="15" t="n">
        <f aca="false">IF(H212="","",H212*R212)</f>
        <v>540</v>
      </c>
      <c r="U212" s="15" t="n">
        <f aca="false">IF(I212="","",I212*R212)</f>
        <v>648</v>
      </c>
      <c r="V212" s="5" t="s">
        <v>195</v>
      </c>
      <c r="W212" s="5" t="s">
        <v>70</v>
      </c>
      <c r="X212" s="5" t="s">
        <v>198</v>
      </c>
    </row>
    <row r="213" customFormat="false" ht="15" hidden="false" customHeight="false" outlineLevel="0" collapsed="false">
      <c r="A213" s="5" t="s">
        <v>430</v>
      </c>
      <c r="B213" s="5" t="s">
        <v>64</v>
      </c>
      <c r="C213" s="5" t="s">
        <v>82</v>
      </c>
      <c r="D213" s="5" t="s">
        <v>413</v>
      </c>
      <c r="E213" s="5" t="s">
        <v>193</v>
      </c>
      <c r="F213" s="5" t="s">
        <v>206</v>
      </c>
      <c r="G213" s="15" t="n">
        <v>1134</v>
      </c>
      <c r="H213" s="15" t="n">
        <v>1404</v>
      </c>
      <c r="I213" s="15" t="n">
        <v>1674</v>
      </c>
      <c r="J213" s="5" t="s">
        <v>195</v>
      </c>
      <c r="K213" s="5" t="n">
        <v>2020</v>
      </c>
      <c r="L213" s="5" t="str">
        <f aca="false">IF(AND(K213&gt;=Hypothèses!$B$9,K213&lt;=Hypothèses!$B$10),"actuel",IF(K213=2030,"2030",IF(K213=2050,"2050","autre")))</f>
        <v>actuel</v>
      </c>
      <c r="M213" s="5" t="s">
        <v>218</v>
      </c>
      <c r="N213" s="5" t="s">
        <v>196</v>
      </c>
      <c r="O213" s="5"/>
      <c r="P213" s="5" t="s">
        <v>212</v>
      </c>
      <c r="Q213" s="5" t="s">
        <v>45</v>
      </c>
      <c r="R213" s="12" t="n">
        <f aca="false">INDEX(Hypothèses!$B$14:$B$17,MATCH(Q213,Hypothèses!$A$14:$A$17,0))</f>
        <v>1</v>
      </c>
      <c r="S213" s="15" t="n">
        <f aca="false">IF(G213="","",G213*R213)</f>
        <v>1134</v>
      </c>
      <c r="T213" s="15" t="n">
        <f aca="false">IF(H213="","",H213*R213)</f>
        <v>1404</v>
      </c>
      <c r="U213" s="15" t="n">
        <f aca="false">IF(I213="","",I213*R213)</f>
        <v>1674</v>
      </c>
      <c r="V213" s="5" t="s">
        <v>195</v>
      </c>
      <c r="W213" s="5" t="s">
        <v>70</v>
      </c>
      <c r="X213" s="5" t="s">
        <v>198</v>
      </c>
    </row>
    <row r="214" customFormat="false" ht="15" hidden="false" customHeight="false" outlineLevel="0" collapsed="false">
      <c r="A214" s="5" t="s">
        <v>431</v>
      </c>
      <c r="B214" s="5" t="s">
        <v>64</v>
      </c>
      <c r="C214" s="5" t="s">
        <v>82</v>
      </c>
      <c r="D214" s="5" t="s">
        <v>413</v>
      </c>
      <c r="E214" s="5" t="s">
        <v>193</v>
      </c>
      <c r="F214" s="5" t="s">
        <v>206</v>
      </c>
      <c r="G214" s="15"/>
      <c r="H214" s="15" t="n">
        <v>1053</v>
      </c>
      <c r="I214" s="15"/>
      <c r="J214" s="5" t="s">
        <v>195</v>
      </c>
      <c r="K214" s="5" t="n">
        <v>2025</v>
      </c>
      <c r="L214" s="5" t="str">
        <f aca="false">IF(AND(K214&gt;=Hypothèses!$B$9,K214&lt;=Hypothèses!$B$10),"actuel",IF(K214=2030,"2030",IF(K214=2050,"2050","autre")))</f>
        <v>actuel</v>
      </c>
      <c r="M214" s="5" t="s">
        <v>218</v>
      </c>
      <c r="N214" s="5" t="s">
        <v>196</v>
      </c>
      <c r="O214" s="5"/>
      <c r="P214" s="5" t="s">
        <v>212</v>
      </c>
      <c r="Q214" s="5" t="s">
        <v>45</v>
      </c>
      <c r="R214" s="12" t="n">
        <f aca="false">INDEX(Hypothèses!$B$14:$B$17,MATCH(Q214,Hypothèses!$A$14:$A$17,0))</f>
        <v>1</v>
      </c>
      <c r="S214" s="15" t="str">
        <f aca="false">IF(G214="","",G214*R214)</f>
        <v/>
      </c>
      <c r="T214" s="15" t="n">
        <f aca="false">IF(H214="","",H214*R214)</f>
        <v>1053</v>
      </c>
      <c r="U214" s="15" t="str">
        <f aca="false">IF(I214="","",I214*R214)</f>
        <v/>
      </c>
      <c r="V214" s="5" t="s">
        <v>195</v>
      </c>
      <c r="W214" s="5" t="s">
        <v>70</v>
      </c>
      <c r="X214" s="5" t="s">
        <v>198</v>
      </c>
    </row>
    <row r="215" customFormat="false" ht="15" hidden="false" customHeight="false" outlineLevel="0" collapsed="false">
      <c r="A215" s="5" t="s">
        <v>432</v>
      </c>
      <c r="B215" s="5" t="s">
        <v>64</v>
      </c>
      <c r="C215" s="5" t="s">
        <v>82</v>
      </c>
      <c r="D215" s="5" t="s">
        <v>413</v>
      </c>
      <c r="E215" s="5" t="s">
        <v>193</v>
      </c>
      <c r="F215" s="5" t="s">
        <v>206</v>
      </c>
      <c r="G215" s="15"/>
      <c r="H215" s="15" t="n">
        <v>702</v>
      </c>
      <c r="I215" s="15"/>
      <c r="J215" s="5" t="s">
        <v>195</v>
      </c>
      <c r="K215" s="5" t="n">
        <v>2030</v>
      </c>
      <c r="L215" s="5" t="str">
        <f aca="false">IF(AND(K215&gt;=Hypothèses!$B$9,K215&lt;=Hypothèses!$B$10),"actuel",IF(K215=2030,"2030",IF(K215=2050,"2050","autre")))</f>
        <v>2030</v>
      </c>
      <c r="M215" s="5" t="s">
        <v>218</v>
      </c>
      <c r="N215" s="5" t="s">
        <v>196</v>
      </c>
      <c r="O215" s="5"/>
      <c r="P215" s="5" t="s">
        <v>212</v>
      </c>
      <c r="Q215" s="5" t="s">
        <v>45</v>
      </c>
      <c r="R215" s="12" t="n">
        <f aca="false">INDEX(Hypothèses!$B$14:$B$17,MATCH(Q215,Hypothèses!$A$14:$A$17,0))</f>
        <v>1</v>
      </c>
      <c r="S215" s="15" t="str">
        <f aca="false">IF(G215="","",G215*R215)</f>
        <v/>
      </c>
      <c r="T215" s="15" t="n">
        <f aca="false">IF(H215="","",H215*R215)</f>
        <v>702</v>
      </c>
      <c r="U215" s="15" t="str">
        <f aca="false">IF(I215="","",I215*R215)</f>
        <v/>
      </c>
      <c r="V215" s="5" t="s">
        <v>195</v>
      </c>
      <c r="W215" s="5" t="s">
        <v>70</v>
      </c>
      <c r="X215" s="5" t="s">
        <v>198</v>
      </c>
    </row>
    <row r="216" customFormat="false" ht="15" hidden="false" customHeight="false" outlineLevel="0" collapsed="false">
      <c r="A216" s="5" t="s">
        <v>433</v>
      </c>
      <c r="B216" s="5" t="s">
        <v>64</v>
      </c>
      <c r="C216" s="5" t="s">
        <v>82</v>
      </c>
      <c r="D216" s="5" t="s">
        <v>413</v>
      </c>
      <c r="E216" s="5" t="s">
        <v>193</v>
      </c>
      <c r="F216" s="5" t="s">
        <v>206</v>
      </c>
      <c r="G216" s="15"/>
      <c r="H216" s="15" t="n">
        <v>540</v>
      </c>
      <c r="I216" s="15"/>
      <c r="J216" s="5" t="s">
        <v>195</v>
      </c>
      <c r="K216" s="5" t="n">
        <v>2040</v>
      </c>
      <c r="L216" s="5" t="str">
        <f aca="false">IF(AND(K216&gt;=Hypothèses!$B$9,K216&lt;=Hypothèses!$B$10),"actuel",IF(K216=2030,"2030",IF(K216=2050,"2050","autre")))</f>
        <v>autre</v>
      </c>
      <c r="M216" s="5" t="s">
        <v>218</v>
      </c>
      <c r="N216" s="5" t="s">
        <v>196</v>
      </c>
      <c r="O216" s="5"/>
      <c r="P216" s="5" t="s">
        <v>212</v>
      </c>
      <c r="Q216" s="5" t="s">
        <v>45</v>
      </c>
      <c r="R216" s="12" t="n">
        <f aca="false">INDEX(Hypothèses!$B$14:$B$17,MATCH(Q216,Hypothèses!$A$14:$A$17,0))</f>
        <v>1</v>
      </c>
      <c r="S216" s="15" t="str">
        <f aca="false">IF(G216="","",G216*R216)</f>
        <v/>
      </c>
      <c r="T216" s="15" t="n">
        <f aca="false">IF(H216="","",H216*R216)</f>
        <v>540</v>
      </c>
      <c r="U216" s="15" t="str">
        <f aca="false">IF(I216="","",I216*R216)</f>
        <v/>
      </c>
      <c r="V216" s="5" t="s">
        <v>195</v>
      </c>
      <c r="W216" s="5" t="s">
        <v>70</v>
      </c>
      <c r="X216" s="5" t="s">
        <v>198</v>
      </c>
    </row>
    <row r="217" customFormat="false" ht="15" hidden="false" customHeight="false" outlineLevel="0" collapsed="false">
      <c r="A217" s="5" t="s">
        <v>434</v>
      </c>
      <c r="B217" s="5" t="s">
        <v>64</v>
      </c>
      <c r="C217" s="5" t="s">
        <v>82</v>
      </c>
      <c r="D217" s="5" t="s">
        <v>413</v>
      </c>
      <c r="E217" s="5" t="s">
        <v>193</v>
      </c>
      <c r="F217" s="5" t="s">
        <v>206</v>
      </c>
      <c r="G217" s="15" t="n">
        <v>297</v>
      </c>
      <c r="H217" s="15" t="n">
        <v>378</v>
      </c>
      <c r="I217" s="15" t="n">
        <v>459</v>
      </c>
      <c r="J217" s="5" t="s">
        <v>195</v>
      </c>
      <c r="K217" s="5" t="n">
        <v>2050</v>
      </c>
      <c r="L217" s="5" t="str">
        <f aca="false">IF(AND(K217&gt;=Hypothèses!$B$9,K217&lt;=Hypothèses!$B$10),"actuel",IF(K217=2030,"2030",IF(K217=2050,"2050","autre")))</f>
        <v>2050</v>
      </c>
      <c r="M217" s="5" t="s">
        <v>218</v>
      </c>
      <c r="N217" s="5" t="s">
        <v>196</v>
      </c>
      <c r="O217" s="5"/>
      <c r="P217" s="5" t="s">
        <v>212</v>
      </c>
      <c r="Q217" s="5" t="s">
        <v>45</v>
      </c>
      <c r="R217" s="12" t="n">
        <f aca="false">INDEX(Hypothèses!$B$14:$B$17,MATCH(Q217,Hypothèses!$A$14:$A$17,0))</f>
        <v>1</v>
      </c>
      <c r="S217" s="15" t="n">
        <f aca="false">IF(G217="","",G217*R217)</f>
        <v>297</v>
      </c>
      <c r="T217" s="15" t="n">
        <f aca="false">IF(H217="","",H217*R217)</f>
        <v>378</v>
      </c>
      <c r="U217" s="15" t="n">
        <f aca="false">IF(I217="","",I217*R217)</f>
        <v>459</v>
      </c>
      <c r="V217" s="5" t="s">
        <v>195</v>
      </c>
      <c r="W217" s="5" t="s">
        <v>70</v>
      </c>
      <c r="X217" s="5" t="s">
        <v>198</v>
      </c>
    </row>
    <row r="218" customFormat="false" ht="15" hidden="false" customHeight="false" outlineLevel="0" collapsed="false">
      <c r="A218" s="5" t="s">
        <v>435</v>
      </c>
      <c r="B218" s="5" t="s">
        <v>64</v>
      </c>
      <c r="C218" s="5" t="s">
        <v>84</v>
      </c>
      <c r="D218" s="5" t="s">
        <v>413</v>
      </c>
      <c r="E218" s="5" t="s">
        <v>193</v>
      </c>
      <c r="F218" s="5" t="s">
        <v>206</v>
      </c>
      <c r="G218" s="15" t="n">
        <v>1026</v>
      </c>
      <c r="H218" s="15" t="n">
        <v>1296</v>
      </c>
      <c r="I218" s="15" t="n">
        <v>1566</v>
      </c>
      <c r="J218" s="5" t="s">
        <v>195</v>
      </c>
      <c r="K218" s="5" t="n">
        <v>2020</v>
      </c>
      <c r="L218" s="5" t="str">
        <f aca="false">IF(AND(K218&gt;=Hypothèses!$B$9,K218&lt;=Hypothèses!$B$10),"actuel",IF(K218=2030,"2030",IF(K218=2050,"2050","autre")))</f>
        <v>actuel</v>
      </c>
      <c r="M218" s="5" t="s">
        <v>224</v>
      </c>
      <c r="N218" s="5" t="s">
        <v>196</v>
      </c>
      <c r="O218" s="5"/>
      <c r="P218" s="5" t="s">
        <v>212</v>
      </c>
      <c r="Q218" s="5" t="s">
        <v>45</v>
      </c>
      <c r="R218" s="12" t="n">
        <f aca="false">INDEX(Hypothèses!$B$14:$B$17,MATCH(Q218,Hypothèses!$A$14:$A$17,0))</f>
        <v>1</v>
      </c>
      <c r="S218" s="15" t="n">
        <f aca="false">IF(G218="","",G218*R218)</f>
        <v>1026</v>
      </c>
      <c r="T218" s="15" t="n">
        <f aca="false">IF(H218="","",H218*R218)</f>
        <v>1296</v>
      </c>
      <c r="U218" s="15" t="n">
        <f aca="false">IF(I218="","",I218*R218)</f>
        <v>1566</v>
      </c>
      <c r="V218" s="5" t="s">
        <v>195</v>
      </c>
      <c r="W218" s="5" t="s">
        <v>70</v>
      </c>
      <c r="X218" s="5" t="s">
        <v>198</v>
      </c>
    </row>
    <row r="219" customFormat="false" ht="15" hidden="false" customHeight="false" outlineLevel="0" collapsed="false">
      <c r="A219" s="5" t="s">
        <v>436</v>
      </c>
      <c r="B219" s="5" t="s">
        <v>64</v>
      </c>
      <c r="C219" s="5" t="s">
        <v>84</v>
      </c>
      <c r="D219" s="5" t="s">
        <v>413</v>
      </c>
      <c r="E219" s="5" t="s">
        <v>193</v>
      </c>
      <c r="F219" s="5" t="s">
        <v>206</v>
      </c>
      <c r="G219" s="15"/>
      <c r="H219" s="15" t="n">
        <v>972</v>
      </c>
      <c r="I219" s="15"/>
      <c r="J219" s="5" t="s">
        <v>195</v>
      </c>
      <c r="K219" s="5" t="n">
        <v>2025</v>
      </c>
      <c r="L219" s="5" t="str">
        <f aca="false">IF(AND(K219&gt;=Hypothèses!$B$9,K219&lt;=Hypothèses!$B$10),"actuel",IF(K219=2030,"2030",IF(K219=2050,"2050","autre")))</f>
        <v>actuel</v>
      </c>
      <c r="M219" s="5" t="s">
        <v>224</v>
      </c>
      <c r="N219" s="5" t="s">
        <v>196</v>
      </c>
      <c r="O219" s="5"/>
      <c r="P219" s="5" t="s">
        <v>212</v>
      </c>
      <c r="Q219" s="5" t="s">
        <v>45</v>
      </c>
      <c r="R219" s="12" t="n">
        <f aca="false">INDEX(Hypothèses!$B$14:$B$17,MATCH(Q219,Hypothèses!$A$14:$A$17,0))</f>
        <v>1</v>
      </c>
      <c r="S219" s="15" t="str">
        <f aca="false">IF(G219="","",G219*R219)</f>
        <v/>
      </c>
      <c r="T219" s="15" t="n">
        <f aca="false">IF(H219="","",H219*R219)</f>
        <v>972</v>
      </c>
      <c r="U219" s="15" t="str">
        <f aca="false">IF(I219="","",I219*R219)</f>
        <v/>
      </c>
      <c r="V219" s="5" t="s">
        <v>195</v>
      </c>
      <c r="W219" s="5" t="s">
        <v>70</v>
      </c>
      <c r="X219" s="5" t="s">
        <v>198</v>
      </c>
    </row>
    <row r="220" customFormat="false" ht="15" hidden="false" customHeight="false" outlineLevel="0" collapsed="false">
      <c r="A220" s="5" t="s">
        <v>437</v>
      </c>
      <c r="B220" s="5" t="s">
        <v>64</v>
      </c>
      <c r="C220" s="5" t="s">
        <v>84</v>
      </c>
      <c r="D220" s="5" t="s">
        <v>413</v>
      </c>
      <c r="E220" s="5" t="s">
        <v>193</v>
      </c>
      <c r="F220" s="5" t="s">
        <v>206</v>
      </c>
      <c r="G220" s="15"/>
      <c r="H220" s="15" t="n">
        <v>648</v>
      </c>
      <c r="I220" s="15"/>
      <c r="J220" s="5" t="s">
        <v>195</v>
      </c>
      <c r="K220" s="5" t="n">
        <v>2030</v>
      </c>
      <c r="L220" s="5" t="str">
        <f aca="false">IF(AND(K220&gt;=Hypothèses!$B$9,K220&lt;=Hypothèses!$B$10),"actuel",IF(K220=2030,"2030",IF(K220=2050,"2050","autre")))</f>
        <v>2030</v>
      </c>
      <c r="M220" s="5" t="s">
        <v>224</v>
      </c>
      <c r="N220" s="5" t="s">
        <v>196</v>
      </c>
      <c r="O220" s="5"/>
      <c r="P220" s="5" t="s">
        <v>212</v>
      </c>
      <c r="Q220" s="5" t="s">
        <v>45</v>
      </c>
      <c r="R220" s="12" t="n">
        <f aca="false">INDEX(Hypothèses!$B$14:$B$17,MATCH(Q220,Hypothèses!$A$14:$A$17,0))</f>
        <v>1</v>
      </c>
      <c r="S220" s="15" t="str">
        <f aca="false">IF(G220="","",G220*R220)</f>
        <v/>
      </c>
      <c r="T220" s="15" t="n">
        <f aca="false">IF(H220="","",H220*R220)</f>
        <v>648</v>
      </c>
      <c r="U220" s="15" t="str">
        <f aca="false">IF(I220="","",I220*R220)</f>
        <v/>
      </c>
      <c r="V220" s="5" t="s">
        <v>195</v>
      </c>
      <c r="W220" s="5" t="s">
        <v>70</v>
      </c>
      <c r="X220" s="5" t="s">
        <v>198</v>
      </c>
    </row>
    <row r="221" customFormat="false" ht="15" hidden="false" customHeight="false" outlineLevel="0" collapsed="false">
      <c r="A221" s="5" t="s">
        <v>438</v>
      </c>
      <c r="B221" s="5" t="s">
        <v>64</v>
      </c>
      <c r="C221" s="5" t="s">
        <v>84</v>
      </c>
      <c r="D221" s="5" t="s">
        <v>413</v>
      </c>
      <c r="E221" s="5" t="s">
        <v>193</v>
      </c>
      <c r="F221" s="5" t="s">
        <v>206</v>
      </c>
      <c r="G221" s="15"/>
      <c r="H221" s="15" t="n">
        <v>486</v>
      </c>
      <c r="I221" s="15"/>
      <c r="J221" s="5" t="s">
        <v>195</v>
      </c>
      <c r="K221" s="5" t="n">
        <v>2040</v>
      </c>
      <c r="L221" s="5" t="str">
        <f aca="false">IF(AND(K221&gt;=Hypothèses!$B$9,K221&lt;=Hypothèses!$B$10),"actuel",IF(K221=2030,"2030",IF(K221=2050,"2050","autre")))</f>
        <v>autre</v>
      </c>
      <c r="M221" s="5" t="s">
        <v>224</v>
      </c>
      <c r="N221" s="5" t="s">
        <v>196</v>
      </c>
      <c r="O221" s="5"/>
      <c r="P221" s="5" t="s">
        <v>212</v>
      </c>
      <c r="Q221" s="5" t="s">
        <v>45</v>
      </c>
      <c r="R221" s="12" t="n">
        <f aca="false">INDEX(Hypothèses!$B$14:$B$17,MATCH(Q221,Hypothèses!$A$14:$A$17,0))</f>
        <v>1</v>
      </c>
      <c r="S221" s="15" t="str">
        <f aca="false">IF(G221="","",G221*R221)</f>
        <v/>
      </c>
      <c r="T221" s="15" t="n">
        <f aca="false">IF(H221="","",H221*R221)</f>
        <v>486</v>
      </c>
      <c r="U221" s="15" t="str">
        <f aca="false">IF(I221="","",I221*R221)</f>
        <v/>
      </c>
      <c r="V221" s="5" t="s">
        <v>195</v>
      </c>
      <c r="W221" s="5" t="s">
        <v>70</v>
      </c>
      <c r="X221" s="5" t="s">
        <v>198</v>
      </c>
    </row>
    <row r="222" customFormat="false" ht="15" hidden="false" customHeight="false" outlineLevel="0" collapsed="false">
      <c r="A222" s="5" t="s">
        <v>439</v>
      </c>
      <c r="B222" s="5" t="s">
        <v>64</v>
      </c>
      <c r="C222" s="5" t="s">
        <v>84</v>
      </c>
      <c r="D222" s="5" t="s">
        <v>413</v>
      </c>
      <c r="E222" s="5" t="s">
        <v>193</v>
      </c>
      <c r="F222" s="5" t="s">
        <v>206</v>
      </c>
      <c r="G222" s="15" t="n">
        <v>270</v>
      </c>
      <c r="H222" s="15" t="n">
        <v>351</v>
      </c>
      <c r="I222" s="15" t="n">
        <v>432</v>
      </c>
      <c r="J222" s="5" t="s">
        <v>195</v>
      </c>
      <c r="K222" s="5" t="n">
        <v>2050</v>
      </c>
      <c r="L222" s="5" t="str">
        <f aca="false">IF(AND(K222&gt;=Hypothèses!$B$9,K222&lt;=Hypothèses!$B$10),"actuel",IF(K222=2030,"2030",IF(K222=2050,"2050","autre")))</f>
        <v>2050</v>
      </c>
      <c r="M222" s="5" t="s">
        <v>224</v>
      </c>
      <c r="N222" s="5" t="s">
        <v>196</v>
      </c>
      <c r="O222" s="5"/>
      <c r="P222" s="5" t="s">
        <v>212</v>
      </c>
      <c r="Q222" s="5" t="s">
        <v>45</v>
      </c>
      <c r="R222" s="12" t="n">
        <f aca="false">INDEX(Hypothèses!$B$14:$B$17,MATCH(Q222,Hypothèses!$A$14:$A$17,0))</f>
        <v>1</v>
      </c>
      <c r="S222" s="15" t="n">
        <f aca="false">IF(G222="","",G222*R222)</f>
        <v>270</v>
      </c>
      <c r="T222" s="15" t="n">
        <f aca="false">IF(H222="","",H222*R222)</f>
        <v>351</v>
      </c>
      <c r="U222" s="15" t="n">
        <f aca="false">IF(I222="","",I222*R222)</f>
        <v>432</v>
      </c>
      <c r="V222" s="5" t="s">
        <v>195</v>
      </c>
      <c r="W222" s="5" t="s">
        <v>70</v>
      </c>
      <c r="X222" s="5" t="s">
        <v>198</v>
      </c>
    </row>
    <row r="223" customFormat="false" ht="15" hidden="false" customHeight="false" outlineLevel="0" collapsed="false">
      <c r="A223" s="5" t="s">
        <v>440</v>
      </c>
      <c r="B223" s="5" t="s">
        <v>64</v>
      </c>
      <c r="C223" s="5" t="s">
        <v>86</v>
      </c>
      <c r="D223" s="5" t="s">
        <v>413</v>
      </c>
      <c r="E223" s="5" t="s">
        <v>193</v>
      </c>
      <c r="F223" s="5" t="s">
        <v>206</v>
      </c>
      <c r="G223" s="15" t="n">
        <v>1326.8357</v>
      </c>
      <c r="H223" s="15" t="n">
        <v>1492.0683</v>
      </c>
      <c r="I223" s="15" t="n">
        <v>1657.3009</v>
      </c>
      <c r="J223" s="5" t="s">
        <v>195</v>
      </c>
      <c r="K223" s="5" t="n">
        <v>2020</v>
      </c>
      <c r="L223" s="5" t="str">
        <f aca="false">IF(AND(K223&gt;=Hypothèses!$B$9,K223&lt;=Hypothèses!$B$10),"actuel",IF(K223=2030,"2030",IF(K223=2050,"2050","autre")))</f>
        <v>actuel</v>
      </c>
      <c r="M223" s="5"/>
      <c r="N223" s="5" t="s">
        <v>196</v>
      </c>
      <c r="O223" s="5"/>
      <c r="P223" s="5" t="s">
        <v>230</v>
      </c>
      <c r="Q223" s="5" t="s">
        <v>45</v>
      </c>
      <c r="R223" s="12" t="n">
        <f aca="false">INDEX(Hypothèses!$B$14:$B$17,MATCH(Q223,Hypothèses!$A$14:$A$17,0))</f>
        <v>1</v>
      </c>
      <c r="S223" s="15" t="n">
        <f aca="false">IF(G223="","",G223*R223)</f>
        <v>1326.8357</v>
      </c>
      <c r="T223" s="15" t="n">
        <f aca="false">IF(H223="","",H223*R223)</f>
        <v>1492.0683</v>
      </c>
      <c r="U223" s="15" t="n">
        <f aca="false">IF(I223="","",I223*R223)</f>
        <v>1657.3009</v>
      </c>
      <c r="V223" s="5" t="s">
        <v>195</v>
      </c>
      <c r="W223" s="5" t="s">
        <v>70</v>
      </c>
      <c r="X223" s="5" t="s">
        <v>198</v>
      </c>
    </row>
    <row r="224" customFormat="false" ht="15" hidden="false" customHeight="false" outlineLevel="0" collapsed="false">
      <c r="A224" s="5" t="s">
        <v>441</v>
      </c>
      <c r="B224" s="5" t="s">
        <v>64</v>
      </c>
      <c r="C224" s="5" t="s">
        <v>86</v>
      </c>
      <c r="D224" s="5" t="s">
        <v>413</v>
      </c>
      <c r="E224" s="5" t="s">
        <v>193</v>
      </c>
      <c r="F224" s="5" t="s">
        <v>206</v>
      </c>
      <c r="G224" s="15"/>
      <c r="H224" s="15" t="n">
        <v>1458.02062</v>
      </c>
      <c r="I224" s="15"/>
      <c r="J224" s="5" t="s">
        <v>195</v>
      </c>
      <c r="K224" s="5" t="n">
        <v>2021</v>
      </c>
      <c r="L224" s="5" t="str">
        <f aca="false">IF(AND(K224&gt;=Hypothèses!$B$9,K224&lt;=Hypothèses!$B$10),"actuel",IF(K224=2030,"2030",IF(K224=2050,"2050","autre")))</f>
        <v>actuel</v>
      </c>
      <c r="M224" s="5"/>
      <c r="N224" s="5" t="s">
        <v>196</v>
      </c>
      <c r="O224" s="5"/>
      <c r="P224" s="5" t="s">
        <v>230</v>
      </c>
      <c r="Q224" s="5" t="s">
        <v>45</v>
      </c>
      <c r="R224" s="12" t="n">
        <f aca="false">INDEX(Hypothèses!$B$14:$B$17,MATCH(Q224,Hypothèses!$A$14:$A$17,0))</f>
        <v>1</v>
      </c>
      <c r="S224" s="15" t="str">
        <f aca="false">IF(G224="","",G224*R224)</f>
        <v/>
      </c>
      <c r="T224" s="15" t="n">
        <f aca="false">IF(H224="","",H224*R224)</f>
        <v>1458.02062</v>
      </c>
      <c r="U224" s="15" t="str">
        <f aca="false">IF(I224="","",I224*R224)</f>
        <v/>
      </c>
      <c r="V224" s="5" t="s">
        <v>195</v>
      </c>
      <c r="W224" s="5" t="s">
        <v>70</v>
      </c>
      <c r="X224" s="5" t="s">
        <v>198</v>
      </c>
    </row>
    <row r="225" customFormat="false" ht="15" hidden="false" customHeight="false" outlineLevel="0" collapsed="false">
      <c r="A225" s="5" t="s">
        <v>442</v>
      </c>
      <c r="B225" s="5" t="s">
        <v>64</v>
      </c>
      <c r="C225" s="5" t="s">
        <v>86</v>
      </c>
      <c r="D225" s="5" t="s">
        <v>413</v>
      </c>
      <c r="E225" s="5" t="s">
        <v>193</v>
      </c>
      <c r="F225" s="5" t="s">
        <v>206</v>
      </c>
      <c r="G225" s="15"/>
      <c r="H225" s="15" t="n">
        <v>1423.97294</v>
      </c>
      <c r="I225" s="15"/>
      <c r="J225" s="5" t="s">
        <v>195</v>
      </c>
      <c r="K225" s="5" t="n">
        <v>2022</v>
      </c>
      <c r="L225" s="5" t="str">
        <f aca="false">IF(AND(K225&gt;=Hypothèses!$B$9,K225&lt;=Hypothèses!$B$10),"actuel",IF(K225=2030,"2030",IF(K225=2050,"2050","autre")))</f>
        <v>actuel</v>
      </c>
      <c r="M225" s="5"/>
      <c r="N225" s="5" t="s">
        <v>196</v>
      </c>
      <c r="O225" s="5"/>
      <c r="P225" s="5" t="s">
        <v>230</v>
      </c>
      <c r="Q225" s="5" t="s">
        <v>45</v>
      </c>
      <c r="R225" s="12" t="n">
        <f aca="false">INDEX(Hypothèses!$B$14:$B$17,MATCH(Q225,Hypothèses!$A$14:$A$17,0))</f>
        <v>1</v>
      </c>
      <c r="S225" s="15" t="str">
        <f aca="false">IF(G225="","",G225*R225)</f>
        <v/>
      </c>
      <c r="T225" s="15" t="n">
        <f aca="false">IF(H225="","",H225*R225)</f>
        <v>1423.97294</v>
      </c>
      <c r="U225" s="15" t="str">
        <f aca="false">IF(I225="","",I225*R225)</f>
        <v/>
      </c>
      <c r="V225" s="5" t="s">
        <v>195</v>
      </c>
      <c r="W225" s="5" t="s">
        <v>70</v>
      </c>
      <c r="X225" s="5" t="s">
        <v>198</v>
      </c>
    </row>
    <row r="226" customFormat="false" ht="15" hidden="false" customHeight="false" outlineLevel="0" collapsed="false">
      <c r="A226" s="5" t="s">
        <v>443</v>
      </c>
      <c r="B226" s="5" t="s">
        <v>64</v>
      </c>
      <c r="C226" s="5" t="s">
        <v>86</v>
      </c>
      <c r="D226" s="5" t="s">
        <v>413</v>
      </c>
      <c r="E226" s="5" t="s">
        <v>193</v>
      </c>
      <c r="F226" s="5" t="s">
        <v>206</v>
      </c>
      <c r="G226" s="15"/>
      <c r="H226" s="15" t="n">
        <v>1389.92526</v>
      </c>
      <c r="I226" s="15"/>
      <c r="J226" s="5" t="s">
        <v>195</v>
      </c>
      <c r="K226" s="5" t="n">
        <v>2023</v>
      </c>
      <c r="L226" s="5" t="str">
        <f aca="false">IF(AND(K226&gt;=Hypothèses!$B$9,K226&lt;=Hypothèses!$B$10),"actuel",IF(K226=2030,"2030",IF(K226=2050,"2050","autre")))</f>
        <v>actuel</v>
      </c>
      <c r="M226" s="5"/>
      <c r="N226" s="5" t="s">
        <v>196</v>
      </c>
      <c r="O226" s="5"/>
      <c r="P226" s="5" t="s">
        <v>230</v>
      </c>
      <c r="Q226" s="5" t="s">
        <v>45</v>
      </c>
      <c r="R226" s="12" t="n">
        <f aca="false">INDEX(Hypothèses!$B$14:$B$17,MATCH(Q226,Hypothèses!$A$14:$A$17,0))</f>
        <v>1</v>
      </c>
      <c r="S226" s="15" t="str">
        <f aca="false">IF(G226="","",G226*R226)</f>
        <v/>
      </c>
      <c r="T226" s="15" t="n">
        <f aca="false">IF(H226="","",H226*R226)</f>
        <v>1389.92526</v>
      </c>
      <c r="U226" s="15" t="str">
        <f aca="false">IF(I226="","",I226*R226)</f>
        <v/>
      </c>
      <c r="V226" s="5" t="s">
        <v>195</v>
      </c>
      <c r="W226" s="5" t="s">
        <v>70</v>
      </c>
      <c r="X226" s="5" t="s">
        <v>198</v>
      </c>
    </row>
    <row r="227" customFormat="false" ht="15" hidden="false" customHeight="false" outlineLevel="0" collapsed="false">
      <c r="A227" s="5" t="s">
        <v>444</v>
      </c>
      <c r="B227" s="5" t="s">
        <v>64</v>
      </c>
      <c r="C227" s="5" t="s">
        <v>86</v>
      </c>
      <c r="D227" s="5" t="s">
        <v>413</v>
      </c>
      <c r="E227" s="5" t="s">
        <v>193</v>
      </c>
      <c r="F227" s="5" t="s">
        <v>206</v>
      </c>
      <c r="G227" s="15"/>
      <c r="H227" s="15" t="n">
        <v>1355.87758</v>
      </c>
      <c r="I227" s="15"/>
      <c r="J227" s="5" t="s">
        <v>195</v>
      </c>
      <c r="K227" s="5" t="n">
        <v>2024</v>
      </c>
      <c r="L227" s="5" t="str">
        <f aca="false">IF(AND(K227&gt;=Hypothèses!$B$9,K227&lt;=Hypothèses!$B$10),"actuel",IF(K227=2030,"2030",IF(K227=2050,"2050","autre")))</f>
        <v>actuel</v>
      </c>
      <c r="M227" s="5"/>
      <c r="N227" s="5" t="s">
        <v>196</v>
      </c>
      <c r="O227" s="5"/>
      <c r="P227" s="5" t="s">
        <v>230</v>
      </c>
      <c r="Q227" s="5" t="s">
        <v>45</v>
      </c>
      <c r="R227" s="12" t="n">
        <f aca="false">INDEX(Hypothèses!$B$14:$B$17,MATCH(Q227,Hypothèses!$A$14:$A$17,0))</f>
        <v>1</v>
      </c>
      <c r="S227" s="15" t="str">
        <f aca="false">IF(G227="","",G227*R227)</f>
        <v/>
      </c>
      <c r="T227" s="15" t="n">
        <f aca="false">IF(H227="","",H227*R227)</f>
        <v>1355.87758</v>
      </c>
      <c r="U227" s="15" t="str">
        <f aca="false">IF(I227="","",I227*R227)</f>
        <v/>
      </c>
      <c r="V227" s="5" t="s">
        <v>195</v>
      </c>
      <c r="W227" s="5" t="s">
        <v>70</v>
      </c>
      <c r="X227" s="5" t="s">
        <v>198</v>
      </c>
    </row>
    <row r="228" customFormat="false" ht="15" hidden="false" customHeight="false" outlineLevel="0" collapsed="false">
      <c r="A228" s="5" t="s">
        <v>445</v>
      </c>
      <c r="B228" s="5" t="s">
        <v>64</v>
      </c>
      <c r="C228" s="5" t="s">
        <v>86</v>
      </c>
      <c r="D228" s="5" t="s">
        <v>413</v>
      </c>
      <c r="E228" s="5" t="s">
        <v>193</v>
      </c>
      <c r="F228" s="5" t="s">
        <v>206</v>
      </c>
      <c r="G228" s="15" t="n">
        <v>1186.6424</v>
      </c>
      <c r="H228" s="15" t="n">
        <v>1321.8299</v>
      </c>
      <c r="I228" s="15" t="n">
        <v>1457.0174</v>
      </c>
      <c r="J228" s="5" t="s">
        <v>195</v>
      </c>
      <c r="K228" s="5" t="n">
        <v>2025</v>
      </c>
      <c r="L228" s="5" t="str">
        <f aca="false">IF(AND(K228&gt;=Hypothèses!$B$9,K228&lt;=Hypothèses!$B$10),"actuel",IF(K228=2030,"2030",IF(K228=2050,"2050","autre")))</f>
        <v>actuel</v>
      </c>
      <c r="M228" s="5"/>
      <c r="N228" s="5" t="s">
        <v>196</v>
      </c>
      <c r="O228" s="5"/>
      <c r="P228" s="5" t="s">
        <v>230</v>
      </c>
      <c r="Q228" s="5" t="s">
        <v>45</v>
      </c>
      <c r="R228" s="12" t="n">
        <f aca="false">INDEX(Hypothèses!$B$14:$B$17,MATCH(Q228,Hypothèses!$A$14:$A$17,0))</f>
        <v>1</v>
      </c>
      <c r="S228" s="15" t="n">
        <f aca="false">IF(G228="","",G228*R228)</f>
        <v>1186.6424</v>
      </c>
      <c r="T228" s="15" t="n">
        <f aca="false">IF(H228="","",H228*R228)</f>
        <v>1321.8299</v>
      </c>
      <c r="U228" s="15" t="n">
        <f aca="false">IF(I228="","",I228*R228)</f>
        <v>1457.0174</v>
      </c>
      <c r="V228" s="5" t="s">
        <v>195</v>
      </c>
      <c r="W228" s="5" t="s">
        <v>70</v>
      </c>
      <c r="X228" s="5" t="s">
        <v>198</v>
      </c>
    </row>
    <row r="229" customFormat="false" ht="15" hidden="false" customHeight="false" outlineLevel="0" collapsed="false">
      <c r="A229" s="5" t="s">
        <v>446</v>
      </c>
      <c r="B229" s="5" t="s">
        <v>64</v>
      </c>
      <c r="C229" s="5" t="s">
        <v>86</v>
      </c>
      <c r="D229" s="5" t="s">
        <v>413</v>
      </c>
      <c r="E229" s="5" t="s">
        <v>193</v>
      </c>
      <c r="F229" s="5" t="s">
        <v>206</v>
      </c>
      <c r="G229" s="15" t="n">
        <v>1016.41018</v>
      </c>
      <c r="H229" s="15" t="n">
        <v>1181.6366</v>
      </c>
      <c r="I229" s="15" t="n">
        <v>1346.8692</v>
      </c>
      <c r="J229" s="5" t="s">
        <v>195</v>
      </c>
      <c r="K229" s="5" t="n">
        <v>2030</v>
      </c>
      <c r="L229" s="5" t="str">
        <f aca="false">IF(AND(K229&gt;=Hypothèses!$B$9,K229&lt;=Hypothèses!$B$10),"actuel",IF(K229=2030,"2030",IF(K229=2050,"2050","autre")))</f>
        <v>2030</v>
      </c>
      <c r="M229" s="5"/>
      <c r="N229" s="5" t="s">
        <v>196</v>
      </c>
      <c r="O229" s="5"/>
      <c r="P229" s="5" t="s">
        <v>230</v>
      </c>
      <c r="Q229" s="5" t="s">
        <v>45</v>
      </c>
      <c r="R229" s="12" t="n">
        <f aca="false">INDEX(Hypothèses!$B$14:$B$17,MATCH(Q229,Hypothèses!$A$14:$A$17,0))</f>
        <v>1</v>
      </c>
      <c r="S229" s="15" t="n">
        <f aca="false">IF(G229="","",G229*R229)</f>
        <v>1016.41018</v>
      </c>
      <c r="T229" s="15" t="n">
        <f aca="false">IF(H229="","",H229*R229)</f>
        <v>1181.6366</v>
      </c>
      <c r="U229" s="15" t="n">
        <f aca="false">IF(I229="","",I229*R229)</f>
        <v>1346.8692</v>
      </c>
      <c r="V229" s="5" t="s">
        <v>195</v>
      </c>
      <c r="W229" s="5" t="s">
        <v>70</v>
      </c>
      <c r="X229" s="5" t="s">
        <v>198</v>
      </c>
    </row>
    <row r="230" customFormat="false" ht="15" hidden="false" customHeight="false" outlineLevel="0" collapsed="false">
      <c r="A230" s="5" t="s">
        <v>447</v>
      </c>
      <c r="B230" s="5" t="s">
        <v>64</v>
      </c>
      <c r="C230" s="5" t="s">
        <v>86</v>
      </c>
      <c r="D230" s="5" t="s">
        <v>413</v>
      </c>
      <c r="E230" s="5" t="s">
        <v>193</v>
      </c>
      <c r="F230" s="5" t="s">
        <v>206</v>
      </c>
      <c r="G230" s="15" t="n">
        <v>836.16018</v>
      </c>
      <c r="H230" s="15" t="n">
        <v>1041.4433</v>
      </c>
      <c r="I230" s="15" t="n">
        <v>1256.7442</v>
      </c>
      <c r="J230" s="5" t="s">
        <v>195</v>
      </c>
      <c r="K230" s="5" t="n">
        <v>2035</v>
      </c>
      <c r="L230" s="5" t="str">
        <f aca="false">IF(AND(K230&gt;=Hypothèses!$B$9,K230&lt;=Hypothèses!$B$10),"actuel",IF(K230=2030,"2030",IF(K230=2050,"2050","autre")))</f>
        <v>autre</v>
      </c>
      <c r="M230" s="5"/>
      <c r="N230" s="5" t="s">
        <v>196</v>
      </c>
      <c r="O230" s="5"/>
      <c r="P230" s="5" t="s">
        <v>230</v>
      </c>
      <c r="Q230" s="5" t="s">
        <v>45</v>
      </c>
      <c r="R230" s="12" t="n">
        <f aca="false">INDEX(Hypothèses!$B$14:$B$17,MATCH(Q230,Hypothèses!$A$14:$A$17,0))</f>
        <v>1</v>
      </c>
      <c r="S230" s="15" t="n">
        <f aca="false">IF(G230="","",G230*R230)</f>
        <v>836.16018</v>
      </c>
      <c r="T230" s="15" t="n">
        <f aca="false">IF(H230="","",H230*R230)</f>
        <v>1041.4433</v>
      </c>
      <c r="U230" s="15" t="n">
        <f aca="false">IF(I230="","",I230*R230)</f>
        <v>1256.7442</v>
      </c>
      <c r="V230" s="5" t="s">
        <v>195</v>
      </c>
      <c r="W230" s="5" t="s">
        <v>70</v>
      </c>
      <c r="X230" s="5" t="s">
        <v>198</v>
      </c>
    </row>
    <row r="231" customFormat="false" ht="15" hidden="false" customHeight="false" outlineLevel="0" collapsed="false">
      <c r="A231" s="5" t="s">
        <v>448</v>
      </c>
      <c r="B231" s="5" t="s">
        <v>64</v>
      </c>
      <c r="C231" s="5" t="s">
        <v>86</v>
      </c>
      <c r="D231" s="5" t="s">
        <v>413</v>
      </c>
      <c r="E231" s="5" t="s">
        <v>193</v>
      </c>
      <c r="F231" s="5" t="s">
        <v>206</v>
      </c>
      <c r="G231" s="15" t="n">
        <v>680.94433</v>
      </c>
      <c r="H231" s="15" t="n">
        <v>931.29201</v>
      </c>
      <c r="I231" s="15" t="n">
        <v>1171.625</v>
      </c>
      <c r="J231" s="5" t="s">
        <v>195</v>
      </c>
      <c r="K231" s="5" t="n">
        <v>2040</v>
      </c>
      <c r="L231" s="5" t="str">
        <f aca="false">IF(AND(K231&gt;=Hypothèses!$B$9,K231&lt;=Hypothèses!$B$10),"actuel",IF(K231=2030,"2030",IF(K231=2050,"2050","autre")))</f>
        <v>autre</v>
      </c>
      <c r="M231" s="5"/>
      <c r="N231" s="5" t="s">
        <v>196</v>
      </c>
      <c r="O231" s="5"/>
      <c r="P231" s="5" t="s">
        <v>230</v>
      </c>
      <c r="Q231" s="5" t="s">
        <v>45</v>
      </c>
      <c r="R231" s="12" t="n">
        <f aca="false">INDEX(Hypothèses!$B$14:$B$17,MATCH(Q231,Hypothèses!$A$14:$A$17,0))</f>
        <v>1</v>
      </c>
      <c r="S231" s="15" t="n">
        <f aca="false">IF(G231="","",G231*R231)</f>
        <v>680.94433</v>
      </c>
      <c r="T231" s="15" t="n">
        <f aca="false">IF(H231="","",H231*R231)</f>
        <v>931.29201</v>
      </c>
      <c r="U231" s="15" t="n">
        <f aca="false">IF(I231="","",I231*R231)</f>
        <v>1171.625</v>
      </c>
      <c r="V231" s="5" t="s">
        <v>195</v>
      </c>
      <c r="W231" s="5" t="s">
        <v>70</v>
      </c>
      <c r="X231" s="5" t="s">
        <v>198</v>
      </c>
    </row>
    <row r="232" customFormat="false" ht="15" hidden="false" customHeight="false" outlineLevel="0" collapsed="false">
      <c r="A232" s="5" t="s">
        <v>449</v>
      </c>
      <c r="B232" s="5" t="s">
        <v>64</v>
      </c>
      <c r="C232" s="5" t="s">
        <v>86</v>
      </c>
      <c r="D232" s="5" t="s">
        <v>413</v>
      </c>
      <c r="E232" s="5" t="s">
        <v>193</v>
      </c>
      <c r="F232" s="5" t="s">
        <v>206</v>
      </c>
      <c r="G232" s="15" t="n">
        <v>540.75</v>
      </c>
      <c r="H232" s="15" t="n">
        <v>826.14549</v>
      </c>
      <c r="I232" s="15" t="n">
        <v>1096.5174</v>
      </c>
      <c r="J232" s="5" t="s">
        <v>195</v>
      </c>
      <c r="K232" s="5" t="n">
        <v>2045</v>
      </c>
      <c r="L232" s="5" t="str">
        <f aca="false">IF(AND(K232&gt;=Hypothèses!$B$9,K232&lt;=Hypothèses!$B$10),"actuel",IF(K232=2030,"2030",IF(K232=2050,"2050","autre")))</f>
        <v>autre</v>
      </c>
      <c r="M232" s="5"/>
      <c r="N232" s="5" t="s">
        <v>196</v>
      </c>
      <c r="O232" s="5"/>
      <c r="P232" s="5" t="s">
        <v>230</v>
      </c>
      <c r="Q232" s="5" t="s">
        <v>45</v>
      </c>
      <c r="R232" s="12" t="n">
        <f aca="false">INDEX(Hypothèses!$B$14:$B$17,MATCH(Q232,Hypothèses!$A$14:$A$17,0))</f>
        <v>1</v>
      </c>
      <c r="S232" s="15" t="n">
        <f aca="false">IF(G232="","",G232*R232)</f>
        <v>540.75</v>
      </c>
      <c r="T232" s="15" t="n">
        <f aca="false">IF(H232="","",H232*R232)</f>
        <v>826.14549</v>
      </c>
      <c r="U232" s="15" t="n">
        <f aca="false">IF(I232="","",I232*R232)</f>
        <v>1096.5174</v>
      </c>
      <c r="V232" s="5" t="s">
        <v>195</v>
      </c>
      <c r="W232" s="5" t="s">
        <v>70</v>
      </c>
      <c r="X232" s="5" t="s">
        <v>198</v>
      </c>
    </row>
    <row r="233" customFormat="false" ht="15" hidden="false" customHeight="false" outlineLevel="0" collapsed="false">
      <c r="A233" s="5" t="s">
        <v>450</v>
      </c>
      <c r="B233" s="5" t="s">
        <v>64</v>
      </c>
      <c r="C233" s="5" t="s">
        <v>86</v>
      </c>
      <c r="D233" s="5" t="s">
        <v>413</v>
      </c>
      <c r="E233" s="5" t="s">
        <v>193</v>
      </c>
      <c r="F233" s="5" t="s">
        <v>206</v>
      </c>
      <c r="G233" s="15" t="n">
        <v>425.58982</v>
      </c>
      <c r="H233" s="15" t="n">
        <v>731.01366</v>
      </c>
      <c r="I233" s="15" t="n">
        <v>1031.4317</v>
      </c>
      <c r="J233" s="5" t="s">
        <v>195</v>
      </c>
      <c r="K233" s="5" t="n">
        <v>2050</v>
      </c>
      <c r="L233" s="5" t="str">
        <f aca="false">IF(AND(K233&gt;=Hypothèses!$B$9,K233&lt;=Hypothèses!$B$10),"actuel",IF(K233=2030,"2030",IF(K233=2050,"2050","autre")))</f>
        <v>2050</v>
      </c>
      <c r="M233" s="5"/>
      <c r="N233" s="5" t="s">
        <v>196</v>
      </c>
      <c r="O233" s="5"/>
      <c r="P233" s="5" t="s">
        <v>230</v>
      </c>
      <c r="Q233" s="5" t="s">
        <v>45</v>
      </c>
      <c r="R233" s="12" t="n">
        <f aca="false">INDEX(Hypothèses!$B$14:$B$17,MATCH(Q233,Hypothèses!$A$14:$A$17,0))</f>
        <v>1</v>
      </c>
      <c r="S233" s="15" t="n">
        <f aca="false">IF(G233="","",G233*R233)</f>
        <v>425.58982</v>
      </c>
      <c r="T233" s="15" t="n">
        <f aca="false">IF(H233="","",H233*R233)</f>
        <v>731.01366</v>
      </c>
      <c r="U233" s="15" t="n">
        <f aca="false">IF(I233="","",I233*R233)</f>
        <v>1031.4317</v>
      </c>
      <c r="V233" s="5" t="s">
        <v>195</v>
      </c>
      <c r="W233" s="5" t="s">
        <v>70</v>
      </c>
      <c r="X233" s="5" t="s">
        <v>198</v>
      </c>
    </row>
    <row r="234" customFormat="false" ht="15" hidden="false" customHeight="false" outlineLevel="0" collapsed="false">
      <c r="A234" s="5" t="s">
        <v>451</v>
      </c>
      <c r="B234" s="5" t="s">
        <v>64</v>
      </c>
      <c r="C234" s="5" t="s">
        <v>88</v>
      </c>
      <c r="D234" s="5" t="s">
        <v>413</v>
      </c>
      <c r="E234" s="5" t="s">
        <v>193</v>
      </c>
      <c r="F234" s="5" t="s">
        <v>206</v>
      </c>
      <c r="G234" s="15"/>
      <c r="H234" s="15" t="n">
        <v>1442</v>
      </c>
      <c r="I234" s="15"/>
      <c r="J234" s="5" t="s">
        <v>195</v>
      </c>
      <c r="K234" s="5" t="n">
        <v>2020</v>
      </c>
      <c r="L234" s="5" t="str">
        <f aca="false">IF(AND(K234&gt;=Hypothèses!$B$9,K234&lt;=Hypothèses!$B$10),"actuel",IF(K234=2030,"2030",IF(K234=2050,"2050","autre")))</f>
        <v>actuel</v>
      </c>
      <c r="M234" s="5"/>
      <c r="N234" s="5" t="s">
        <v>196</v>
      </c>
      <c r="O234" s="5"/>
      <c r="P234" s="5" t="s">
        <v>207</v>
      </c>
      <c r="Q234" s="5" t="s">
        <v>45</v>
      </c>
      <c r="R234" s="12" t="n">
        <f aca="false">INDEX(Hypothèses!$B$14:$B$17,MATCH(Q234,Hypothèses!$A$14:$A$17,0))</f>
        <v>1</v>
      </c>
      <c r="S234" s="15" t="str">
        <f aca="false">IF(G234="","",G234*R234)</f>
        <v/>
      </c>
      <c r="T234" s="15" t="n">
        <f aca="false">IF(H234="","",H234*R234)</f>
        <v>1442</v>
      </c>
      <c r="U234" s="15" t="str">
        <f aca="false">IF(I234="","",I234*R234)</f>
        <v/>
      </c>
      <c r="V234" s="5" t="s">
        <v>195</v>
      </c>
      <c r="W234" s="5" t="s">
        <v>70</v>
      </c>
      <c r="X234" s="5" t="s">
        <v>198</v>
      </c>
    </row>
    <row r="235" customFormat="false" ht="15" hidden="false" customHeight="false" outlineLevel="0" collapsed="false">
      <c r="A235" s="5" t="s">
        <v>452</v>
      </c>
      <c r="B235" s="5" t="s">
        <v>64</v>
      </c>
      <c r="C235" s="5" t="s">
        <v>88</v>
      </c>
      <c r="D235" s="5" t="s">
        <v>413</v>
      </c>
      <c r="E235" s="5" t="s">
        <v>193</v>
      </c>
      <c r="F235" s="5" t="s">
        <v>206</v>
      </c>
      <c r="G235" s="15"/>
      <c r="H235" s="15" t="n">
        <v>154.5</v>
      </c>
      <c r="I235" s="15"/>
      <c r="J235" s="5" t="s">
        <v>195</v>
      </c>
      <c r="K235" s="5" t="n">
        <v>2050</v>
      </c>
      <c r="L235" s="5" t="str">
        <f aca="false">IF(AND(K235&gt;=Hypothèses!$B$9,K235&lt;=Hypothèses!$B$10),"actuel",IF(K235=2030,"2030",IF(K235=2050,"2050","autre")))</f>
        <v>2050</v>
      </c>
      <c r="M235" s="5"/>
      <c r="N235" s="5" t="s">
        <v>196</v>
      </c>
      <c r="O235" s="5"/>
      <c r="P235" s="5" t="s">
        <v>207</v>
      </c>
      <c r="Q235" s="5" t="s">
        <v>45</v>
      </c>
      <c r="R235" s="12" t="n">
        <f aca="false">INDEX(Hypothèses!$B$14:$B$17,MATCH(Q235,Hypothèses!$A$14:$A$17,0))</f>
        <v>1</v>
      </c>
      <c r="S235" s="15" t="str">
        <f aca="false">IF(G235="","",G235*R235)</f>
        <v/>
      </c>
      <c r="T235" s="15" t="n">
        <f aca="false">IF(H235="","",H235*R235)</f>
        <v>154.5</v>
      </c>
      <c r="U235" s="15" t="str">
        <f aca="false">IF(I235="","",I235*R235)</f>
        <v/>
      </c>
      <c r="V235" s="5" t="s">
        <v>195</v>
      </c>
      <c r="W235" s="5" t="s">
        <v>70</v>
      </c>
      <c r="X235" s="5" t="s">
        <v>198</v>
      </c>
    </row>
    <row r="236" customFormat="false" ht="15" hidden="false" customHeight="false" outlineLevel="0" collapsed="false">
      <c r="A236" s="5" t="s">
        <v>453</v>
      </c>
      <c r="B236" s="5" t="s">
        <v>64</v>
      </c>
      <c r="C236" s="5" t="s">
        <v>90</v>
      </c>
      <c r="D236" s="5" t="s">
        <v>413</v>
      </c>
      <c r="E236" s="5" t="s">
        <v>193</v>
      </c>
      <c r="F236" s="5" t="s">
        <v>206</v>
      </c>
      <c r="G236" s="15"/>
      <c r="H236" s="15" t="n">
        <v>1030</v>
      </c>
      <c r="I236" s="15"/>
      <c r="J236" s="5" t="s">
        <v>195</v>
      </c>
      <c r="K236" s="5" t="n">
        <v>2020</v>
      </c>
      <c r="L236" s="5" t="str">
        <f aca="false">IF(AND(K236&gt;=Hypothèses!$B$9,K236&lt;=Hypothèses!$B$10),"actuel",IF(K236=2030,"2030",IF(K236=2050,"2050","autre")))</f>
        <v>actuel</v>
      </c>
      <c r="M236" s="5"/>
      <c r="N236" s="5" t="s">
        <v>196</v>
      </c>
      <c r="O236" s="5"/>
      <c r="P236" s="5" t="s">
        <v>454</v>
      </c>
      <c r="Q236" s="5" t="s">
        <v>45</v>
      </c>
      <c r="R236" s="12" t="n">
        <f aca="false">INDEX(Hypothèses!$B$14:$B$17,MATCH(Q236,Hypothèses!$A$14:$A$17,0))</f>
        <v>1</v>
      </c>
      <c r="S236" s="15" t="str">
        <f aca="false">IF(G236="","",G236*R236)</f>
        <v/>
      </c>
      <c r="T236" s="15" t="n">
        <f aca="false">IF(H236="","",H236*R236)</f>
        <v>1030</v>
      </c>
      <c r="U236" s="15" t="str">
        <f aca="false">IF(I236="","",I236*R236)</f>
        <v/>
      </c>
      <c r="V236" s="5" t="s">
        <v>195</v>
      </c>
      <c r="W236" s="5" t="s">
        <v>70</v>
      </c>
      <c r="X236" s="5" t="s">
        <v>198</v>
      </c>
    </row>
    <row r="237" customFormat="false" ht="15" hidden="false" customHeight="false" outlineLevel="0" collapsed="false">
      <c r="A237" s="5" t="s">
        <v>455</v>
      </c>
      <c r="B237" s="5" t="s">
        <v>64</v>
      </c>
      <c r="C237" s="5" t="s">
        <v>90</v>
      </c>
      <c r="D237" s="5" t="s">
        <v>413</v>
      </c>
      <c r="E237" s="5" t="s">
        <v>193</v>
      </c>
      <c r="F237" s="5" t="s">
        <v>206</v>
      </c>
      <c r="G237" s="15"/>
      <c r="H237" s="15" t="n">
        <v>772.5</v>
      </c>
      <c r="I237" s="15"/>
      <c r="J237" s="5" t="s">
        <v>195</v>
      </c>
      <c r="K237" s="5" t="n">
        <v>2025</v>
      </c>
      <c r="L237" s="5" t="str">
        <f aca="false">IF(AND(K237&gt;=Hypothèses!$B$9,K237&lt;=Hypothèses!$B$10),"actuel",IF(K237=2030,"2030",IF(K237=2050,"2050","autre")))</f>
        <v>actuel</v>
      </c>
      <c r="M237" s="5"/>
      <c r="N237" s="5" t="s">
        <v>196</v>
      </c>
      <c r="O237" s="5"/>
      <c r="P237" s="5" t="s">
        <v>454</v>
      </c>
      <c r="Q237" s="5" t="s">
        <v>45</v>
      </c>
      <c r="R237" s="12" t="n">
        <f aca="false">INDEX(Hypothèses!$B$14:$B$17,MATCH(Q237,Hypothèses!$A$14:$A$17,0))</f>
        <v>1</v>
      </c>
      <c r="S237" s="15" t="str">
        <f aca="false">IF(G237="","",G237*R237)</f>
        <v/>
      </c>
      <c r="T237" s="15" t="n">
        <f aca="false">IF(H237="","",H237*R237)</f>
        <v>772.5</v>
      </c>
      <c r="U237" s="15" t="str">
        <f aca="false">IF(I237="","",I237*R237)</f>
        <v/>
      </c>
      <c r="V237" s="5" t="s">
        <v>195</v>
      </c>
      <c r="W237" s="5" t="s">
        <v>70</v>
      </c>
      <c r="X237" s="5" t="s">
        <v>198</v>
      </c>
    </row>
    <row r="238" customFormat="false" ht="15" hidden="false" customHeight="false" outlineLevel="0" collapsed="false">
      <c r="A238" s="5" t="s">
        <v>456</v>
      </c>
      <c r="B238" s="5" t="s">
        <v>64</v>
      </c>
      <c r="C238" s="5" t="s">
        <v>90</v>
      </c>
      <c r="D238" s="5" t="s">
        <v>413</v>
      </c>
      <c r="E238" s="5" t="s">
        <v>193</v>
      </c>
      <c r="F238" s="5" t="s">
        <v>206</v>
      </c>
      <c r="G238" s="15"/>
      <c r="H238" s="15" t="n">
        <v>669.5</v>
      </c>
      <c r="I238" s="15"/>
      <c r="J238" s="5" t="s">
        <v>195</v>
      </c>
      <c r="K238" s="5" t="n">
        <v>2030</v>
      </c>
      <c r="L238" s="5" t="str">
        <f aca="false">IF(AND(K238&gt;=Hypothèses!$B$9,K238&lt;=Hypothèses!$B$10),"actuel",IF(K238=2030,"2030",IF(K238=2050,"2050","autre")))</f>
        <v>2030</v>
      </c>
      <c r="M238" s="5"/>
      <c r="N238" s="5" t="s">
        <v>196</v>
      </c>
      <c r="O238" s="5"/>
      <c r="P238" s="5" t="s">
        <v>454</v>
      </c>
      <c r="Q238" s="5" t="s">
        <v>45</v>
      </c>
      <c r="R238" s="12" t="n">
        <f aca="false">INDEX(Hypothèses!$B$14:$B$17,MATCH(Q238,Hypothèses!$A$14:$A$17,0))</f>
        <v>1</v>
      </c>
      <c r="S238" s="15" t="str">
        <f aca="false">IF(G238="","",G238*R238)</f>
        <v/>
      </c>
      <c r="T238" s="15" t="n">
        <f aca="false">IF(H238="","",H238*R238)</f>
        <v>669.5</v>
      </c>
      <c r="U238" s="15" t="str">
        <f aca="false">IF(I238="","",I238*R238)</f>
        <v/>
      </c>
      <c r="V238" s="5" t="s">
        <v>195</v>
      </c>
      <c r="W238" s="5" t="s">
        <v>70</v>
      </c>
      <c r="X238" s="5" t="s">
        <v>198</v>
      </c>
    </row>
    <row r="239" customFormat="false" ht="15" hidden="false" customHeight="false" outlineLevel="0" collapsed="false">
      <c r="A239" s="5" t="s">
        <v>457</v>
      </c>
      <c r="B239" s="5" t="s">
        <v>64</v>
      </c>
      <c r="C239" s="5" t="s">
        <v>92</v>
      </c>
      <c r="D239" s="5" t="s">
        <v>413</v>
      </c>
      <c r="E239" s="5" t="s">
        <v>193</v>
      </c>
      <c r="F239" s="5" t="s">
        <v>206</v>
      </c>
      <c r="G239" s="15"/>
      <c r="H239" s="15" t="n">
        <v>1442</v>
      </c>
      <c r="I239" s="15"/>
      <c r="J239" s="5" t="s">
        <v>195</v>
      </c>
      <c r="K239" s="5" t="n">
        <v>2020</v>
      </c>
      <c r="L239" s="5" t="str">
        <f aca="false">IF(AND(K239&gt;=Hypothèses!$B$9,K239&lt;=Hypothèses!$B$10),"actuel",IF(K239=2030,"2030",IF(K239=2050,"2050","autre")))</f>
        <v>actuel</v>
      </c>
      <c r="M239" s="5"/>
      <c r="N239" s="5" t="s">
        <v>196</v>
      </c>
      <c r="O239" s="5"/>
      <c r="P239" s="5" t="s">
        <v>238</v>
      </c>
      <c r="Q239" s="5" t="s">
        <v>45</v>
      </c>
      <c r="R239" s="12" t="n">
        <f aca="false">INDEX(Hypothèses!$B$14:$B$17,MATCH(Q239,Hypothèses!$A$14:$A$17,0))</f>
        <v>1</v>
      </c>
      <c r="S239" s="15" t="str">
        <f aca="false">IF(G239="","",G239*R239)</f>
        <v/>
      </c>
      <c r="T239" s="15" t="n">
        <f aca="false">IF(H239="","",H239*R239)</f>
        <v>1442</v>
      </c>
      <c r="U239" s="15" t="str">
        <f aca="false">IF(I239="","",I239*R239)</f>
        <v/>
      </c>
      <c r="V239" s="5" t="s">
        <v>195</v>
      </c>
      <c r="W239" s="5" t="s">
        <v>70</v>
      </c>
      <c r="X239" s="5" t="s">
        <v>198</v>
      </c>
    </row>
    <row r="240" customFormat="false" ht="15" hidden="false" customHeight="false" outlineLevel="0" collapsed="false">
      <c r="A240" s="5" t="s">
        <v>458</v>
      </c>
      <c r="B240" s="5" t="s">
        <v>64</v>
      </c>
      <c r="C240" s="5" t="s">
        <v>92</v>
      </c>
      <c r="D240" s="5" t="s">
        <v>413</v>
      </c>
      <c r="E240" s="5" t="s">
        <v>193</v>
      </c>
      <c r="F240" s="5" t="s">
        <v>206</v>
      </c>
      <c r="G240" s="15"/>
      <c r="H240" s="15" t="n">
        <v>831.21</v>
      </c>
      <c r="I240" s="15"/>
      <c r="J240" s="5" t="s">
        <v>195</v>
      </c>
      <c r="K240" s="5" t="n">
        <v>2025</v>
      </c>
      <c r="L240" s="5" t="str">
        <f aca="false">IF(AND(K240&gt;=Hypothèses!$B$9,K240&lt;=Hypothèses!$B$10),"actuel",IF(K240=2030,"2030",IF(K240=2050,"2050","autre")))</f>
        <v>actuel</v>
      </c>
      <c r="M240" s="5"/>
      <c r="N240" s="5" t="s">
        <v>196</v>
      </c>
      <c r="O240" s="5"/>
      <c r="P240" s="5" t="s">
        <v>238</v>
      </c>
      <c r="Q240" s="5" t="s">
        <v>45</v>
      </c>
      <c r="R240" s="12" t="n">
        <f aca="false">INDEX(Hypothèses!$B$14:$B$17,MATCH(Q240,Hypothèses!$A$14:$A$17,0))</f>
        <v>1</v>
      </c>
      <c r="S240" s="15" t="str">
        <f aca="false">IF(G240="","",G240*R240)</f>
        <v/>
      </c>
      <c r="T240" s="15" t="n">
        <f aca="false">IF(H240="","",H240*R240)</f>
        <v>831.21</v>
      </c>
      <c r="U240" s="15" t="str">
        <f aca="false">IF(I240="","",I240*R240)</f>
        <v/>
      </c>
      <c r="V240" s="5" t="s">
        <v>195</v>
      </c>
      <c r="W240" s="5" t="s">
        <v>70</v>
      </c>
      <c r="X240" s="5" t="s">
        <v>198</v>
      </c>
    </row>
    <row r="241" customFormat="false" ht="15" hidden="false" customHeight="false" outlineLevel="0" collapsed="false">
      <c r="A241" s="5" t="s">
        <v>459</v>
      </c>
      <c r="B241" s="5" t="s">
        <v>64</v>
      </c>
      <c r="C241" s="5" t="s">
        <v>92</v>
      </c>
      <c r="D241" s="5" t="s">
        <v>413</v>
      </c>
      <c r="E241" s="5" t="s">
        <v>193</v>
      </c>
      <c r="F241" s="5" t="s">
        <v>206</v>
      </c>
      <c r="G241" s="15"/>
      <c r="H241" s="15" t="n">
        <v>569.59</v>
      </c>
      <c r="I241" s="15"/>
      <c r="J241" s="5" t="s">
        <v>195</v>
      </c>
      <c r="K241" s="5" t="n">
        <v>2030</v>
      </c>
      <c r="L241" s="5" t="str">
        <f aca="false">IF(AND(K241&gt;=Hypothèses!$B$9,K241&lt;=Hypothèses!$B$10),"actuel",IF(K241=2030,"2030",IF(K241=2050,"2050","autre")))</f>
        <v>2030</v>
      </c>
      <c r="M241" s="5"/>
      <c r="N241" s="5" t="s">
        <v>196</v>
      </c>
      <c r="O241" s="5"/>
      <c r="P241" s="5" t="s">
        <v>238</v>
      </c>
      <c r="Q241" s="5" t="s">
        <v>45</v>
      </c>
      <c r="R241" s="12" t="n">
        <f aca="false">INDEX(Hypothèses!$B$14:$B$17,MATCH(Q241,Hypothèses!$A$14:$A$17,0))</f>
        <v>1</v>
      </c>
      <c r="S241" s="15" t="str">
        <f aca="false">IF(G241="","",G241*R241)</f>
        <v/>
      </c>
      <c r="T241" s="15" t="n">
        <f aca="false">IF(H241="","",H241*R241)</f>
        <v>569.59</v>
      </c>
      <c r="U241" s="15" t="str">
        <f aca="false">IF(I241="","",I241*R241)</f>
        <v/>
      </c>
      <c r="V241" s="5" t="s">
        <v>195</v>
      </c>
      <c r="W241" s="5" t="s">
        <v>70</v>
      </c>
      <c r="X241" s="5" t="s">
        <v>198</v>
      </c>
    </row>
    <row r="242" customFormat="false" ht="15" hidden="false" customHeight="false" outlineLevel="0" collapsed="false">
      <c r="A242" s="5" t="s">
        <v>460</v>
      </c>
      <c r="B242" s="5" t="s">
        <v>64</v>
      </c>
      <c r="C242" s="5" t="s">
        <v>92</v>
      </c>
      <c r="D242" s="5" t="s">
        <v>413</v>
      </c>
      <c r="E242" s="5" t="s">
        <v>193</v>
      </c>
      <c r="F242" s="5" t="s">
        <v>206</v>
      </c>
      <c r="G242" s="15"/>
      <c r="H242" s="15" t="n">
        <v>307.97</v>
      </c>
      <c r="I242" s="15"/>
      <c r="J242" s="5" t="s">
        <v>195</v>
      </c>
      <c r="K242" s="5" t="n">
        <v>2050</v>
      </c>
      <c r="L242" s="5" t="str">
        <f aca="false">IF(AND(K242&gt;=Hypothèses!$B$9,K242&lt;=Hypothèses!$B$10),"actuel",IF(K242=2030,"2030",IF(K242=2050,"2050","autre")))</f>
        <v>2050</v>
      </c>
      <c r="M242" s="5"/>
      <c r="N242" s="5" t="s">
        <v>196</v>
      </c>
      <c r="O242" s="5"/>
      <c r="P242" s="5" t="s">
        <v>238</v>
      </c>
      <c r="Q242" s="5" t="s">
        <v>45</v>
      </c>
      <c r="R242" s="12" t="n">
        <f aca="false">INDEX(Hypothèses!$B$14:$B$17,MATCH(Q242,Hypothèses!$A$14:$A$17,0))</f>
        <v>1</v>
      </c>
      <c r="S242" s="15" t="str">
        <f aca="false">IF(G242="","",G242*R242)</f>
        <v/>
      </c>
      <c r="T242" s="15" t="n">
        <f aca="false">IF(H242="","",H242*R242)</f>
        <v>307.97</v>
      </c>
      <c r="U242" s="15" t="str">
        <f aca="false">IF(I242="","",I242*R242)</f>
        <v/>
      </c>
      <c r="V242" s="5" t="s">
        <v>195</v>
      </c>
      <c r="W242" s="5" t="s">
        <v>70</v>
      </c>
      <c r="X242" s="5" t="s">
        <v>198</v>
      </c>
    </row>
    <row r="243" customFormat="false" ht="15" hidden="false" customHeight="false" outlineLevel="0" collapsed="false">
      <c r="A243" s="5" t="s">
        <v>461</v>
      </c>
      <c r="B243" s="5" t="s">
        <v>64</v>
      </c>
      <c r="C243" s="5" t="s">
        <v>94</v>
      </c>
      <c r="D243" s="5" t="s">
        <v>413</v>
      </c>
      <c r="E243" s="5" t="s">
        <v>193</v>
      </c>
      <c r="F243" s="5" t="s">
        <v>206</v>
      </c>
      <c r="G243" s="15" t="n">
        <v>768.988096153847</v>
      </c>
      <c r="H243" s="15" t="n">
        <v>841.826923076923</v>
      </c>
      <c r="I243" s="15" t="n">
        <v>921.936163461538</v>
      </c>
      <c r="J243" s="5" t="s">
        <v>195</v>
      </c>
      <c r="K243" s="5" t="n">
        <v>2020</v>
      </c>
      <c r="L243" s="5" t="str">
        <f aca="false">IF(AND(K243&gt;=Hypothèses!$B$9,K243&lt;=Hypothèses!$B$10),"actuel",IF(K243=2030,"2030",IF(K243=2050,"2050","autre")))</f>
        <v>actuel</v>
      </c>
      <c r="M243" s="5"/>
      <c r="N243" s="5" t="s">
        <v>196</v>
      </c>
      <c r="O243" s="5"/>
      <c r="P243" s="5" t="s">
        <v>243</v>
      </c>
      <c r="Q243" s="5" t="s">
        <v>45</v>
      </c>
      <c r="R243" s="12" t="n">
        <f aca="false">INDEX(Hypothèses!$B$14:$B$17,MATCH(Q243,Hypothèses!$A$14:$A$17,0))</f>
        <v>1</v>
      </c>
      <c r="S243" s="15" t="n">
        <f aca="false">IF(G243="","",G243*R243)</f>
        <v>768.988096153847</v>
      </c>
      <c r="T243" s="15" t="n">
        <f aca="false">IF(H243="","",H243*R243)</f>
        <v>841.826923076923</v>
      </c>
      <c r="U243" s="15" t="n">
        <f aca="false">IF(I243="","",I243*R243)</f>
        <v>921.936163461538</v>
      </c>
      <c r="V243" s="5" t="s">
        <v>195</v>
      </c>
      <c r="W243" s="5" t="s">
        <v>70</v>
      </c>
      <c r="X243" s="5" t="s">
        <v>198</v>
      </c>
    </row>
    <row r="244" customFormat="false" ht="15" hidden="false" customHeight="false" outlineLevel="0" collapsed="false">
      <c r="A244" s="5" t="s">
        <v>462</v>
      </c>
      <c r="B244" s="5" t="s">
        <v>64</v>
      </c>
      <c r="C244" s="5" t="s">
        <v>94</v>
      </c>
      <c r="D244" s="5" t="s">
        <v>413</v>
      </c>
      <c r="E244" s="5" t="s">
        <v>193</v>
      </c>
      <c r="F244" s="5" t="s">
        <v>206</v>
      </c>
      <c r="G244" s="15" t="n">
        <v>634.733538461538</v>
      </c>
      <c r="H244" s="15" t="n">
        <v>780.883605769231</v>
      </c>
      <c r="I244" s="15" t="n">
        <v>904.941163461538</v>
      </c>
      <c r="J244" s="5" t="s">
        <v>195</v>
      </c>
      <c r="K244" s="5" t="n">
        <v>2021</v>
      </c>
      <c r="L244" s="5" t="str">
        <f aca="false">IF(AND(K244&gt;=Hypothèses!$B$9,K244&lt;=Hypothèses!$B$10),"actuel",IF(K244=2030,"2030",IF(K244=2050,"2050","autre")))</f>
        <v>actuel</v>
      </c>
      <c r="M244" s="5"/>
      <c r="N244" s="5" t="s">
        <v>196</v>
      </c>
      <c r="O244" s="5"/>
      <c r="P244" s="5" t="s">
        <v>243</v>
      </c>
      <c r="Q244" s="5" t="s">
        <v>45</v>
      </c>
      <c r="R244" s="12" t="n">
        <f aca="false">INDEX(Hypothèses!$B$14:$B$17,MATCH(Q244,Hypothèses!$A$14:$A$17,0))</f>
        <v>1</v>
      </c>
      <c r="S244" s="15" t="n">
        <f aca="false">IF(G244="","",G244*R244)</f>
        <v>634.733538461538</v>
      </c>
      <c r="T244" s="15" t="n">
        <f aca="false">IF(H244="","",H244*R244)</f>
        <v>780.883605769231</v>
      </c>
      <c r="U244" s="15" t="n">
        <f aca="false">IF(I244="","",I244*R244)</f>
        <v>904.941163461538</v>
      </c>
      <c r="V244" s="5" t="s">
        <v>195</v>
      </c>
      <c r="W244" s="5" t="s">
        <v>70</v>
      </c>
      <c r="X244" s="5" t="s">
        <v>198</v>
      </c>
    </row>
    <row r="245" customFormat="false" ht="15" hidden="false" customHeight="false" outlineLevel="0" collapsed="false">
      <c r="A245" s="5" t="s">
        <v>463</v>
      </c>
      <c r="B245" s="5" t="s">
        <v>64</v>
      </c>
      <c r="C245" s="5" t="s">
        <v>94</v>
      </c>
      <c r="D245" s="5" t="s">
        <v>413</v>
      </c>
      <c r="E245" s="5" t="s">
        <v>193</v>
      </c>
      <c r="F245" s="5" t="s">
        <v>206</v>
      </c>
      <c r="G245" s="15" t="n">
        <v>539.566490384615</v>
      </c>
      <c r="H245" s="15" t="n">
        <v>719.704576923077</v>
      </c>
      <c r="I245" s="15" t="n">
        <v>878.600894230769</v>
      </c>
      <c r="J245" s="5" t="s">
        <v>195</v>
      </c>
      <c r="K245" s="5" t="n">
        <v>2022</v>
      </c>
      <c r="L245" s="5" t="str">
        <f aca="false">IF(AND(K245&gt;=Hypothèses!$B$9,K245&lt;=Hypothèses!$B$10),"actuel",IF(K245=2030,"2030",IF(K245=2050,"2050","autre")))</f>
        <v>actuel</v>
      </c>
      <c r="M245" s="5"/>
      <c r="N245" s="5" t="s">
        <v>196</v>
      </c>
      <c r="O245" s="5"/>
      <c r="P245" s="5" t="s">
        <v>243</v>
      </c>
      <c r="Q245" s="5" t="s">
        <v>45</v>
      </c>
      <c r="R245" s="12" t="n">
        <f aca="false">INDEX(Hypothèses!$B$14:$B$17,MATCH(Q245,Hypothèses!$A$14:$A$17,0))</f>
        <v>1</v>
      </c>
      <c r="S245" s="15" t="n">
        <f aca="false">IF(G245="","",G245*R245)</f>
        <v>539.566490384615</v>
      </c>
      <c r="T245" s="15" t="n">
        <f aca="false">IF(H245="","",H245*R245)</f>
        <v>719.704576923077</v>
      </c>
      <c r="U245" s="15" t="n">
        <f aca="false">IF(I245="","",I245*R245)</f>
        <v>878.600894230769</v>
      </c>
      <c r="V245" s="5" t="s">
        <v>195</v>
      </c>
      <c r="W245" s="5" t="s">
        <v>70</v>
      </c>
      <c r="X245" s="5" t="s">
        <v>198</v>
      </c>
    </row>
    <row r="246" customFormat="false" ht="15" hidden="false" customHeight="false" outlineLevel="0" collapsed="false">
      <c r="A246" s="5" t="s">
        <v>464</v>
      </c>
      <c r="B246" s="5" t="s">
        <v>64</v>
      </c>
      <c r="C246" s="5" t="s">
        <v>94</v>
      </c>
      <c r="D246" s="5" t="s">
        <v>413</v>
      </c>
      <c r="E246" s="5" t="s">
        <v>193</v>
      </c>
      <c r="F246" s="5" t="s">
        <v>206</v>
      </c>
      <c r="G246" s="15" t="n">
        <v>468.190461538462</v>
      </c>
      <c r="H246" s="15" t="n">
        <v>657.675798076923</v>
      </c>
      <c r="I246" s="15" t="n">
        <v>851.409884615385</v>
      </c>
      <c r="J246" s="5" t="s">
        <v>195</v>
      </c>
      <c r="K246" s="5" t="n">
        <v>2023</v>
      </c>
      <c r="L246" s="5" t="str">
        <f aca="false">IF(AND(K246&gt;=Hypothèses!$B$9,K246&lt;=Hypothèses!$B$10),"actuel",IF(K246=2030,"2030",IF(K246=2050,"2050","autre")))</f>
        <v>actuel</v>
      </c>
      <c r="M246" s="5"/>
      <c r="N246" s="5" t="s">
        <v>196</v>
      </c>
      <c r="O246" s="5"/>
      <c r="P246" s="5" t="s">
        <v>243</v>
      </c>
      <c r="Q246" s="5" t="s">
        <v>45</v>
      </c>
      <c r="R246" s="12" t="n">
        <f aca="false">INDEX(Hypothèses!$B$14:$B$17,MATCH(Q246,Hypothèses!$A$14:$A$17,0))</f>
        <v>1</v>
      </c>
      <c r="S246" s="15" t="n">
        <f aca="false">IF(G246="","",G246*R246)</f>
        <v>468.190461538462</v>
      </c>
      <c r="T246" s="15" t="n">
        <f aca="false">IF(H246="","",H246*R246)</f>
        <v>657.675798076923</v>
      </c>
      <c r="U246" s="15" t="n">
        <f aca="false">IF(I246="","",I246*R246)</f>
        <v>851.409884615385</v>
      </c>
      <c r="V246" s="5" t="s">
        <v>195</v>
      </c>
      <c r="W246" s="5" t="s">
        <v>70</v>
      </c>
      <c r="X246" s="5" t="s">
        <v>198</v>
      </c>
    </row>
    <row r="247" customFormat="false" ht="15" hidden="false" customHeight="false" outlineLevel="0" collapsed="false">
      <c r="A247" s="5" t="s">
        <v>465</v>
      </c>
      <c r="B247" s="5" t="s">
        <v>64</v>
      </c>
      <c r="C247" s="5" t="s">
        <v>94</v>
      </c>
      <c r="D247" s="5" t="s">
        <v>413</v>
      </c>
      <c r="E247" s="5" t="s">
        <v>193</v>
      </c>
      <c r="F247" s="5" t="s">
        <v>206</v>
      </c>
      <c r="G247" s="15" t="n">
        <v>407.861182692308</v>
      </c>
      <c r="H247" s="15" t="n">
        <v>605.843028846154</v>
      </c>
      <c r="I247" s="15" t="n">
        <v>820.819875</v>
      </c>
      <c r="J247" s="5" t="s">
        <v>195</v>
      </c>
      <c r="K247" s="5" t="n">
        <v>2024</v>
      </c>
      <c r="L247" s="5" t="str">
        <f aca="false">IF(AND(K247&gt;=Hypothèses!$B$9,K247&lt;=Hypothèses!$B$10),"actuel",IF(K247=2030,"2030",IF(K247=2050,"2050","autre")))</f>
        <v>actuel</v>
      </c>
      <c r="M247" s="5"/>
      <c r="N247" s="5" t="s">
        <v>196</v>
      </c>
      <c r="O247" s="5"/>
      <c r="P247" s="5" t="s">
        <v>243</v>
      </c>
      <c r="Q247" s="5" t="s">
        <v>45</v>
      </c>
      <c r="R247" s="12" t="n">
        <f aca="false">INDEX(Hypothèses!$B$14:$B$17,MATCH(Q247,Hypothèses!$A$14:$A$17,0))</f>
        <v>1</v>
      </c>
      <c r="S247" s="15" t="n">
        <f aca="false">IF(G247="","",G247*R247)</f>
        <v>407.861182692308</v>
      </c>
      <c r="T247" s="15" t="n">
        <f aca="false">IF(H247="","",H247*R247)</f>
        <v>605.843028846154</v>
      </c>
      <c r="U247" s="15" t="n">
        <f aca="false">IF(I247="","",I247*R247)</f>
        <v>820.819875</v>
      </c>
      <c r="V247" s="5" t="s">
        <v>195</v>
      </c>
      <c r="W247" s="5" t="s">
        <v>70</v>
      </c>
      <c r="X247" s="5" t="s">
        <v>198</v>
      </c>
    </row>
    <row r="248" customFormat="false" ht="15" hidden="false" customHeight="false" outlineLevel="0" collapsed="false">
      <c r="A248" s="5" t="s">
        <v>466</v>
      </c>
      <c r="B248" s="5" t="s">
        <v>64</v>
      </c>
      <c r="C248" s="5" t="s">
        <v>94</v>
      </c>
      <c r="D248" s="5" t="s">
        <v>413</v>
      </c>
      <c r="E248" s="5" t="s">
        <v>193</v>
      </c>
      <c r="F248" s="5" t="s">
        <v>206</v>
      </c>
      <c r="G248" s="15" t="n">
        <v>357.727913461539</v>
      </c>
      <c r="H248" s="15" t="n">
        <v>555.71075</v>
      </c>
      <c r="I248" s="15" t="n">
        <v>791.080605769231</v>
      </c>
      <c r="J248" s="5" t="s">
        <v>195</v>
      </c>
      <c r="K248" s="5" t="n">
        <v>2025</v>
      </c>
      <c r="L248" s="5" t="str">
        <f aca="false">IF(AND(K248&gt;=Hypothèses!$B$9,K248&lt;=Hypothèses!$B$10),"actuel",IF(K248=2030,"2030",IF(K248=2050,"2050","autre")))</f>
        <v>actuel</v>
      </c>
      <c r="M248" s="5"/>
      <c r="N248" s="5" t="s">
        <v>196</v>
      </c>
      <c r="O248" s="5"/>
      <c r="P248" s="5" t="s">
        <v>243</v>
      </c>
      <c r="Q248" s="5" t="s">
        <v>45</v>
      </c>
      <c r="R248" s="12" t="n">
        <f aca="false">INDEX(Hypothèses!$B$14:$B$17,MATCH(Q248,Hypothèses!$A$14:$A$17,0))</f>
        <v>1</v>
      </c>
      <c r="S248" s="15" t="n">
        <f aca="false">IF(G248="","",G248*R248)</f>
        <v>357.727913461539</v>
      </c>
      <c r="T248" s="15" t="n">
        <f aca="false">IF(H248="","",H248*R248)</f>
        <v>555.71075</v>
      </c>
      <c r="U248" s="15" t="n">
        <f aca="false">IF(I248="","",I248*R248)</f>
        <v>791.080605769231</v>
      </c>
      <c r="V248" s="5" t="s">
        <v>195</v>
      </c>
      <c r="W248" s="5" t="s">
        <v>70</v>
      </c>
      <c r="X248" s="5" t="s">
        <v>198</v>
      </c>
    </row>
    <row r="249" customFormat="false" ht="15" hidden="false" customHeight="false" outlineLevel="0" collapsed="false">
      <c r="A249" s="5" t="s">
        <v>467</v>
      </c>
      <c r="B249" s="5" t="s">
        <v>64</v>
      </c>
      <c r="C249" s="5" t="s">
        <v>94</v>
      </c>
      <c r="D249" s="5" t="s">
        <v>413</v>
      </c>
      <c r="E249" s="5" t="s">
        <v>193</v>
      </c>
      <c r="F249" s="5" t="s">
        <v>206</v>
      </c>
      <c r="G249" s="15" t="n">
        <v>315.242394230769</v>
      </c>
      <c r="H249" s="15" t="n">
        <v>506.427230769231</v>
      </c>
      <c r="I249" s="15" t="n">
        <v>758.791096153846</v>
      </c>
      <c r="J249" s="5" t="s">
        <v>195</v>
      </c>
      <c r="K249" s="5" t="n">
        <v>2026</v>
      </c>
      <c r="L249" s="5" t="str">
        <f aca="false">IF(AND(K249&gt;=Hypothèses!$B$9,K249&lt;=Hypothèses!$B$10),"actuel",IF(K249=2030,"2030",IF(K249=2050,"2050","autre")))</f>
        <v>autre</v>
      </c>
      <c r="M249" s="5"/>
      <c r="N249" s="5" t="s">
        <v>196</v>
      </c>
      <c r="O249" s="5"/>
      <c r="P249" s="5" t="s">
        <v>243</v>
      </c>
      <c r="Q249" s="5" t="s">
        <v>45</v>
      </c>
      <c r="R249" s="12" t="n">
        <f aca="false">INDEX(Hypothèses!$B$14:$B$17,MATCH(Q249,Hypothèses!$A$14:$A$17,0))</f>
        <v>1</v>
      </c>
      <c r="S249" s="15" t="n">
        <f aca="false">IF(G249="","",G249*R249)</f>
        <v>315.242394230769</v>
      </c>
      <c r="T249" s="15" t="n">
        <f aca="false">IF(H249="","",H249*R249)</f>
        <v>506.427230769231</v>
      </c>
      <c r="U249" s="15" t="n">
        <f aca="false">IF(I249="","",I249*R249)</f>
        <v>758.791096153846</v>
      </c>
      <c r="V249" s="5" t="s">
        <v>195</v>
      </c>
      <c r="W249" s="5" t="s">
        <v>70</v>
      </c>
      <c r="X249" s="5" t="s">
        <v>198</v>
      </c>
    </row>
    <row r="250" customFormat="false" ht="15" hidden="false" customHeight="false" outlineLevel="0" collapsed="false">
      <c r="A250" s="5" t="s">
        <v>468</v>
      </c>
      <c r="B250" s="5" t="s">
        <v>64</v>
      </c>
      <c r="C250" s="5" t="s">
        <v>94</v>
      </c>
      <c r="D250" s="5" t="s">
        <v>413</v>
      </c>
      <c r="E250" s="5" t="s">
        <v>193</v>
      </c>
      <c r="F250" s="5" t="s">
        <v>206</v>
      </c>
      <c r="G250" s="15" t="n">
        <v>282.104125</v>
      </c>
      <c r="H250" s="15" t="n">
        <v>466.490961538462</v>
      </c>
      <c r="I250" s="15" t="n">
        <v>729.051826923077</v>
      </c>
      <c r="J250" s="5" t="s">
        <v>195</v>
      </c>
      <c r="K250" s="5" t="n">
        <v>2027</v>
      </c>
      <c r="L250" s="5" t="str">
        <f aca="false">IF(AND(K250&gt;=Hypothèses!$B$9,K250&lt;=Hypothèses!$B$10),"actuel",IF(K250=2030,"2030",IF(K250=2050,"2050","autre")))</f>
        <v>autre</v>
      </c>
      <c r="M250" s="5"/>
      <c r="N250" s="5" t="s">
        <v>196</v>
      </c>
      <c r="O250" s="5"/>
      <c r="P250" s="5" t="s">
        <v>243</v>
      </c>
      <c r="Q250" s="5" t="s">
        <v>45</v>
      </c>
      <c r="R250" s="12" t="n">
        <f aca="false">INDEX(Hypothèses!$B$14:$B$17,MATCH(Q250,Hypothèses!$A$14:$A$17,0))</f>
        <v>1</v>
      </c>
      <c r="S250" s="15" t="n">
        <f aca="false">IF(G250="","",G250*R250)</f>
        <v>282.104125</v>
      </c>
      <c r="T250" s="15" t="n">
        <f aca="false">IF(H250="","",H250*R250)</f>
        <v>466.490961538462</v>
      </c>
      <c r="U250" s="15" t="n">
        <f aca="false">IF(I250="","",I250*R250)</f>
        <v>729.051826923077</v>
      </c>
      <c r="V250" s="5" t="s">
        <v>195</v>
      </c>
      <c r="W250" s="5" t="s">
        <v>70</v>
      </c>
      <c r="X250" s="5" t="s">
        <v>198</v>
      </c>
    </row>
    <row r="251" customFormat="false" ht="15" hidden="false" customHeight="false" outlineLevel="0" collapsed="false">
      <c r="A251" s="5" t="s">
        <v>469</v>
      </c>
      <c r="B251" s="5" t="s">
        <v>64</v>
      </c>
      <c r="C251" s="5" t="s">
        <v>94</v>
      </c>
      <c r="D251" s="5" t="s">
        <v>413</v>
      </c>
      <c r="E251" s="5" t="s">
        <v>193</v>
      </c>
      <c r="F251" s="5" t="s">
        <v>206</v>
      </c>
      <c r="G251" s="15" t="n">
        <v>247.265365384615</v>
      </c>
      <c r="H251" s="15" t="n">
        <v>426.554692307692</v>
      </c>
      <c r="I251" s="15" t="n">
        <v>701.011067307692</v>
      </c>
      <c r="J251" s="5" t="s">
        <v>195</v>
      </c>
      <c r="K251" s="5" t="n">
        <v>2028</v>
      </c>
      <c r="L251" s="5" t="str">
        <f aca="false">IF(AND(K251&gt;=Hypothèses!$B$9,K251&lt;=Hypothèses!$B$10),"actuel",IF(K251=2030,"2030",IF(K251=2050,"2050","autre")))</f>
        <v>autre</v>
      </c>
      <c r="M251" s="5"/>
      <c r="N251" s="5" t="s">
        <v>196</v>
      </c>
      <c r="O251" s="5"/>
      <c r="P251" s="5" t="s">
        <v>243</v>
      </c>
      <c r="Q251" s="5" t="s">
        <v>45</v>
      </c>
      <c r="R251" s="12" t="n">
        <f aca="false">INDEX(Hypothèses!$B$14:$B$17,MATCH(Q251,Hypothèses!$A$14:$A$17,0))</f>
        <v>1</v>
      </c>
      <c r="S251" s="15" t="n">
        <f aca="false">IF(G251="","",G251*R251)</f>
        <v>247.265365384615</v>
      </c>
      <c r="T251" s="15" t="n">
        <f aca="false">IF(H251="","",H251*R251)</f>
        <v>426.554692307692</v>
      </c>
      <c r="U251" s="15" t="n">
        <f aca="false">IF(I251="","",I251*R251)</f>
        <v>701.011067307692</v>
      </c>
      <c r="V251" s="5" t="s">
        <v>195</v>
      </c>
      <c r="W251" s="5" t="s">
        <v>70</v>
      </c>
      <c r="X251" s="5" t="s">
        <v>198</v>
      </c>
    </row>
    <row r="252" customFormat="false" ht="15" hidden="false" customHeight="false" outlineLevel="0" collapsed="false">
      <c r="A252" s="5" t="s">
        <v>470</v>
      </c>
      <c r="B252" s="5" t="s">
        <v>64</v>
      </c>
      <c r="C252" s="5" t="s">
        <v>94</v>
      </c>
      <c r="D252" s="5" t="s">
        <v>413</v>
      </c>
      <c r="E252" s="5" t="s">
        <v>193</v>
      </c>
      <c r="F252" s="5" t="s">
        <v>206</v>
      </c>
      <c r="G252" s="15" t="n">
        <v>221.774846153846</v>
      </c>
      <c r="H252" s="15" t="n">
        <v>392.566673076923</v>
      </c>
      <c r="I252" s="15" t="n">
        <v>680.618057692308</v>
      </c>
      <c r="J252" s="5" t="s">
        <v>195</v>
      </c>
      <c r="K252" s="5" t="n">
        <v>2029</v>
      </c>
      <c r="L252" s="5" t="str">
        <f aca="false">IF(AND(K252&gt;=Hypothèses!$B$9,K252&lt;=Hypothèses!$B$10),"actuel",IF(K252=2030,"2030",IF(K252=2050,"2050","autre")))</f>
        <v>autre</v>
      </c>
      <c r="M252" s="5"/>
      <c r="N252" s="5" t="s">
        <v>196</v>
      </c>
      <c r="O252" s="5"/>
      <c r="P252" s="5" t="s">
        <v>243</v>
      </c>
      <c r="Q252" s="5" t="s">
        <v>45</v>
      </c>
      <c r="R252" s="12" t="n">
        <f aca="false">INDEX(Hypothèses!$B$14:$B$17,MATCH(Q252,Hypothèses!$A$14:$A$17,0))</f>
        <v>1</v>
      </c>
      <c r="S252" s="15" t="n">
        <f aca="false">IF(G252="","",G252*R252)</f>
        <v>221.774846153846</v>
      </c>
      <c r="T252" s="15" t="n">
        <f aca="false">IF(H252="","",H252*R252)</f>
        <v>392.566673076923</v>
      </c>
      <c r="U252" s="15" t="n">
        <f aca="false">IF(I252="","",I252*R252)</f>
        <v>680.618057692308</v>
      </c>
      <c r="V252" s="5" t="s">
        <v>195</v>
      </c>
      <c r="W252" s="5" t="s">
        <v>70</v>
      </c>
      <c r="X252" s="5" t="s">
        <v>198</v>
      </c>
    </row>
    <row r="253" customFormat="false" ht="15" hidden="false" customHeight="false" outlineLevel="0" collapsed="false">
      <c r="A253" s="5" t="s">
        <v>471</v>
      </c>
      <c r="B253" s="5" t="s">
        <v>64</v>
      </c>
      <c r="C253" s="5" t="s">
        <v>94</v>
      </c>
      <c r="D253" s="5" t="s">
        <v>413</v>
      </c>
      <c r="E253" s="5" t="s">
        <v>193</v>
      </c>
      <c r="F253" s="5" t="s">
        <v>206</v>
      </c>
      <c r="G253" s="15" t="n">
        <v>197.133086538462</v>
      </c>
      <c r="H253" s="15" t="n">
        <v>361.126913461538</v>
      </c>
      <c r="I253" s="15" t="n">
        <v>655.976298076923</v>
      </c>
      <c r="J253" s="5" t="s">
        <v>195</v>
      </c>
      <c r="K253" s="5" t="n">
        <v>2030</v>
      </c>
      <c r="L253" s="5" t="str">
        <f aca="false">IF(AND(K253&gt;=Hypothèses!$B$9,K253&lt;=Hypothèses!$B$10),"actuel",IF(K253=2030,"2030",IF(K253=2050,"2050","autre")))</f>
        <v>2030</v>
      </c>
      <c r="M253" s="5"/>
      <c r="N253" s="5" t="s">
        <v>196</v>
      </c>
      <c r="O253" s="5"/>
      <c r="P253" s="5" t="s">
        <v>243</v>
      </c>
      <c r="Q253" s="5" t="s">
        <v>45</v>
      </c>
      <c r="R253" s="12" t="n">
        <f aca="false">INDEX(Hypothèses!$B$14:$B$17,MATCH(Q253,Hypothèses!$A$14:$A$17,0))</f>
        <v>1</v>
      </c>
      <c r="S253" s="15" t="n">
        <f aca="false">IF(G253="","",G253*R253)</f>
        <v>197.133086538462</v>
      </c>
      <c r="T253" s="15" t="n">
        <f aca="false">IF(H253="","",H253*R253)</f>
        <v>361.126913461538</v>
      </c>
      <c r="U253" s="15" t="n">
        <f aca="false">IF(I253="","",I253*R253)</f>
        <v>655.976298076923</v>
      </c>
      <c r="V253" s="5" t="s">
        <v>195</v>
      </c>
      <c r="W253" s="5" t="s">
        <v>70</v>
      </c>
      <c r="X253" s="5" t="s">
        <v>198</v>
      </c>
    </row>
    <row r="254" customFormat="false" ht="15" hidden="false" customHeight="false" outlineLevel="0" collapsed="false">
      <c r="A254" s="5" t="s">
        <v>472</v>
      </c>
      <c r="B254" s="5" t="s">
        <v>64</v>
      </c>
      <c r="C254" s="5" t="s">
        <v>94</v>
      </c>
      <c r="D254" s="5" t="s">
        <v>413</v>
      </c>
      <c r="E254" s="5" t="s">
        <v>193</v>
      </c>
      <c r="F254" s="5" t="s">
        <v>206</v>
      </c>
      <c r="G254" s="15" t="n">
        <v>175.890326923077</v>
      </c>
      <c r="H254" s="15" t="n">
        <v>333.935903846154</v>
      </c>
      <c r="I254" s="15" t="n">
        <v>635.583288461539</v>
      </c>
      <c r="J254" s="5" t="s">
        <v>195</v>
      </c>
      <c r="K254" s="5" t="n">
        <v>2031</v>
      </c>
      <c r="L254" s="5" t="str">
        <f aca="false">IF(AND(K254&gt;=Hypothèses!$B$9,K254&lt;=Hypothèses!$B$10),"actuel",IF(K254=2030,"2030",IF(K254=2050,"2050","autre")))</f>
        <v>autre</v>
      </c>
      <c r="M254" s="5"/>
      <c r="N254" s="5" t="s">
        <v>196</v>
      </c>
      <c r="O254" s="5"/>
      <c r="P254" s="5" t="s">
        <v>243</v>
      </c>
      <c r="Q254" s="5" t="s">
        <v>45</v>
      </c>
      <c r="R254" s="12" t="n">
        <f aca="false">INDEX(Hypothèses!$B$14:$B$17,MATCH(Q254,Hypothèses!$A$14:$A$17,0))</f>
        <v>1</v>
      </c>
      <c r="S254" s="15" t="n">
        <f aca="false">IF(G254="","",G254*R254)</f>
        <v>175.890326923077</v>
      </c>
      <c r="T254" s="15" t="n">
        <f aca="false">IF(H254="","",H254*R254)</f>
        <v>333.935903846154</v>
      </c>
      <c r="U254" s="15" t="n">
        <f aca="false">IF(I254="","",I254*R254)</f>
        <v>635.583288461539</v>
      </c>
      <c r="V254" s="5" t="s">
        <v>195</v>
      </c>
      <c r="W254" s="5" t="s">
        <v>70</v>
      </c>
      <c r="X254" s="5" t="s">
        <v>198</v>
      </c>
    </row>
    <row r="255" customFormat="false" ht="15" hidden="false" customHeight="false" outlineLevel="0" collapsed="false">
      <c r="A255" s="5" t="s">
        <v>473</v>
      </c>
      <c r="B255" s="5" t="s">
        <v>64</v>
      </c>
      <c r="C255" s="5" t="s">
        <v>94</v>
      </c>
      <c r="D255" s="5" t="s">
        <v>413</v>
      </c>
      <c r="E255" s="5" t="s">
        <v>193</v>
      </c>
      <c r="F255" s="5" t="s">
        <v>206</v>
      </c>
      <c r="G255" s="15" t="n">
        <v>157.196817307692</v>
      </c>
      <c r="H255" s="15" t="n">
        <v>310.143894230769</v>
      </c>
      <c r="I255" s="15" t="n">
        <v>620.288778846154</v>
      </c>
      <c r="J255" s="5" t="s">
        <v>195</v>
      </c>
      <c r="K255" s="5" t="n">
        <v>2032</v>
      </c>
      <c r="L255" s="5" t="str">
        <f aca="false">IF(AND(K255&gt;=Hypothèses!$B$9,K255&lt;=Hypothèses!$B$10),"actuel",IF(K255=2030,"2030",IF(K255=2050,"2050","autre")))</f>
        <v>autre</v>
      </c>
      <c r="M255" s="5"/>
      <c r="N255" s="5" t="s">
        <v>196</v>
      </c>
      <c r="O255" s="5"/>
      <c r="P255" s="5" t="s">
        <v>243</v>
      </c>
      <c r="Q255" s="5" t="s">
        <v>45</v>
      </c>
      <c r="R255" s="12" t="n">
        <f aca="false">INDEX(Hypothèses!$B$14:$B$17,MATCH(Q255,Hypothèses!$A$14:$A$17,0))</f>
        <v>1</v>
      </c>
      <c r="S255" s="15" t="n">
        <f aca="false">IF(G255="","",G255*R255)</f>
        <v>157.196817307692</v>
      </c>
      <c r="T255" s="15" t="n">
        <f aca="false">IF(H255="","",H255*R255)</f>
        <v>310.143894230769</v>
      </c>
      <c r="U255" s="15" t="n">
        <f aca="false">IF(I255="","",I255*R255)</f>
        <v>620.288778846154</v>
      </c>
      <c r="V255" s="5" t="s">
        <v>195</v>
      </c>
      <c r="W255" s="5" t="s">
        <v>70</v>
      </c>
      <c r="X255" s="5" t="s">
        <v>198</v>
      </c>
    </row>
    <row r="256" customFormat="false" ht="15" hidden="false" customHeight="false" outlineLevel="0" collapsed="false">
      <c r="A256" s="5" t="s">
        <v>474</v>
      </c>
      <c r="B256" s="5" t="s">
        <v>64</v>
      </c>
      <c r="C256" s="5" t="s">
        <v>94</v>
      </c>
      <c r="D256" s="5" t="s">
        <v>413</v>
      </c>
      <c r="E256" s="5" t="s">
        <v>193</v>
      </c>
      <c r="F256" s="5" t="s">
        <v>206</v>
      </c>
      <c r="G256" s="15" t="n">
        <v>141.051567307692</v>
      </c>
      <c r="H256" s="15" t="n">
        <v>288.901134615385</v>
      </c>
      <c r="I256" s="15" t="n">
        <v>605.843028846154</v>
      </c>
      <c r="J256" s="5" t="s">
        <v>195</v>
      </c>
      <c r="K256" s="5" t="n">
        <v>2033</v>
      </c>
      <c r="L256" s="5" t="str">
        <f aca="false">IF(AND(K256&gt;=Hypothèses!$B$9,K256&lt;=Hypothèses!$B$10),"actuel",IF(K256=2030,"2030",IF(K256=2050,"2050","autre")))</f>
        <v>autre</v>
      </c>
      <c r="M256" s="5"/>
      <c r="N256" s="5" t="s">
        <v>196</v>
      </c>
      <c r="O256" s="5"/>
      <c r="P256" s="5" t="s">
        <v>243</v>
      </c>
      <c r="Q256" s="5" t="s">
        <v>45</v>
      </c>
      <c r="R256" s="12" t="n">
        <f aca="false">INDEX(Hypothèses!$B$14:$B$17,MATCH(Q256,Hypothèses!$A$14:$A$17,0))</f>
        <v>1</v>
      </c>
      <c r="S256" s="15" t="n">
        <f aca="false">IF(G256="","",G256*R256)</f>
        <v>141.051567307692</v>
      </c>
      <c r="T256" s="15" t="n">
        <f aca="false">IF(H256="","",H256*R256)</f>
        <v>288.901134615385</v>
      </c>
      <c r="U256" s="15" t="n">
        <f aca="false">IF(I256="","",I256*R256)</f>
        <v>605.843028846154</v>
      </c>
      <c r="V256" s="5" t="s">
        <v>195</v>
      </c>
      <c r="W256" s="5" t="s">
        <v>70</v>
      </c>
      <c r="X256" s="5" t="s">
        <v>198</v>
      </c>
    </row>
    <row r="257" customFormat="false" ht="15" hidden="false" customHeight="false" outlineLevel="0" collapsed="false">
      <c r="A257" s="5" t="s">
        <v>475</v>
      </c>
      <c r="B257" s="5" t="s">
        <v>64</v>
      </c>
      <c r="C257" s="5" t="s">
        <v>94</v>
      </c>
      <c r="D257" s="5" t="s">
        <v>413</v>
      </c>
      <c r="E257" s="5" t="s">
        <v>193</v>
      </c>
      <c r="F257" s="5" t="s">
        <v>206</v>
      </c>
      <c r="G257" s="15" t="n">
        <v>129.156057692308</v>
      </c>
      <c r="H257" s="15" t="n">
        <v>270.207625</v>
      </c>
      <c r="I257" s="15" t="n">
        <v>593.947519230769</v>
      </c>
      <c r="J257" s="5" t="s">
        <v>195</v>
      </c>
      <c r="K257" s="5" t="n">
        <v>2034</v>
      </c>
      <c r="L257" s="5" t="str">
        <f aca="false">IF(AND(K257&gt;=Hypothèses!$B$9,K257&lt;=Hypothèses!$B$10),"actuel",IF(K257=2030,"2030",IF(K257=2050,"2050","autre")))</f>
        <v>autre</v>
      </c>
      <c r="M257" s="5"/>
      <c r="N257" s="5" t="s">
        <v>196</v>
      </c>
      <c r="O257" s="5"/>
      <c r="P257" s="5" t="s">
        <v>243</v>
      </c>
      <c r="Q257" s="5" t="s">
        <v>45</v>
      </c>
      <c r="R257" s="12" t="n">
        <f aca="false">INDEX(Hypothèses!$B$14:$B$17,MATCH(Q257,Hypothèses!$A$14:$A$17,0))</f>
        <v>1</v>
      </c>
      <c r="S257" s="15" t="n">
        <f aca="false">IF(G257="","",G257*R257)</f>
        <v>129.156057692308</v>
      </c>
      <c r="T257" s="15" t="n">
        <f aca="false">IF(H257="","",H257*R257)</f>
        <v>270.207625</v>
      </c>
      <c r="U257" s="15" t="n">
        <f aca="false">IF(I257="","",I257*R257)</f>
        <v>593.947519230769</v>
      </c>
      <c r="V257" s="5" t="s">
        <v>195</v>
      </c>
      <c r="W257" s="5" t="s">
        <v>70</v>
      </c>
      <c r="X257" s="5" t="s">
        <v>198</v>
      </c>
    </row>
    <row r="258" customFormat="false" ht="15" hidden="false" customHeight="false" outlineLevel="0" collapsed="false">
      <c r="A258" s="5" t="s">
        <v>476</v>
      </c>
      <c r="B258" s="5" t="s">
        <v>64</v>
      </c>
      <c r="C258" s="5" t="s">
        <v>94</v>
      </c>
      <c r="D258" s="5" t="s">
        <v>413</v>
      </c>
      <c r="E258" s="5" t="s">
        <v>193</v>
      </c>
      <c r="F258" s="5" t="s">
        <v>206</v>
      </c>
      <c r="G258" s="15" t="n">
        <v>117.259557692308</v>
      </c>
      <c r="H258" s="15" t="n">
        <v>255.762865384615</v>
      </c>
      <c r="I258" s="15" t="n">
        <v>581.202259615385</v>
      </c>
      <c r="J258" s="5" t="s">
        <v>195</v>
      </c>
      <c r="K258" s="5" t="n">
        <v>2035</v>
      </c>
      <c r="L258" s="5" t="str">
        <f aca="false">IF(AND(K258&gt;=Hypothèses!$B$9,K258&lt;=Hypothèses!$B$10),"actuel",IF(K258=2030,"2030",IF(K258=2050,"2050","autre")))</f>
        <v>autre</v>
      </c>
      <c r="M258" s="5"/>
      <c r="N258" s="5" t="s">
        <v>196</v>
      </c>
      <c r="O258" s="5"/>
      <c r="P258" s="5" t="s">
        <v>243</v>
      </c>
      <c r="Q258" s="5" t="s">
        <v>45</v>
      </c>
      <c r="R258" s="12" t="n">
        <f aca="false">INDEX(Hypothèses!$B$14:$B$17,MATCH(Q258,Hypothèses!$A$14:$A$17,0))</f>
        <v>1</v>
      </c>
      <c r="S258" s="15" t="n">
        <f aca="false">IF(G258="","",G258*R258)</f>
        <v>117.259557692308</v>
      </c>
      <c r="T258" s="15" t="n">
        <f aca="false">IF(H258="","",H258*R258)</f>
        <v>255.762865384615</v>
      </c>
      <c r="U258" s="15" t="n">
        <f aca="false">IF(I258="","",I258*R258)</f>
        <v>581.202259615385</v>
      </c>
      <c r="V258" s="5" t="s">
        <v>195</v>
      </c>
      <c r="W258" s="5" t="s">
        <v>70</v>
      </c>
      <c r="X258" s="5" t="s">
        <v>198</v>
      </c>
    </row>
    <row r="259" customFormat="false" ht="15" hidden="false" customHeight="false" outlineLevel="0" collapsed="false">
      <c r="A259" s="5" t="s">
        <v>477</v>
      </c>
      <c r="B259" s="5" t="s">
        <v>64</v>
      </c>
      <c r="C259" s="5" t="s">
        <v>94</v>
      </c>
      <c r="D259" s="5" t="s">
        <v>413</v>
      </c>
      <c r="E259" s="5" t="s">
        <v>193</v>
      </c>
      <c r="F259" s="5" t="s">
        <v>206</v>
      </c>
      <c r="G259" s="15" t="n">
        <v>105.364048076923</v>
      </c>
      <c r="H259" s="15" t="n">
        <v>243.017605769231</v>
      </c>
      <c r="I259" s="15" t="n">
        <v>572.704759615385</v>
      </c>
      <c r="J259" s="5" t="s">
        <v>195</v>
      </c>
      <c r="K259" s="5" t="n">
        <v>2036</v>
      </c>
      <c r="L259" s="5" t="str">
        <f aca="false">IF(AND(K259&gt;=Hypothèses!$B$9,K259&lt;=Hypothèses!$B$10),"actuel",IF(K259=2030,"2030",IF(K259=2050,"2050","autre")))</f>
        <v>autre</v>
      </c>
      <c r="M259" s="5"/>
      <c r="N259" s="5" t="s">
        <v>196</v>
      </c>
      <c r="O259" s="5"/>
      <c r="P259" s="5" t="s">
        <v>243</v>
      </c>
      <c r="Q259" s="5" t="s">
        <v>45</v>
      </c>
      <c r="R259" s="12" t="n">
        <f aca="false">INDEX(Hypothèses!$B$14:$B$17,MATCH(Q259,Hypothèses!$A$14:$A$17,0))</f>
        <v>1</v>
      </c>
      <c r="S259" s="15" t="n">
        <f aca="false">IF(G259="","",G259*R259)</f>
        <v>105.364048076923</v>
      </c>
      <c r="T259" s="15" t="n">
        <f aca="false">IF(H259="","",H259*R259)</f>
        <v>243.017605769231</v>
      </c>
      <c r="U259" s="15" t="n">
        <f aca="false">IF(I259="","",I259*R259)</f>
        <v>572.704759615385</v>
      </c>
      <c r="V259" s="5" t="s">
        <v>195</v>
      </c>
      <c r="W259" s="5" t="s">
        <v>70</v>
      </c>
      <c r="X259" s="5" t="s">
        <v>198</v>
      </c>
    </row>
    <row r="260" customFormat="false" ht="15" hidden="false" customHeight="false" outlineLevel="0" collapsed="false">
      <c r="A260" s="5" t="s">
        <v>478</v>
      </c>
      <c r="B260" s="5" t="s">
        <v>64</v>
      </c>
      <c r="C260" s="5" t="s">
        <v>94</v>
      </c>
      <c r="D260" s="5" t="s">
        <v>413</v>
      </c>
      <c r="E260" s="5" t="s">
        <v>193</v>
      </c>
      <c r="F260" s="5" t="s">
        <v>206</v>
      </c>
      <c r="G260" s="15" t="n">
        <v>96.8669442307692</v>
      </c>
      <c r="H260" s="15" t="n">
        <v>231.970855769231</v>
      </c>
      <c r="I260" s="15" t="n">
        <v>563.357509615385</v>
      </c>
      <c r="J260" s="5" t="s">
        <v>195</v>
      </c>
      <c r="K260" s="5" t="n">
        <v>2037</v>
      </c>
      <c r="L260" s="5" t="str">
        <f aca="false">IF(AND(K260&gt;=Hypothèses!$B$9,K260&lt;=Hypothèses!$B$10),"actuel",IF(K260=2030,"2030",IF(K260=2050,"2050","autre")))</f>
        <v>autre</v>
      </c>
      <c r="M260" s="5"/>
      <c r="N260" s="5" t="s">
        <v>196</v>
      </c>
      <c r="O260" s="5"/>
      <c r="P260" s="5" t="s">
        <v>243</v>
      </c>
      <c r="Q260" s="5" t="s">
        <v>45</v>
      </c>
      <c r="R260" s="12" t="n">
        <f aca="false">INDEX(Hypothèses!$B$14:$B$17,MATCH(Q260,Hypothèses!$A$14:$A$17,0))</f>
        <v>1</v>
      </c>
      <c r="S260" s="15" t="n">
        <f aca="false">IF(G260="","",G260*R260)</f>
        <v>96.8669442307692</v>
      </c>
      <c r="T260" s="15" t="n">
        <f aca="false">IF(H260="","",H260*R260)</f>
        <v>231.970855769231</v>
      </c>
      <c r="U260" s="15" t="n">
        <f aca="false">IF(I260="","",I260*R260)</f>
        <v>563.357509615385</v>
      </c>
      <c r="V260" s="5" t="s">
        <v>195</v>
      </c>
      <c r="W260" s="5" t="s">
        <v>70</v>
      </c>
      <c r="X260" s="5" t="s">
        <v>198</v>
      </c>
    </row>
    <row r="261" customFormat="false" ht="15" hidden="false" customHeight="false" outlineLevel="0" collapsed="false">
      <c r="A261" s="5" t="s">
        <v>479</v>
      </c>
      <c r="B261" s="5" t="s">
        <v>64</v>
      </c>
      <c r="C261" s="5" t="s">
        <v>94</v>
      </c>
      <c r="D261" s="5" t="s">
        <v>413</v>
      </c>
      <c r="E261" s="5" t="s">
        <v>193</v>
      </c>
      <c r="F261" s="5" t="s">
        <v>206</v>
      </c>
      <c r="G261" s="15" t="n">
        <v>90.9189913461539</v>
      </c>
      <c r="H261" s="15" t="n">
        <v>220.075346153846</v>
      </c>
      <c r="I261" s="15" t="n">
        <v>554.861</v>
      </c>
      <c r="J261" s="5" t="s">
        <v>195</v>
      </c>
      <c r="K261" s="5" t="n">
        <v>2038</v>
      </c>
      <c r="L261" s="5" t="str">
        <f aca="false">IF(AND(K261&gt;=Hypothèses!$B$9,K261&lt;=Hypothèses!$B$10),"actuel",IF(K261=2030,"2030",IF(K261=2050,"2050","autre")))</f>
        <v>autre</v>
      </c>
      <c r="M261" s="5"/>
      <c r="N261" s="5" t="s">
        <v>196</v>
      </c>
      <c r="O261" s="5"/>
      <c r="P261" s="5" t="s">
        <v>243</v>
      </c>
      <c r="Q261" s="5" t="s">
        <v>45</v>
      </c>
      <c r="R261" s="12" t="n">
        <f aca="false">INDEX(Hypothèses!$B$14:$B$17,MATCH(Q261,Hypothèses!$A$14:$A$17,0))</f>
        <v>1</v>
      </c>
      <c r="S261" s="15" t="n">
        <f aca="false">IF(G261="","",G261*R261)</f>
        <v>90.9189913461539</v>
      </c>
      <c r="T261" s="15" t="n">
        <f aca="false">IF(H261="","",H261*R261)</f>
        <v>220.075346153846</v>
      </c>
      <c r="U261" s="15" t="n">
        <f aca="false">IF(I261="","",I261*R261)</f>
        <v>554.861</v>
      </c>
      <c r="V261" s="5" t="s">
        <v>195</v>
      </c>
      <c r="W261" s="5" t="s">
        <v>70</v>
      </c>
      <c r="X261" s="5" t="s">
        <v>198</v>
      </c>
    </row>
    <row r="262" customFormat="false" ht="15" hidden="false" customHeight="false" outlineLevel="0" collapsed="false">
      <c r="A262" s="5" t="s">
        <v>480</v>
      </c>
      <c r="B262" s="5" t="s">
        <v>64</v>
      </c>
      <c r="C262" s="5" t="s">
        <v>94</v>
      </c>
      <c r="D262" s="5" t="s">
        <v>413</v>
      </c>
      <c r="E262" s="5" t="s">
        <v>193</v>
      </c>
      <c r="F262" s="5" t="s">
        <v>206</v>
      </c>
      <c r="G262" s="15" t="n">
        <v>84.1212884615385</v>
      </c>
      <c r="H262" s="15" t="n">
        <v>214.127096153846</v>
      </c>
      <c r="I262" s="15" t="n">
        <v>548.91275</v>
      </c>
      <c r="J262" s="5" t="s">
        <v>195</v>
      </c>
      <c r="K262" s="5" t="n">
        <v>2039</v>
      </c>
      <c r="L262" s="5" t="str">
        <f aca="false">IF(AND(K262&gt;=Hypothèses!$B$9,K262&lt;=Hypothèses!$B$10),"actuel",IF(K262=2030,"2030",IF(K262=2050,"2050","autre")))</f>
        <v>autre</v>
      </c>
      <c r="M262" s="5"/>
      <c r="N262" s="5" t="s">
        <v>196</v>
      </c>
      <c r="O262" s="5"/>
      <c r="P262" s="5" t="s">
        <v>243</v>
      </c>
      <c r="Q262" s="5" t="s">
        <v>45</v>
      </c>
      <c r="R262" s="12" t="n">
        <f aca="false">INDEX(Hypothèses!$B$14:$B$17,MATCH(Q262,Hypothèses!$A$14:$A$17,0))</f>
        <v>1</v>
      </c>
      <c r="S262" s="15" t="n">
        <f aca="false">IF(G262="","",G262*R262)</f>
        <v>84.1212884615385</v>
      </c>
      <c r="T262" s="15" t="n">
        <f aca="false">IF(H262="","",H262*R262)</f>
        <v>214.127096153846</v>
      </c>
      <c r="U262" s="15" t="n">
        <f aca="false">IF(I262="","",I262*R262)</f>
        <v>548.91275</v>
      </c>
      <c r="V262" s="5" t="s">
        <v>195</v>
      </c>
      <c r="W262" s="5" t="s">
        <v>70</v>
      </c>
      <c r="X262" s="5" t="s">
        <v>198</v>
      </c>
    </row>
    <row r="263" customFormat="false" ht="15" hidden="false" customHeight="false" outlineLevel="0" collapsed="false">
      <c r="A263" s="5" t="s">
        <v>481</v>
      </c>
      <c r="B263" s="5" t="s">
        <v>64</v>
      </c>
      <c r="C263" s="5" t="s">
        <v>94</v>
      </c>
      <c r="D263" s="5" t="s">
        <v>413</v>
      </c>
      <c r="E263" s="5" t="s">
        <v>193</v>
      </c>
      <c r="F263" s="5" t="s">
        <v>206</v>
      </c>
      <c r="G263" s="15" t="n">
        <v>79.8727365384616</v>
      </c>
      <c r="H263" s="15" t="n">
        <v>207.329096153846</v>
      </c>
      <c r="I263" s="15" t="n">
        <v>542.11475</v>
      </c>
      <c r="J263" s="5" t="s">
        <v>195</v>
      </c>
      <c r="K263" s="5" t="n">
        <v>2040</v>
      </c>
      <c r="L263" s="5" t="str">
        <f aca="false">IF(AND(K263&gt;=Hypothèses!$B$9,K263&lt;=Hypothèses!$B$10),"actuel",IF(K263=2030,"2030",IF(K263=2050,"2050","autre")))</f>
        <v>autre</v>
      </c>
      <c r="M263" s="5"/>
      <c r="N263" s="5" t="s">
        <v>196</v>
      </c>
      <c r="O263" s="5"/>
      <c r="P263" s="5" t="s">
        <v>243</v>
      </c>
      <c r="Q263" s="5" t="s">
        <v>45</v>
      </c>
      <c r="R263" s="12" t="n">
        <f aca="false">INDEX(Hypothèses!$B$14:$B$17,MATCH(Q263,Hypothèses!$A$14:$A$17,0))</f>
        <v>1</v>
      </c>
      <c r="S263" s="15" t="n">
        <f aca="false">IF(G263="","",G263*R263)</f>
        <v>79.8727365384616</v>
      </c>
      <c r="T263" s="15" t="n">
        <f aca="false">IF(H263="","",H263*R263)</f>
        <v>207.329096153846</v>
      </c>
      <c r="U263" s="15" t="n">
        <f aca="false">IF(I263="","",I263*R263)</f>
        <v>542.11475</v>
      </c>
      <c r="V263" s="5" t="s">
        <v>195</v>
      </c>
      <c r="W263" s="5" t="s">
        <v>70</v>
      </c>
      <c r="X263" s="5" t="s">
        <v>198</v>
      </c>
    </row>
    <row r="264" customFormat="false" ht="15" hidden="false" customHeight="false" outlineLevel="0" collapsed="false">
      <c r="A264" s="5" t="s">
        <v>482</v>
      </c>
      <c r="B264" s="5" t="s">
        <v>64</v>
      </c>
      <c r="C264" s="5" t="s">
        <v>94</v>
      </c>
      <c r="D264" s="5" t="s">
        <v>413</v>
      </c>
      <c r="E264" s="5" t="s">
        <v>193</v>
      </c>
      <c r="F264" s="5" t="s">
        <v>206</v>
      </c>
      <c r="G264" s="15" t="n">
        <v>74.7745336538462</v>
      </c>
      <c r="H264" s="15" t="n">
        <v>203.080346153846</v>
      </c>
      <c r="I264" s="15" t="n">
        <v>536.167490384616</v>
      </c>
      <c r="J264" s="5" t="s">
        <v>195</v>
      </c>
      <c r="K264" s="5" t="n">
        <v>2041</v>
      </c>
      <c r="L264" s="5" t="str">
        <f aca="false">IF(AND(K264&gt;=Hypothèses!$B$9,K264&lt;=Hypothèses!$B$10),"actuel",IF(K264=2030,"2030",IF(K264=2050,"2050","autre")))</f>
        <v>autre</v>
      </c>
      <c r="M264" s="5"/>
      <c r="N264" s="5" t="s">
        <v>196</v>
      </c>
      <c r="O264" s="5"/>
      <c r="P264" s="5" t="s">
        <v>243</v>
      </c>
      <c r="Q264" s="5" t="s">
        <v>45</v>
      </c>
      <c r="R264" s="12" t="n">
        <f aca="false">INDEX(Hypothèses!$B$14:$B$17,MATCH(Q264,Hypothèses!$A$14:$A$17,0))</f>
        <v>1</v>
      </c>
      <c r="S264" s="15" t="n">
        <f aca="false">IF(G264="","",G264*R264)</f>
        <v>74.7745336538462</v>
      </c>
      <c r="T264" s="15" t="n">
        <f aca="false">IF(H264="","",H264*R264)</f>
        <v>203.080346153846</v>
      </c>
      <c r="U264" s="15" t="n">
        <f aca="false">IF(I264="","",I264*R264)</f>
        <v>536.167490384616</v>
      </c>
      <c r="V264" s="5" t="s">
        <v>195</v>
      </c>
      <c r="W264" s="5" t="s">
        <v>70</v>
      </c>
      <c r="X264" s="5" t="s">
        <v>198</v>
      </c>
    </row>
    <row r="265" customFormat="false" ht="15" hidden="false" customHeight="false" outlineLevel="0" collapsed="false">
      <c r="A265" s="5" t="s">
        <v>483</v>
      </c>
      <c r="B265" s="5" t="s">
        <v>64</v>
      </c>
      <c r="C265" s="5" t="s">
        <v>94</v>
      </c>
      <c r="D265" s="5" t="s">
        <v>413</v>
      </c>
      <c r="E265" s="5" t="s">
        <v>193</v>
      </c>
      <c r="F265" s="5" t="s">
        <v>206</v>
      </c>
      <c r="G265" s="15" t="n">
        <v>73.0751326923077</v>
      </c>
      <c r="H265" s="15" t="n">
        <v>197.982836538462</v>
      </c>
      <c r="I265" s="15" t="n">
        <v>530.219240384615</v>
      </c>
      <c r="J265" s="5" t="s">
        <v>195</v>
      </c>
      <c r="K265" s="5" t="n">
        <v>2042</v>
      </c>
      <c r="L265" s="5" t="str">
        <f aca="false">IF(AND(K265&gt;=Hypothèses!$B$9,K265&lt;=Hypothèses!$B$10),"actuel",IF(K265=2030,"2030",IF(K265=2050,"2050","autre")))</f>
        <v>autre</v>
      </c>
      <c r="M265" s="5"/>
      <c r="N265" s="5" t="s">
        <v>196</v>
      </c>
      <c r="O265" s="5"/>
      <c r="P265" s="5" t="s">
        <v>243</v>
      </c>
      <c r="Q265" s="5" t="s">
        <v>45</v>
      </c>
      <c r="R265" s="12" t="n">
        <f aca="false">INDEX(Hypothèses!$B$14:$B$17,MATCH(Q265,Hypothèses!$A$14:$A$17,0))</f>
        <v>1</v>
      </c>
      <c r="S265" s="15" t="n">
        <f aca="false">IF(G265="","",G265*R265)</f>
        <v>73.0751326923077</v>
      </c>
      <c r="T265" s="15" t="n">
        <f aca="false">IF(H265="","",H265*R265)</f>
        <v>197.982836538462</v>
      </c>
      <c r="U265" s="15" t="n">
        <f aca="false">IF(I265="","",I265*R265)</f>
        <v>530.219240384615</v>
      </c>
      <c r="V265" s="5" t="s">
        <v>195</v>
      </c>
      <c r="W265" s="5" t="s">
        <v>70</v>
      </c>
      <c r="X265" s="5" t="s">
        <v>198</v>
      </c>
    </row>
    <row r="266" customFormat="false" ht="15" hidden="false" customHeight="false" outlineLevel="0" collapsed="false">
      <c r="A266" s="5" t="s">
        <v>484</v>
      </c>
      <c r="B266" s="5" t="s">
        <v>64</v>
      </c>
      <c r="C266" s="5" t="s">
        <v>94</v>
      </c>
      <c r="D266" s="5" t="s">
        <v>413</v>
      </c>
      <c r="E266" s="5" t="s">
        <v>193</v>
      </c>
      <c r="F266" s="5" t="s">
        <v>206</v>
      </c>
      <c r="G266" s="15" t="n">
        <v>67.9768307692308</v>
      </c>
      <c r="H266" s="15" t="n">
        <v>192.884336538462</v>
      </c>
      <c r="I266" s="15" t="n">
        <v>524.270990384615</v>
      </c>
      <c r="J266" s="5" t="s">
        <v>195</v>
      </c>
      <c r="K266" s="5" t="n">
        <v>2043</v>
      </c>
      <c r="L266" s="5" t="str">
        <f aca="false">IF(AND(K266&gt;=Hypothèses!$B$9,K266&lt;=Hypothèses!$B$10),"actuel",IF(K266=2030,"2030",IF(K266=2050,"2050","autre")))</f>
        <v>autre</v>
      </c>
      <c r="M266" s="5"/>
      <c r="N266" s="5" t="s">
        <v>196</v>
      </c>
      <c r="O266" s="5"/>
      <c r="P266" s="5" t="s">
        <v>243</v>
      </c>
      <c r="Q266" s="5" t="s">
        <v>45</v>
      </c>
      <c r="R266" s="12" t="n">
        <f aca="false">INDEX(Hypothèses!$B$14:$B$17,MATCH(Q266,Hypothèses!$A$14:$A$17,0))</f>
        <v>1</v>
      </c>
      <c r="S266" s="15" t="n">
        <f aca="false">IF(G266="","",G266*R266)</f>
        <v>67.9768307692308</v>
      </c>
      <c r="T266" s="15" t="n">
        <f aca="false">IF(H266="","",H266*R266)</f>
        <v>192.884336538462</v>
      </c>
      <c r="U266" s="15" t="n">
        <f aca="false">IF(I266="","",I266*R266)</f>
        <v>524.270990384615</v>
      </c>
      <c r="V266" s="5" t="s">
        <v>195</v>
      </c>
      <c r="W266" s="5" t="s">
        <v>70</v>
      </c>
      <c r="X266" s="5" t="s">
        <v>198</v>
      </c>
    </row>
    <row r="267" customFormat="false" ht="15" hidden="false" customHeight="false" outlineLevel="0" collapsed="false">
      <c r="A267" s="5" t="s">
        <v>485</v>
      </c>
      <c r="B267" s="5" t="s">
        <v>64</v>
      </c>
      <c r="C267" s="5" t="s">
        <v>94</v>
      </c>
      <c r="D267" s="5" t="s">
        <v>413</v>
      </c>
      <c r="E267" s="5" t="s">
        <v>193</v>
      </c>
      <c r="F267" s="5" t="s">
        <v>206</v>
      </c>
      <c r="G267" s="15" t="n">
        <v>65.4276798076923</v>
      </c>
      <c r="H267" s="15" t="n">
        <v>188.635586538462</v>
      </c>
      <c r="I267" s="15" t="n">
        <v>519.173480769231</v>
      </c>
      <c r="J267" s="5" t="s">
        <v>195</v>
      </c>
      <c r="K267" s="5" t="n">
        <v>2044</v>
      </c>
      <c r="L267" s="5" t="str">
        <f aca="false">IF(AND(K267&gt;=Hypothèses!$B$9,K267&lt;=Hypothèses!$B$10),"actuel",IF(K267=2030,"2030",IF(K267=2050,"2050","autre")))</f>
        <v>autre</v>
      </c>
      <c r="M267" s="5"/>
      <c r="N267" s="5" t="s">
        <v>196</v>
      </c>
      <c r="O267" s="5"/>
      <c r="P267" s="5" t="s">
        <v>243</v>
      </c>
      <c r="Q267" s="5" t="s">
        <v>45</v>
      </c>
      <c r="R267" s="12" t="n">
        <f aca="false">INDEX(Hypothèses!$B$14:$B$17,MATCH(Q267,Hypothèses!$A$14:$A$17,0))</f>
        <v>1</v>
      </c>
      <c r="S267" s="15" t="n">
        <f aca="false">IF(G267="","",G267*R267)</f>
        <v>65.4276798076923</v>
      </c>
      <c r="T267" s="15" t="n">
        <f aca="false">IF(H267="","",H267*R267)</f>
        <v>188.635586538462</v>
      </c>
      <c r="U267" s="15" t="n">
        <f aca="false">IF(I267="","",I267*R267)</f>
        <v>519.173480769231</v>
      </c>
      <c r="V267" s="5" t="s">
        <v>195</v>
      </c>
      <c r="W267" s="5" t="s">
        <v>70</v>
      </c>
      <c r="X267" s="5" t="s">
        <v>198</v>
      </c>
    </row>
    <row r="268" customFormat="false" ht="15" hidden="false" customHeight="false" outlineLevel="0" collapsed="false">
      <c r="A268" s="5" t="s">
        <v>486</v>
      </c>
      <c r="B268" s="5" t="s">
        <v>64</v>
      </c>
      <c r="C268" s="5" t="s">
        <v>94</v>
      </c>
      <c r="D268" s="5" t="s">
        <v>413</v>
      </c>
      <c r="E268" s="5" t="s">
        <v>193</v>
      </c>
      <c r="F268" s="5" t="s">
        <v>206</v>
      </c>
      <c r="G268" s="15" t="n">
        <v>63.7282788461538</v>
      </c>
      <c r="H268" s="15" t="n">
        <v>185.236586538462</v>
      </c>
      <c r="I268" s="15" t="n">
        <v>516.624230769231</v>
      </c>
      <c r="J268" s="5" t="s">
        <v>195</v>
      </c>
      <c r="K268" s="5" t="n">
        <v>2045</v>
      </c>
      <c r="L268" s="5" t="str">
        <f aca="false">IF(AND(K268&gt;=Hypothèses!$B$9,K268&lt;=Hypothèses!$B$10),"actuel",IF(K268=2030,"2030",IF(K268=2050,"2050","autre")))</f>
        <v>autre</v>
      </c>
      <c r="M268" s="5"/>
      <c r="N268" s="5" t="s">
        <v>196</v>
      </c>
      <c r="O268" s="5"/>
      <c r="P268" s="5" t="s">
        <v>243</v>
      </c>
      <c r="Q268" s="5" t="s">
        <v>45</v>
      </c>
      <c r="R268" s="12" t="n">
        <f aca="false">INDEX(Hypothèses!$B$14:$B$17,MATCH(Q268,Hypothèses!$A$14:$A$17,0))</f>
        <v>1</v>
      </c>
      <c r="S268" s="15" t="n">
        <f aca="false">IF(G268="","",G268*R268)</f>
        <v>63.7282788461538</v>
      </c>
      <c r="T268" s="15" t="n">
        <f aca="false">IF(H268="","",H268*R268)</f>
        <v>185.236586538462</v>
      </c>
      <c r="U268" s="15" t="n">
        <f aca="false">IF(I268="","",I268*R268)</f>
        <v>516.624230769231</v>
      </c>
      <c r="V268" s="5" t="s">
        <v>195</v>
      </c>
      <c r="W268" s="5" t="s">
        <v>70</v>
      </c>
      <c r="X268" s="5" t="s">
        <v>198</v>
      </c>
    </row>
    <row r="269" customFormat="false" ht="15" hidden="false" customHeight="false" outlineLevel="0" collapsed="false">
      <c r="A269" s="5" t="s">
        <v>487</v>
      </c>
      <c r="B269" s="5" t="s">
        <v>64</v>
      </c>
      <c r="C269" s="5" t="s">
        <v>94</v>
      </c>
      <c r="D269" s="5" t="s">
        <v>413</v>
      </c>
      <c r="E269" s="5" t="s">
        <v>193</v>
      </c>
      <c r="F269" s="5" t="s">
        <v>206</v>
      </c>
      <c r="G269" s="15" t="n">
        <v>62.0288778846154</v>
      </c>
      <c r="H269" s="15" t="n">
        <v>180.139076923077</v>
      </c>
      <c r="I269" s="15" t="n">
        <v>511.525730769231</v>
      </c>
      <c r="J269" s="5" t="s">
        <v>195</v>
      </c>
      <c r="K269" s="5" t="n">
        <v>2046</v>
      </c>
      <c r="L269" s="5" t="str">
        <f aca="false">IF(AND(K269&gt;=Hypothèses!$B$9,K269&lt;=Hypothèses!$B$10),"actuel",IF(K269=2030,"2030",IF(K269=2050,"2050","autre")))</f>
        <v>autre</v>
      </c>
      <c r="M269" s="5"/>
      <c r="N269" s="5" t="s">
        <v>196</v>
      </c>
      <c r="O269" s="5"/>
      <c r="P269" s="5" t="s">
        <v>243</v>
      </c>
      <c r="Q269" s="5" t="s">
        <v>45</v>
      </c>
      <c r="R269" s="12" t="n">
        <f aca="false">INDEX(Hypothèses!$B$14:$B$17,MATCH(Q269,Hypothèses!$A$14:$A$17,0))</f>
        <v>1</v>
      </c>
      <c r="S269" s="15" t="n">
        <f aca="false">IF(G269="","",G269*R269)</f>
        <v>62.0288778846154</v>
      </c>
      <c r="T269" s="15" t="n">
        <f aca="false">IF(H269="","",H269*R269)</f>
        <v>180.139076923077</v>
      </c>
      <c r="U269" s="15" t="n">
        <f aca="false">IF(I269="","",I269*R269)</f>
        <v>511.525730769231</v>
      </c>
      <c r="V269" s="5" t="s">
        <v>195</v>
      </c>
      <c r="W269" s="5" t="s">
        <v>70</v>
      </c>
      <c r="X269" s="5" t="s">
        <v>198</v>
      </c>
    </row>
    <row r="270" customFormat="false" ht="15" hidden="false" customHeight="false" outlineLevel="0" collapsed="false">
      <c r="A270" s="5" t="s">
        <v>488</v>
      </c>
      <c r="B270" s="5" t="s">
        <v>64</v>
      </c>
      <c r="C270" s="5" t="s">
        <v>94</v>
      </c>
      <c r="D270" s="5" t="s">
        <v>413</v>
      </c>
      <c r="E270" s="5" t="s">
        <v>193</v>
      </c>
      <c r="F270" s="5" t="s">
        <v>206</v>
      </c>
      <c r="G270" s="15" t="n">
        <v>60.3294769230769</v>
      </c>
      <c r="H270" s="15" t="n">
        <v>177.589826923077</v>
      </c>
      <c r="I270" s="15" t="n">
        <v>507.276980769231</v>
      </c>
      <c r="J270" s="5" t="s">
        <v>195</v>
      </c>
      <c r="K270" s="5" t="n">
        <v>2047</v>
      </c>
      <c r="L270" s="5" t="str">
        <f aca="false">IF(AND(K270&gt;=Hypothèses!$B$9,K270&lt;=Hypothèses!$B$10),"actuel",IF(K270=2030,"2030",IF(K270=2050,"2050","autre")))</f>
        <v>autre</v>
      </c>
      <c r="M270" s="5"/>
      <c r="N270" s="5" t="s">
        <v>196</v>
      </c>
      <c r="O270" s="5"/>
      <c r="P270" s="5" t="s">
        <v>243</v>
      </c>
      <c r="Q270" s="5" t="s">
        <v>45</v>
      </c>
      <c r="R270" s="12" t="n">
        <f aca="false">INDEX(Hypothèses!$B$14:$B$17,MATCH(Q270,Hypothèses!$A$14:$A$17,0))</f>
        <v>1</v>
      </c>
      <c r="S270" s="15" t="n">
        <f aca="false">IF(G270="","",G270*R270)</f>
        <v>60.3294769230769</v>
      </c>
      <c r="T270" s="15" t="n">
        <f aca="false">IF(H270="","",H270*R270)</f>
        <v>177.589826923077</v>
      </c>
      <c r="U270" s="15" t="n">
        <f aca="false">IF(I270="","",I270*R270)</f>
        <v>507.276980769231</v>
      </c>
      <c r="V270" s="5" t="s">
        <v>195</v>
      </c>
      <c r="W270" s="5" t="s">
        <v>70</v>
      </c>
      <c r="X270" s="5" t="s">
        <v>198</v>
      </c>
    </row>
    <row r="271" customFormat="false" ht="15" hidden="false" customHeight="false" outlineLevel="0" collapsed="false">
      <c r="A271" s="5" t="s">
        <v>489</v>
      </c>
      <c r="B271" s="5" t="s">
        <v>64</v>
      </c>
      <c r="C271" s="5" t="s">
        <v>94</v>
      </c>
      <c r="D271" s="5" t="s">
        <v>413</v>
      </c>
      <c r="E271" s="5" t="s">
        <v>193</v>
      </c>
      <c r="F271" s="5" t="s">
        <v>206</v>
      </c>
      <c r="G271" s="15" t="n">
        <v>58.6299769230769</v>
      </c>
      <c r="H271" s="15" t="n">
        <v>176.740076923077</v>
      </c>
      <c r="I271" s="15" t="n">
        <v>503.877980769231</v>
      </c>
      <c r="J271" s="5" t="s">
        <v>195</v>
      </c>
      <c r="K271" s="5" t="n">
        <v>2048</v>
      </c>
      <c r="L271" s="5" t="str">
        <f aca="false">IF(AND(K271&gt;=Hypothèses!$B$9,K271&lt;=Hypothèses!$B$10),"actuel",IF(K271=2030,"2030",IF(K271=2050,"2050","autre")))</f>
        <v>autre</v>
      </c>
      <c r="M271" s="5"/>
      <c r="N271" s="5" t="s">
        <v>196</v>
      </c>
      <c r="O271" s="5"/>
      <c r="P271" s="5" t="s">
        <v>243</v>
      </c>
      <c r="Q271" s="5" t="s">
        <v>45</v>
      </c>
      <c r="R271" s="12" t="n">
        <f aca="false">INDEX(Hypothèses!$B$14:$B$17,MATCH(Q271,Hypothèses!$A$14:$A$17,0))</f>
        <v>1</v>
      </c>
      <c r="S271" s="15" t="n">
        <f aca="false">IF(G271="","",G271*R271)</f>
        <v>58.6299769230769</v>
      </c>
      <c r="T271" s="15" t="n">
        <f aca="false">IF(H271="","",H271*R271)</f>
        <v>176.740076923077</v>
      </c>
      <c r="U271" s="15" t="n">
        <f aca="false">IF(I271="","",I271*R271)</f>
        <v>503.877980769231</v>
      </c>
      <c r="V271" s="5" t="s">
        <v>195</v>
      </c>
      <c r="W271" s="5" t="s">
        <v>70</v>
      </c>
      <c r="X271" s="5" t="s">
        <v>198</v>
      </c>
    </row>
    <row r="272" customFormat="false" ht="15" hidden="false" customHeight="false" outlineLevel="0" collapsed="false">
      <c r="A272" s="5" t="s">
        <v>490</v>
      </c>
      <c r="B272" s="5" t="s">
        <v>64</v>
      </c>
      <c r="C272" s="5" t="s">
        <v>94</v>
      </c>
      <c r="D272" s="5" t="s">
        <v>413</v>
      </c>
      <c r="E272" s="5" t="s">
        <v>193</v>
      </c>
      <c r="F272" s="5" t="s">
        <v>206</v>
      </c>
      <c r="G272" s="15" t="n">
        <v>57.7803259615385</v>
      </c>
      <c r="H272" s="15" t="n">
        <v>174.190826923077</v>
      </c>
      <c r="I272" s="15" t="n">
        <v>500.478980769231</v>
      </c>
      <c r="J272" s="5" t="s">
        <v>195</v>
      </c>
      <c r="K272" s="5" t="n">
        <v>2049</v>
      </c>
      <c r="L272" s="5" t="str">
        <f aca="false">IF(AND(K272&gt;=Hypothèses!$B$9,K272&lt;=Hypothèses!$B$10),"actuel",IF(K272=2030,"2030",IF(K272=2050,"2050","autre")))</f>
        <v>autre</v>
      </c>
      <c r="M272" s="5"/>
      <c r="N272" s="5" t="s">
        <v>196</v>
      </c>
      <c r="O272" s="5"/>
      <c r="P272" s="5" t="s">
        <v>243</v>
      </c>
      <c r="Q272" s="5" t="s">
        <v>45</v>
      </c>
      <c r="R272" s="12" t="n">
        <f aca="false">INDEX(Hypothèses!$B$14:$B$17,MATCH(Q272,Hypothèses!$A$14:$A$17,0))</f>
        <v>1</v>
      </c>
      <c r="S272" s="15" t="n">
        <f aca="false">IF(G272="","",G272*R272)</f>
        <v>57.7803259615385</v>
      </c>
      <c r="T272" s="15" t="n">
        <f aca="false">IF(H272="","",H272*R272)</f>
        <v>174.190826923077</v>
      </c>
      <c r="U272" s="15" t="n">
        <f aca="false">IF(I272="","",I272*R272)</f>
        <v>500.478980769231</v>
      </c>
      <c r="V272" s="5" t="s">
        <v>195</v>
      </c>
      <c r="W272" s="5" t="s">
        <v>70</v>
      </c>
      <c r="X272" s="5" t="s">
        <v>198</v>
      </c>
    </row>
    <row r="273" customFormat="false" ht="15" hidden="false" customHeight="false" outlineLevel="0" collapsed="false">
      <c r="A273" s="5" t="s">
        <v>491</v>
      </c>
      <c r="B273" s="5" t="s">
        <v>64</v>
      </c>
      <c r="C273" s="5" t="s">
        <v>94</v>
      </c>
      <c r="D273" s="5" t="s">
        <v>413</v>
      </c>
      <c r="E273" s="5" t="s">
        <v>193</v>
      </c>
      <c r="F273" s="5" t="s">
        <v>206</v>
      </c>
      <c r="G273" s="15" t="n">
        <v>56.080925</v>
      </c>
      <c r="H273" s="15" t="n">
        <v>173.317307692308</v>
      </c>
      <c r="I273" s="15" t="n">
        <v>496.231221153846</v>
      </c>
      <c r="J273" s="5" t="s">
        <v>195</v>
      </c>
      <c r="K273" s="5" t="n">
        <v>2050</v>
      </c>
      <c r="L273" s="5" t="str">
        <f aca="false">IF(AND(K273&gt;=Hypothèses!$B$9,K273&lt;=Hypothèses!$B$10),"actuel",IF(K273=2030,"2030",IF(K273=2050,"2050","autre")))</f>
        <v>2050</v>
      </c>
      <c r="M273" s="5"/>
      <c r="N273" s="5" t="s">
        <v>196</v>
      </c>
      <c r="O273" s="5"/>
      <c r="P273" s="5" t="s">
        <v>243</v>
      </c>
      <c r="Q273" s="5" t="s">
        <v>45</v>
      </c>
      <c r="R273" s="12" t="n">
        <f aca="false">INDEX(Hypothèses!$B$14:$B$17,MATCH(Q273,Hypothèses!$A$14:$A$17,0))</f>
        <v>1</v>
      </c>
      <c r="S273" s="15" t="n">
        <f aca="false">IF(G273="","",G273*R273)</f>
        <v>56.080925</v>
      </c>
      <c r="T273" s="15" t="n">
        <f aca="false">IF(H273="","",H273*R273)</f>
        <v>173.317307692308</v>
      </c>
      <c r="U273" s="15" t="n">
        <f aca="false">IF(I273="","",I273*R273)</f>
        <v>496.231221153846</v>
      </c>
      <c r="V273" s="5" t="s">
        <v>195</v>
      </c>
      <c r="W273" s="5" t="s">
        <v>70</v>
      </c>
      <c r="X273" s="5" t="s">
        <v>198</v>
      </c>
    </row>
    <row r="274" customFormat="false" ht="15" hidden="false" customHeight="false" outlineLevel="0" collapsed="false">
      <c r="A274" s="5" t="s">
        <v>492</v>
      </c>
      <c r="B274" s="5" t="s">
        <v>64</v>
      </c>
      <c r="C274" s="5" t="s">
        <v>100</v>
      </c>
      <c r="D274" s="5" t="s">
        <v>413</v>
      </c>
      <c r="E274" s="5" t="s">
        <v>193</v>
      </c>
      <c r="F274" s="5" t="s">
        <v>206</v>
      </c>
      <c r="G274" s="15"/>
      <c r="H274" s="15" t="n">
        <v>1025.8285</v>
      </c>
      <c r="I274" s="15"/>
      <c r="J274" s="5" t="s">
        <v>195</v>
      </c>
      <c r="K274" s="5" t="n">
        <v>2020</v>
      </c>
      <c r="L274" s="5" t="str">
        <f aca="false">IF(AND(K274&gt;=Hypothèses!$B$9,K274&lt;=Hypothèses!$B$10),"actuel",IF(K274=2030,"2030",IF(K274=2050,"2050","autre")))</f>
        <v>actuel</v>
      </c>
      <c r="M274" s="5"/>
      <c r="N274" s="5" t="s">
        <v>196</v>
      </c>
      <c r="O274" s="5"/>
      <c r="P274" s="5" t="s">
        <v>283</v>
      </c>
      <c r="Q274" s="5" t="s">
        <v>45</v>
      </c>
      <c r="R274" s="12" t="n">
        <f aca="false">INDEX(Hypothèses!$B$14:$B$17,MATCH(Q274,Hypothèses!$A$14:$A$17,0))</f>
        <v>1</v>
      </c>
      <c r="S274" s="15" t="str">
        <f aca="false">IF(G274="","",G274*R274)</f>
        <v/>
      </c>
      <c r="T274" s="15" t="n">
        <f aca="false">IF(H274="","",H274*R274)</f>
        <v>1025.8285</v>
      </c>
      <c r="U274" s="15" t="str">
        <f aca="false">IF(I274="","",I274*R274)</f>
        <v/>
      </c>
      <c r="V274" s="5" t="s">
        <v>195</v>
      </c>
      <c r="W274" s="5" t="s">
        <v>70</v>
      </c>
      <c r="X274" s="5" t="s">
        <v>198</v>
      </c>
    </row>
    <row r="275" customFormat="false" ht="15" hidden="false" customHeight="false" outlineLevel="0" collapsed="false">
      <c r="A275" s="5" t="s">
        <v>493</v>
      </c>
      <c r="B275" s="5" t="s">
        <v>64</v>
      </c>
      <c r="C275" s="5" t="s">
        <v>100</v>
      </c>
      <c r="D275" s="5" t="s">
        <v>413</v>
      </c>
      <c r="E275" s="5" t="s">
        <v>193</v>
      </c>
      <c r="F275" s="5" t="s">
        <v>206</v>
      </c>
      <c r="G275" s="15"/>
      <c r="H275" s="15" t="n">
        <v>606.1756</v>
      </c>
      <c r="I275" s="15"/>
      <c r="J275" s="5" t="s">
        <v>195</v>
      </c>
      <c r="K275" s="5" t="n">
        <v>2030</v>
      </c>
      <c r="L275" s="5" t="str">
        <f aca="false">IF(AND(K275&gt;=Hypothèses!$B$9,K275&lt;=Hypothèses!$B$10),"actuel",IF(K275=2030,"2030",IF(K275=2050,"2050","autre")))</f>
        <v>2030</v>
      </c>
      <c r="M275" s="5"/>
      <c r="N275" s="5" t="s">
        <v>196</v>
      </c>
      <c r="O275" s="5"/>
      <c r="P275" s="5" t="s">
        <v>283</v>
      </c>
      <c r="Q275" s="5" t="s">
        <v>45</v>
      </c>
      <c r="R275" s="12" t="n">
        <f aca="false">INDEX(Hypothèses!$B$14:$B$17,MATCH(Q275,Hypothèses!$A$14:$A$17,0))</f>
        <v>1</v>
      </c>
      <c r="S275" s="15" t="str">
        <f aca="false">IF(G275="","",G275*R275)</f>
        <v/>
      </c>
      <c r="T275" s="15" t="n">
        <f aca="false">IF(H275="","",H275*R275)</f>
        <v>606.1756</v>
      </c>
      <c r="U275" s="15" t="str">
        <f aca="false">IF(I275="","",I275*R275)</f>
        <v/>
      </c>
      <c r="V275" s="5" t="s">
        <v>195</v>
      </c>
      <c r="W275" s="5" t="s">
        <v>70</v>
      </c>
      <c r="X275" s="5" t="s">
        <v>198</v>
      </c>
    </row>
    <row r="276" customFormat="false" ht="15" hidden="false" customHeight="false" outlineLevel="0" collapsed="false">
      <c r="A276" s="5" t="s">
        <v>494</v>
      </c>
      <c r="B276" s="5" t="s">
        <v>64</v>
      </c>
      <c r="C276" s="5" t="s">
        <v>100</v>
      </c>
      <c r="D276" s="5" t="s">
        <v>413</v>
      </c>
      <c r="E276" s="5" t="s">
        <v>193</v>
      </c>
      <c r="F276" s="5" t="s">
        <v>206</v>
      </c>
      <c r="G276" s="15"/>
      <c r="H276" s="15" t="n">
        <v>186.5124</v>
      </c>
      <c r="I276" s="15"/>
      <c r="J276" s="5" t="s">
        <v>195</v>
      </c>
      <c r="K276" s="5" t="n">
        <v>2050</v>
      </c>
      <c r="L276" s="5" t="str">
        <f aca="false">IF(AND(K276&gt;=Hypothèses!$B$9,K276&lt;=Hypothèses!$B$10),"actuel",IF(K276=2030,"2030",IF(K276=2050,"2050","autre")))</f>
        <v>2050</v>
      </c>
      <c r="M276" s="5"/>
      <c r="N276" s="5" t="s">
        <v>196</v>
      </c>
      <c r="O276" s="5"/>
      <c r="P276" s="5" t="s">
        <v>283</v>
      </c>
      <c r="Q276" s="5" t="s">
        <v>45</v>
      </c>
      <c r="R276" s="12" t="n">
        <f aca="false">INDEX(Hypothèses!$B$14:$B$17,MATCH(Q276,Hypothèses!$A$14:$A$17,0))</f>
        <v>1</v>
      </c>
      <c r="S276" s="15" t="str">
        <f aca="false">IF(G276="","",G276*R276)</f>
        <v/>
      </c>
      <c r="T276" s="15" t="n">
        <f aca="false">IF(H276="","",H276*R276)</f>
        <v>186.5124</v>
      </c>
      <c r="U276" s="15" t="str">
        <f aca="false">IF(I276="","",I276*R276)</f>
        <v/>
      </c>
      <c r="V276" s="5" t="s">
        <v>195</v>
      </c>
      <c r="W276" s="5" t="s">
        <v>70</v>
      </c>
      <c r="X276" s="5" t="s">
        <v>198</v>
      </c>
    </row>
    <row r="277" customFormat="false" ht="15" hidden="false" customHeight="false" outlineLevel="0" collapsed="false">
      <c r="A277" s="5" t="s">
        <v>495</v>
      </c>
      <c r="B277" s="5" t="s">
        <v>64</v>
      </c>
      <c r="C277" s="5" t="s">
        <v>104</v>
      </c>
      <c r="D277" s="5" t="s">
        <v>413</v>
      </c>
      <c r="E277" s="5" t="s">
        <v>193</v>
      </c>
      <c r="F277" s="5" t="s">
        <v>206</v>
      </c>
      <c r="G277" s="15"/>
      <c r="H277" s="15" t="n">
        <v>1521.31</v>
      </c>
      <c r="I277" s="15"/>
      <c r="J277" s="5" t="s">
        <v>195</v>
      </c>
      <c r="K277" s="5" t="n">
        <v>2020</v>
      </c>
      <c r="L277" s="5" t="str">
        <f aca="false">IF(AND(K277&gt;=Hypothèses!$B$9,K277&lt;=Hypothèses!$B$10),"actuel",IF(K277=2030,"2030",IF(K277=2050,"2050","autre")))</f>
        <v>actuel</v>
      </c>
      <c r="M277" s="5"/>
      <c r="N277" s="5" t="s">
        <v>196</v>
      </c>
      <c r="O277" s="5"/>
      <c r="P277" s="5" t="s">
        <v>287</v>
      </c>
      <c r="Q277" s="5" t="s">
        <v>45</v>
      </c>
      <c r="R277" s="12" t="n">
        <f aca="false">INDEX(Hypothèses!$B$14:$B$17,MATCH(Q277,Hypothèses!$A$14:$A$17,0))</f>
        <v>1</v>
      </c>
      <c r="S277" s="15" t="str">
        <f aca="false">IF(G277="","",G277*R277)</f>
        <v/>
      </c>
      <c r="T277" s="15" t="n">
        <f aca="false">IF(H277="","",H277*R277)</f>
        <v>1521.31</v>
      </c>
      <c r="U277" s="15" t="str">
        <f aca="false">IF(I277="","",I277*R277)</f>
        <v/>
      </c>
      <c r="V277" s="5" t="s">
        <v>195</v>
      </c>
      <c r="W277" s="5" t="s">
        <v>70</v>
      </c>
      <c r="X277" s="5" t="s">
        <v>198</v>
      </c>
    </row>
    <row r="278" customFormat="false" ht="15" hidden="false" customHeight="false" outlineLevel="0" collapsed="false">
      <c r="A278" s="5" t="s">
        <v>496</v>
      </c>
      <c r="B278" s="5" t="s">
        <v>64</v>
      </c>
      <c r="C278" s="5" t="s">
        <v>104</v>
      </c>
      <c r="D278" s="5" t="s">
        <v>413</v>
      </c>
      <c r="E278" s="5" t="s">
        <v>193</v>
      </c>
      <c r="F278" s="5" t="s">
        <v>206</v>
      </c>
      <c r="G278" s="15"/>
      <c r="H278" s="15" t="n">
        <v>449.08</v>
      </c>
      <c r="I278" s="15"/>
      <c r="J278" s="5" t="s">
        <v>195</v>
      </c>
      <c r="K278" s="5" t="n">
        <v>2030</v>
      </c>
      <c r="L278" s="5" t="str">
        <f aca="false">IF(AND(K278&gt;=Hypothèses!$B$9,K278&lt;=Hypothèses!$B$10),"actuel",IF(K278=2030,"2030",IF(K278=2050,"2050","autre")))</f>
        <v>2030</v>
      </c>
      <c r="M278" s="5"/>
      <c r="N278" s="5" t="s">
        <v>196</v>
      </c>
      <c r="O278" s="5"/>
      <c r="P278" s="5" t="s">
        <v>287</v>
      </c>
      <c r="Q278" s="5" t="s">
        <v>45</v>
      </c>
      <c r="R278" s="12" t="n">
        <f aca="false">INDEX(Hypothèses!$B$14:$B$17,MATCH(Q278,Hypothèses!$A$14:$A$17,0))</f>
        <v>1</v>
      </c>
      <c r="S278" s="15" t="str">
        <f aca="false">IF(G278="","",G278*R278)</f>
        <v/>
      </c>
      <c r="T278" s="15" t="n">
        <f aca="false">IF(H278="","",H278*R278)</f>
        <v>449.08</v>
      </c>
      <c r="U278" s="15" t="str">
        <f aca="false">IF(I278="","",I278*R278)</f>
        <v/>
      </c>
      <c r="V278" s="5" t="s">
        <v>195</v>
      </c>
      <c r="W278" s="5" t="s">
        <v>70</v>
      </c>
      <c r="X278" s="5" t="s">
        <v>198</v>
      </c>
    </row>
    <row r="279" customFormat="false" ht="15" hidden="false" customHeight="false" outlineLevel="0" collapsed="false">
      <c r="A279" s="5" t="s">
        <v>497</v>
      </c>
      <c r="B279" s="5" t="s">
        <v>64</v>
      </c>
      <c r="C279" s="5" t="s">
        <v>104</v>
      </c>
      <c r="D279" s="5" t="s">
        <v>413</v>
      </c>
      <c r="E279" s="5" t="s">
        <v>193</v>
      </c>
      <c r="F279" s="5" t="s">
        <v>206</v>
      </c>
      <c r="G279" s="15"/>
      <c r="H279" s="15" t="n">
        <v>351.23</v>
      </c>
      <c r="I279" s="15"/>
      <c r="J279" s="5" t="s">
        <v>195</v>
      </c>
      <c r="K279" s="5" t="n">
        <v>2050</v>
      </c>
      <c r="L279" s="5" t="str">
        <f aca="false">IF(AND(K279&gt;=Hypothèses!$B$9,K279&lt;=Hypothèses!$B$10),"actuel",IF(K279=2030,"2030",IF(K279=2050,"2050","autre")))</f>
        <v>2050</v>
      </c>
      <c r="M279" s="5"/>
      <c r="N279" s="5" t="s">
        <v>196</v>
      </c>
      <c r="O279" s="5"/>
      <c r="P279" s="5" t="s">
        <v>287</v>
      </c>
      <c r="Q279" s="5" t="s">
        <v>45</v>
      </c>
      <c r="R279" s="12" t="n">
        <f aca="false">INDEX(Hypothèses!$B$14:$B$17,MATCH(Q279,Hypothèses!$A$14:$A$17,0))</f>
        <v>1</v>
      </c>
      <c r="S279" s="15" t="str">
        <f aca="false">IF(G279="","",G279*R279)</f>
        <v/>
      </c>
      <c r="T279" s="15" t="n">
        <f aca="false">IF(H279="","",H279*R279)</f>
        <v>351.23</v>
      </c>
      <c r="U279" s="15" t="str">
        <f aca="false">IF(I279="","",I279*R279)</f>
        <v/>
      </c>
      <c r="V279" s="5" t="s">
        <v>195</v>
      </c>
      <c r="W279" s="5" t="s">
        <v>70</v>
      </c>
      <c r="X279" s="5" t="s">
        <v>198</v>
      </c>
    </row>
    <row r="280" customFormat="false" ht="15" hidden="false" customHeight="false" outlineLevel="0" collapsed="false">
      <c r="A280" s="5" t="s">
        <v>498</v>
      </c>
      <c r="B280" s="5" t="s">
        <v>64</v>
      </c>
      <c r="C280" s="5" t="s">
        <v>106</v>
      </c>
      <c r="D280" s="5" t="s">
        <v>413</v>
      </c>
      <c r="E280" s="5" t="s">
        <v>193</v>
      </c>
      <c r="F280" s="5" t="s">
        <v>206</v>
      </c>
      <c r="G280" s="15"/>
      <c r="H280" s="15" t="n">
        <v>1811.3065</v>
      </c>
      <c r="I280" s="15"/>
      <c r="J280" s="5" t="s">
        <v>195</v>
      </c>
      <c r="K280" s="5" t="n">
        <v>2020</v>
      </c>
      <c r="L280" s="5" t="str">
        <f aca="false">IF(AND(K280&gt;=Hypothèses!$B$9,K280&lt;=Hypothèses!$B$10),"actuel",IF(K280=2030,"2030",IF(K280=2050,"2050","autre")))</f>
        <v>actuel</v>
      </c>
      <c r="M280" s="5"/>
      <c r="N280" s="5" t="s">
        <v>196</v>
      </c>
      <c r="O280" s="5"/>
      <c r="P280" s="5" t="s">
        <v>230</v>
      </c>
      <c r="Q280" s="5" t="s">
        <v>45</v>
      </c>
      <c r="R280" s="12" t="n">
        <f aca="false">INDEX(Hypothèses!$B$14:$B$17,MATCH(Q280,Hypothèses!$A$14:$A$17,0))</f>
        <v>1</v>
      </c>
      <c r="S280" s="15" t="str">
        <f aca="false">IF(G280="","",G280*R280)</f>
        <v/>
      </c>
      <c r="T280" s="15" t="n">
        <f aca="false">IF(H280="","",H280*R280)</f>
        <v>1811.3065</v>
      </c>
      <c r="U280" s="15" t="str">
        <f aca="false">IF(I280="","",I280*R280)</f>
        <v/>
      </c>
      <c r="V280" s="5" t="s">
        <v>195</v>
      </c>
      <c r="W280" s="5" t="s">
        <v>70</v>
      </c>
      <c r="X280" s="5" t="s">
        <v>198</v>
      </c>
    </row>
    <row r="281" customFormat="false" ht="15" hidden="false" customHeight="false" outlineLevel="0" collapsed="false">
      <c r="A281" s="5" t="s">
        <v>499</v>
      </c>
      <c r="B281" s="5" t="s">
        <v>64</v>
      </c>
      <c r="C281" s="5" t="s">
        <v>106</v>
      </c>
      <c r="D281" s="5" t="s">
        <v>413</v>
      </c>
      <c r="E281" s="5" t="s">
        <v>193</v>
      </c>
      <c r="F281" s="5" t="s">
        <v>206</v>
      </c>
      <c r="G281" s="15"/>
      <c r="H281" s="15" t="n">
        <v>600.72072</v>
      </c>
      <c r="I281" s="15"/>
      <c r="J281" s="5" t="s">
        <v>195</v>
      </c>
      <c r="K281" s="5" t="n">
        <v>2025</v>
      </c>
      <c r="L281" s="5" t="str">
        <f aca="false">IF(AND(K281&gt;=Hypothèses!$B$9,K281&lt;=Hypothèses!$B$10),"actuel",IF(K281=2030,"2030",IF(K281=2050,"2050","autre")))</f>
        <v>actuel</v>
      </c>
      <c r="M281" s="5"/>
      <c r="N281" s="5" t="s">
        <v>196</v>
      </c>
      <c r="O281" s="5"/>
      <c r="P281" s="5" t="s">
        <v>230</v>
      </c>
      <c r="Q281" s="5" t="s">
        <v>45</v>
      </c>
      <c r="R281" s="12" t="n">
        <f aca="false">INDEX(Hypothèses!$B$14:$B$17,MATCH(Q281,Hypothèses!$A$14:$A$17,0))</f>
        <v>1</v>
      </c>
      <c r="S281" s="15" t="str">
        <f aca="false">IF(G281="","",G281*R281)</f>
        <v/>
      </c>
      <c r="T281" s="15" t="n">
        <f aca="false">IF(H281="","",H281*R281)</f>
        <v>600.72072</v>
      </c>
      <c r="U281" s="15" t="str">
        <f aca="false">IF(I281="","",I281*R281)</f>
        <v/>
      </c>
      <c r="V281" s="5" t="s">
        <v>195</v>
      </c>
      <c r="W281" s="5" t="s">
        <v>70</v>
      </c>
      <c r="X281" s="5" t="s">
        <v>198</v>
      </c>
    </row>
    <row r="282" customFormat="false" ht="15" hidden="false" customHeight="false" outlineLevel="0" collapsed="false">
      <c r="A282" s="5" t="s">
        <v>500</v>
      </c>
      <c r="B282" s="5" t="s">
        <v>64</v>
      </c>
      <c r="C282" s="5" t="s">
        <v>106</v>
      </c>
      <c r="D282" s="5" t="s">
        <v>413</v>
      </c>
      <c r="E282" s="5" t="s">
        <v>193</v>
      </c>
      <c r="F282" s="5" t="s">
        <v>206</v>
      </c>
      <c r="G282" s="15"/>
      <c r="H282" s="15" t="n">
        <v>454.35154</v>
      </c>
      <c r="I282" s="15"/>
      <c r="J282" s="5" t="s">
        <v>195</v>
      </c>
      <c r="K282" s="5" t="n">
        <v>2030</v>
      </c>
      <c r="L282" s="5" t="str">
        <f aca="false">IF(AND(K282&gt;=Hypothèses!$B$9,K282&lt;=Hypothèses!$B$10),"actuel",IF(K282=2030,"2030",IF(K282=2050,"2050","autre")))</f>
        <v>2030</v>
      </c>
      <c r="M282" s="5"/>
      <c r="N282" s="5" t="s">
        <v>196</v>
      </c>
      <c r="O282" s="5"/>
      <c r="P282" s="5" t="s">
        <v>230</v>
      </c>
      <c r="Q282" s="5" t="s">
        <v>45</v>
      </c>
      <c r="R282" s="12" t="n">
        <f aca="false">INDEX(Hypothèses!$B$14:$B$17,MATCH(Q282,Hypothèses!$A$14:$A$17,0))</f>
        <v>1</v>
      </c>
      <c r="S282" s="15" t="str">
        <f aca="false">IF(G282="","",G282*R282)</f>
        <v/>
      </c>
      <c r="T282" s="15" t="n">
        <f aca="false">IF(H282="","",H282*R282)</f>
        <v>454.35154</v>
      </c>
      <c r="U282" s="15" t="str">
        <f aca="false">IF(I282="","",I282*R282)</f>
        <v/>
      </c>
      <c r="V282" s="5" t="s">
        <v>195</v>
      </c>
      <c r="W282" s="5" t="s">
        <v>70</v>
      </c>
      <c r="X282" s="5" t="s">
        <v>198</v>
      </c>
    </row>
    <row r="283" customFormat="false" ht="15" hidden="false" customHeight="false" outlineLevel="0" collapsed="false">
      <c r="A283" s="5" t="s">
        <v>501</v>
      </c>
      <c r="B283" s="5" t="s">
        <v>64</v>
      </c>
      <c r="C283" s="5" t="s">
        <v>106</v>
      </c>
      <c r="D283" s="5" t="s">
        <v>413</v>
      </c>
      <c r="E283" s="5" t="s">
        <v>193</v>
      </c>
      <c r="F283" s="5" t="s">
        <v>206</v>
      </c>
      <c r="G283" s="15"/>
      <c r="H283" s="15" t="n">
        <v>414.71096</v>
      </c>
      <c r="I283" s="15"/>
      <c r="J283" s="5" t="s">
        <v>195</v>
      </c>
      <c r="K283" s="5" t="n">
        <v>2035</v>
      </c>
      <c r="L283" s="5" t="str">
        <f aca="false">IF(AND(K283&gt;=Hypothèses!$B$9,K283&lt;=Hypothèses!$B$10),"actuel",IF(K283=2030,"2030",IF(K283=2050,"2050","autre")))</f>
        <v>autre</v>
      </c>
      <c r="M283" s="5"/>
      <c r="N283" s="5" t="s">
        <v>196</v>
      </c>
      <c r="O283" s="5"/>
      <c r="P283" s="5" t="s">
        <v>230</v>
      </c>
      <c r="Q283" s="5" t="s">
        <v>45</v>
      </c>
      <c r="R283" s="12" t="n">
        <f aca="false">INDEX(Hypothèses!$B$14:$B$17,MATCH(Q283,Hypothèses!$A$14:$A$17,0))</f>
        <v>1</v>
      </c>
      <c r="S283" s="15" t="str">
        <f aca="false">IF(G283="","",G283*R283)</f>
        <v/>
      </c>
      <c r="T283" s="15" t="n">
        <f aca="false">IF(H283="","",H283*R283)</f>
        <v>414.71096</v>
      </c>
      <c r="U283" s="15" t="str">
        <f aca="false">IF(I283="","",I283*R283)</f>
        <v/>
      </c>
      <c r="V283" s="5" t="s">
        <v>195</v>
      </c>
      <c r="W283" s="5" t="s">
        <v>70</v>
      </c>
      <c r="X283" s="5" t="s">
        <v>198</v>
      </c>
    </row>
    <row r="284" customFormat="false" ht="15" hidden="false" customHeight="false" outlineLevel="0" collapsed="false">
      <c r="A284" s="5" t="s">
        <v>502</v>
      </c>
      <c r="B284" s="5" t="s">
        <v>64</v>
      </c>
      <c r="C284" s="5" t="s">
        <v>106</v>
      </c>
      <c r="D284" s="5" t="s">
        <v>413</v>
      </c>
      <c r="E284" s="5" t="s">
        <v>193</v>
      </c>
      <c r="F284" s="5" t="s">
        <v>206</v>
      </c>
      <c r="G284" s="15"/>
      <c r="H284" s="15" t="n">
        <v>381.16798</v>
      </c>
      <c r="I284" s="15"/>
      <c r="J284" s="5" t="s">
        <v>195</v>
      </c>
      <c r="K284" s="5" t="n">
        <v>2040</v>
      </c>
      <c r="L284" s="5" t="str">
        <f aca="false">IF(AND(K284&gt;=Hypothèses!$B$9,K284&lt;=Hypothèses!$B$10),"actuel",IF(K284=2030,"2030",IF(K284=2050,"2050","autre")))</f>
        <v>autre</v>
      </c>
      <c r="M284" s="5"/>
      <c r="N284" s="5" t="s">
        <v>196</v>
      </c>
      <c r="O284" s="5"/>
      <c r="P284" s="5" t="s">
        <v>230</v>
      </c>
      <c r="Q284" s="5" t="s">
        <v>45</v>
      </c>
      <c r="R284" s="12" t="n">
        <f aca="false">INDEX(Hypothèses!$B$14:$B$17,MATCH(Q284,Hypothèses!$A$14:$A$17,0))</f>
        <v>1</v>
      </c>
      <c r="S284" s="15" t="str">
        <f aca="false">IF(G284="","",G284*R284)</f>
        <v/>
      </c>
      <c r="T284" s="15" t="n">
        <f aca="false">IF(H284="","",H284*R284)</f>
        <v>381.16798</v>
      </c>
      <c r="U284" s="15" t="str">
        <f aca="false">IF(I284="","",I284*R284)</f>
        <v/>
      </c>
      <c r="V284" s="5" t="s">
        <v>195</v>
      </c>
      <c r="W284" s="5" t="s">
        <v>70</v>
      </c>
      <c r="X284" s="5" t="s">
        <v>198</v>
      </c>
    </row>
    <row r="285" customFormat="false" ht="15" hidden="false" customHeight="false" outlineLevel="0" collapsed="false">
      <c r="A285" s="5" t="s">
        <v>503</v>
      </c>
      <c r="B285" s="5" t="s">
        <v>64</v>
      </c>
      <c r="C285" s="5" t="s">
        <v>106</v>
      </c>
      <c r="D285" s="5" t="s">
        <v>413</v>
      </c>
      <c r="E285" s="5" t="s">
        <v>193</v>
      </c>
      <c r="F285" s="5" t="s">
        <v>206</v>
      </c>
      <c r="G285" s="15"/>
      <c r="H285" s="15" t="n">
        <v>362.87209</v>
      </c>
      <c r="I285" s="15"/>
      <c r="J285" s="5" t="s">
        <v>195</v>
      </c>
      <c r="K285" s="5" t="n">
        <v>2045</v>
      </c>
      <c r="L285" s="5" t="str">
        <f aca="false">IF(AND(K285&gt;=Hypothèses!$B$9,K285&lt;=Hypothèses!$B$10),"actuel",IF(K285=2030,"2030",IF(K285=2050,"2050","autre")))</f>
        <v>autre</v>
      </c>
      <c r="M285" s="5"/>
      <c r="N285" s="5" t="s">
        <v>196</v>
      </c>
      <c r="O285" s="5"/>
      <c r="P285" s="5" t="s">
        <v>230</v>
      </c>
      <c r="Q285" s="5" t="s">
        <v>45</v>
      </c>
      <c r="R285" s="12" t="n">
        <f aca="false">INDEX(Hypothèses!$B$14:$B$17,MATCH(Q285,Hypothèses!$A$14:$A$17,0))</f>
        <v>1</v>
      </c>
      <c r="S285" s="15" t="str">
        <f aca="false">IF(G285="","",G285*R285)</f>
        <v/>
      </c>
      <c r="T285" s="15" t="n">
        <f aca="false">IF(H285="","",H285*R285)</f>
        <v>362.87209</v>
      </c>
      <c r="U285" s="15" t="str">
        <f aca="false">IF(I285="","",I285*R285)</f>
        <v/>
      </c>
      <c r="V285" s="5" t="s">
        <v>195</v>
      </c>
      <c r="W285" s="5" t="s">
        <v>70</v>
      </c>
      <c r="X285" s="5" t="s">
        <v>198</v>
      </c>
    </row>
    <row r="286" customFormat="false" ht="15" hidden="false" customHeight="false" outlineLevel="0" collapsed="false">
      <c r="A286" s="5" t="s">
        <v>504</v>
      </c>
      <c r="B286" s="5" t="s">
        <v>64</v>
      </c>
      <c r="C286" s="5" t="s">
        <v>106</v>
      </c>
      <c r="D286" s="5" t="s">
        <v>413</v>
      </c>
      <c r="E286" s="5" t="s">
        <v>193</v>
      </c>
      <c r="F286" s="5" t="s">
        <v>206</v>
      </c>
      <c r="G286" s="15"/>
      <c r="H286" s="15" t="n">
        <v>350.67483</v>
      </c>
      <c r="I286" s="15"/>
      <c r="J286" s="5" t="s">
        <v>195</v>
      </c>
      <c r="K286" s="5" t="n">
        <v>2050</v>
      </c>
      <c r="L286" s="5" t="str">
        <f aca="false">IF(AND(K286&gt;=Hypothèses!$B$9,K286&lt;=Hypothèses!$B$10),"actuel",IF(K286=2030,"2030",IF(K286=2050,"2050","autre")))</f>
        <v>2050</v>
      </c>
      <c r="M286" s="5"/>
      <c r="N286" s="5" t="s">
        <v>196</v>
      </c>
      <c r="O286" s="5"/>
      <c r="P286" s="5" t="s">
        <v>230</v>
      </c>
      <c r="Q286" s="5" t="s">
        <v>45</v>
      </c>
      <c r="R286" s="12" t="n">
        <f aca="false">INDEX(Hypothèses!$B$14:$B$17,MATCH(Q286,Hypothèses!$A$14:$A$17,0))</f>
        <v>1</v>
      </c>
      <c r="S286" s="15" t="str">
        <f aca="false">IF(G286="","",G286*R286)</f>
        <v/>
      </c>
      <c r="T286" s="15" t="n">
        <f aca="false">IF(H286="","",H286*R286)</f>
        <v>350.67483</v>
      </c>
      <c r="U286" s="15" t="str">
        <f aca="false">IF(I286="","",I286*R286)</f>
        <v/>
      </c>
      <c r="V286" s="5" t="s">
        <v>195</v>
      </c>
      <c r="W286" s="5" t="s">
        <v>70</v>
      </c>
      <c r="X286" s="5" t="s">
        <v>198</v>
      </c>
    </row>
    <row r="287" customFormat="false" ht="15" hidden="false" customHeight="false" outlineLevel="0" collapsed="false">
      <c r="A287" s="5" t="s">
        <v>505</v>
      </c>
      <c r="B287" s="5" t="s">
        <v>64</v>
      </c>
      <c r="C287" s="5" t="s">
        <v>120</v>
      </c>
      <c r="D287" s="5" t="s">
        <v>413</v>
      </c>
      <c r="E287" s="5" t="s">
        <v>193</v>
      </c>
      <c r="F287" s="5" t="s">
        <v>206</v>
      </c>
      <c r="G287" s="15"/>
      <c r="H287" s="15" t="n">
        <v>473.8</v>
      </c>
      <c r="I287" s="15"/>
      <c r="J287" s="5" t="s">
        <v>195</v>
      </c>
      <c r="K287" s="5" t="n">
        <v>2019</v>
      </c>
      <c r="L287" s="5" t="str">
        <f aca="false">IF(AND(K287&gt;=Hypothèses!$B$9,K287&lt;=Hypothèses!$B$10),"actuel",IF(K287=2030,"2030",IF(K287=2050,"2050","autre")))</f>
        <v>autre</v>
      </c>
      <c r="M287" s="5"/>
      <c r="N287" s="5" t="s">
        <v>196</v>
      </c>
      <c r="O287" s="5"/>
      <c r="P287" s="5" t="s">
        <v>506</v>
      </c>
      <c r="Q287" s="5" t="s">
        <v>45</v>
      </c>
      <c r="R287" s="12" t="n">
        <f aca="false">INDEX(Hypothèses!$B$14:$B$17,MATCH(Q287,Hypothèses!$A$14:$A$17,0))</f>
        <v>1</v>
      </c>
      <c r="S287" s="15" t="str">
        <f aca="false">IF(G287="","",G287*R287)</f>
        <v/>
      </c>
      <c r="T287" s="15" t="n">
        <f aca="false">IF(H287="","",H287*R287)</f>
        <v>473.8</v>
      </c>
      <c r="U287" s="15" t="str">
        <f aca="false">IF(I287="","",I287*R287)</f>
        <v/>
      </c>
      <c r="V287" s="5" t="s">
        <v>195</v>
      </c>
      <c r="W287" s="5" t="s">
        <v>70</v>
      </c>
      <c r="X287" s="5" t="s">
        <v>198</v>
      </c>
    </row>
    <row r="288" customFormat="false" ht="15" hidden="false" customHeight="false" outlineLevel="0" collapsed="false">
      <c r="A288" s="5" t="s">
        <v>507</v>
      </c>
      <c r="B288" s="5" t="s">
        <v>64</v>
      </c>
      <c r="C288" s="5" t="s">
        <v>120</v>
      </c>
      <c r="D288" s="5" t="s">
        <v>413</v>
      </c>
      <c r="E288" s="5" t="s">
        <v>193</v>
      </c>
      <c r="F288" s="5" t="s">
        <v>206</v>
      </c>
      <c r="G288" s="15"/>
      <c r="H288" s="15" t="n">
        <v>239.99</v>
      </c>
      <c r="I288" s="15"/>
      <c r="J288" s="5" t="s">
        <v>195</v>
      </c>
      <c r="K288" s="5" t="n">
        <v>2035</v>
      </c>
      <c r="L288" s="5" t="str">
        <f aca="false">IF(AND(K288&gt;=Hypothèses!$B$9,K288&lt;=Hypothèses!$B$10),"actuel",IF(K288=2030,"2030",IF(K288=2050,"2050","autre")))</f>
        <v>autre</v>
      </c>
      <c r="M288" s="5"/>
      <c r="N288" s="5" t="s">
        <v>196</v>
      </c>
      <c r="O288" s="5"/>
      <c r="P288" s="5" t="s">
        <v>506</v>
      </c>
      <c r="Q288" s="5" t="s">
        <v>45</v>
      </c>
      <c r="R288" s="12" t="n">
        <f aca="false">INDEX(Hypothèses!$B$14:$B$17,MATCH(Q288,Hypothèses!$A$14:$A$17,0))</f>
        <v>1</v>
      </c>
      <c r="S288" s="15" t="str">
        <f aca="false">IF(G288="","",G288*R288)</f>
        <v/>
      </c>
      <c r="T288" s="15" t="n">
        <f aca="false">IF(H288="","",H288*R288)</f>
        <v>239.99</v>
      </c>
      <c r="U288" s="15" t="str">
        <f aca="false">IF(I288="","",I288*R288)</f>
        <v/>
      </c>
      <c r="V288" s="5" t="s">
        <v>195</v>
      </c>
      <c r="W288" s="5" t="s">
        <v>70</v>
      </c>
      <c r="X288" s="5" t="s">
        <v>198</v>
      </c>
    </row>
    <row r="289" customFormat="false" ht="15" hidden="false" customHeight="false" outlineLevel="0" collapsed="false">
      <c r="A289" s="5" t="s">
        <v>508</v>
      </c>
      <c r="B289" s="5" t="s">
        <v>64</v>
      </c>
      <c r="C289" s="5" t="s">
        <v>122</v>
      </c>
      <c r="D289" s="5" t="s">
        <v>413</v>
      </c>
      <c r="E289" s="5" t="s">
        <v>193</v>
      </c>
      <c r="F289" s="5" t="s">
        <v>206</v>
      </c>
      <c r="G289" s="15"/>
      <c r="H289" s="15" t="n">
        <v>1789.0585</v>
      </c>
      <c r="I289" s="15"/>
      <c r="J289" s="5" t="s">
        <v>195</v>
      </c>
      <c r="K289" s="5" t="n">
        <v>2016</v>
      </c>
      <c r="L289" s="5" t="str">
        <f aca="false">IF(AND(K289&gt;=Hypothèses!$B$9,K289&lt;=Hypothèses!$B$10),"actuel",IF(K289=2030,"2030",IF(K289=2050,"2050","autre")))</f>
        <v>autre</v>
      </c>
      <c r="M289" s="5"/>
      <c r="N289" s="5" t="s">
        <v>196</v>
      </c>
      <c r="O289" s="5"/>
      <c r="P289" s="5" t="s">
        <v>230</v>
      </c>
      <c r="Q289" s="5" t="s">
        <v>45</v>
      </c>
      <c r="R289" s="12" t="n">
        <f aca="false">INDEX(Hypothèses!$B$14:$B$17,MATCH(Q289,Hypothèses!$A$14:$A$17,0))</f>
        <v>1</v>
      </c>
      <c r="S289" s="15" t="str">
        <f aca="false">IF(G289="","",G289*R289)</f>
        <v/>
      </c>
      <c r="T289" s="15" t="n">
        <f aca="false">IF(H289="","",H289*R289)</f>
        <v>1789.0585</v>
      </c>
      <c r="U289" s="15" t="str">
        <f aca="false">IF(I289="","",I289*R289)</f>
        <v/>
      </c>
      <c r="V289" s="5" t="s">
        <v>195</v>
      </c>
      <c r="W289" s="5" t="s">
        <v>70</v>
      </c>
      <c r="X289" s="5" t="s">
        <v>198</v>
      </c>
    </row>
    <row r="290" customFormat="false" ht="15" hidden="false" customHeight="false" outlineLevel="0" collapsed="false">
      <c r="A290" s="5" t="s">
        <v>509</v>
      </c>
      <c r="B290" s="5" t="s">
        <v>64</v>
      </c>
      <c r="C290" s="5" t="s">
        <v>122</v>
      </c>
      <c r="D290" s="5" t="s">
        <v>413</v>
      </c>
      <c r="E290" s="5" t="s">
        <v>193</v>
      </c>
      <c r="F290" s="5" t="s">
        <v>206</v>
      </c>
      <c r="G290" s="15"/>
      <c r="H290" s="15" t="n">
        <v>1318.85955166667</v>
      </c>
      <c r="I290" s="15"/>
      <c r="J290" s="5" t="s">
        <v>195</v>
      </c>
      <c r="K290" s="5" t="n">
        <v>2017</v>
      </c>
      <c r="L290" s="5" t="str">
        <f aca="false">IF(AND(K290&gt;=Hypothèses!$B$9,K290&lt;=Hypothèses!$B$10),"actuel",IF(K290=2030,"2030",IF(K290=2050,"2050","autre")))</f>
        <v>autre</v>
      </c>
      <c r="M290" s="5"/>
      <c r="N290" s="5" t="s">
        <v>196</v>
      </c>
      <c r="O290" s="5"/>
      <c r="P290" s="5" t="s">
        <v>230</v>
      </c>
      <c r="Q290" s="5" t="s">
        <v>45</v>
      </c>
      <c r="R290" s="12" t="n">
        <f aca="false">INDEX(Hypothèses!$B$14:$B$17,MATCH(Q290,Hypothèses!$A$14:$A$17,0))</f>
        <v>1</v>
      </c>
      <c r="S290" s="15" t="str">
        <f aca="false">IF(G290="","",G290*R290)</f>
        <v/>
      </c>
      <c r="T290" s="15" t="n">
        <f aca="false">IF(H290="","",H290*R290)</f>
        <v>1318.85955166667</v>
      </c>
      <c r="U290" s="15" t="str">
        <f aca="false">IF(I290="","",I290*R290)</f>
        <v/>
      </c>
      <c r="V290" s="5" t="s">
        <v>195</v>
      </c>
      <c r="W290" s="5" t="s">
        <v>70</v>
      </c>
      <c r="X290" s="5" t="s">
        <v>198</v>
      </c>
    </row>
    <row r="291" customFormat="false" ht="15" hidden="false" customHeight="false" outlineLevel="0" collapsed="false">
      <c r="A291" s="5" t="s">
        <v>510</v>
      </c>
      <c r="B291" s="5" t="s">
        <v>64</v>
      </c>
      <c r="C291" s="5" t="s">
        <v>122</v>
      </c>
      <c r="D291" s="5" t="s">
        <v>413</v>
      </c>
      <c r="E291" s="5" t="s">
        <v>193</v>
      </c>
      <c r="F291" s="5" t="s">
        <v>206</v>
      </c>
      <c r="G291" s="15"/>
      <c r="H291" s="15" t="n">
        <v>1221.374</v>
      </c>
      <c r="I291" s="15"/>
      <c r="J291" s="5" t="s">
        <v>195</v>
      </c>
      <c r="K291" s="5" t="n">
        <v>2018</v>
      </c>
      <c r="L291" s="5" t="str">
        <f aca="false">IF(AND(K291&gt;=Hypothèses!$B$9,K291&lt;=Hypothèses!$B$10),"actuel",IF(K291=2030,"2030",IF(K291=2050,"2050","autre")))</f>
        <v>autre</v>
      </c>
      <c r="M291" s="5"/>
      <c r="N291" s="5" t="s">
        <v>196</v>
      </c>
      <c r="O291" s="5"/>
      <c r="P291" s="5" t="s">
        <v>230</v>
      </c>
      <c r="Q291" s="5" t="s">
        <v>45</v>
      </c>
      <c r="R291" s="12" t="n">
        <f aca="false">INDEX(Hypothèses!$B$14:$B$17,MATCH(Q291,Hypothèses!$A$14:$A$17,0))</f>
        <v>1</v>
      </c>
      <c r="S291" s="15" t="str">
        <f aca="false">IF(G291="","",G291*R291)</f>
        <v/>
      </c>
      <c r="T291" s="15" t="n">
        <f aca="false">IF(H291="","",H291*R291)</f>
        <v>1221.374</v>
      </c>
      <c r="U291" s="15" t="str">
        <f aca="false">IF(I291="","",I291*R291)</f>
        <v/>
      </c>
      <c r="V291" s="5" t="s">
        <v>195</v>
      </c>
      <c r="W291" s="5" t="s">
        <v>70</v>
      </c>
      <c r="X291" s="5" t="s">
        <v>198</v>
      </c>
    </row>
    <row r="292" customFormat="false" ht="15" hidden="false" customHeight="false" outlineLevel="0" collapsed="false">
      <c r="A292" s="5" t="s">
        <v>511</v>
      </c>
      <c r="B292" s="5" t="s">
        <v>64</v>
      </c>
      <c r="C292" s="5" t="s">
        <v>122</v>
      </c>
      <c r="D292" s="5" t="s">
        <v>413</v>
      </c>
      <c r="E292" s="5" t="s">
        <v>193</v>
      </c>
      <c r="F292" s="5" t="s">
        <v>206</v>
      </c>
      <c r="G292" s="15"/>
      <c r="H292" s="15" t="n">
        <v>923.201016666667</v>
      </c>
      <c r="I292" s="15"/>
      <c r="J292" s="5" t="s">
        <v>195</v>
      </c>
      <c r="K292" s="5" t="n">
        <v>2019</v>
      </c>
      <c r="L292" s="5" t="str">
        <f aca="false">IF(AND(K292&gt;=Hypothèses!$B$9,K292&lt;=Hypothèses!$B$10),"actuel",IF(K292=2030,"2030",IF(K292=2050,"2050","autre")))</f>
        <v>autre</v>
      </c>
      <c r="M292" s="5"/>
      <c r="N292" s="5" t="s">
        <v>196</v>
      </c>
      <c r="O292" s="5"/>
      <c r="P292" s="5" t="s">
        <v>230</v>
      </c>
      <c r="Q292" s="5" t="s">
        <v>45</v>
      </c>
      <c r="R292" s="12" t="n">
        <f aca="false">INDEX(Hypothèses!$B$14:$B$17,MATCH(Q292,Hypothèses!$A$14:$A$17,0))</f>
        <v>1</v>
      </c>
      <c r="S292" s="15" t="str">
        <f aca="false">IF(G292="","",G292*R292)</f>
        <v/>
      </c>
      <c r="T292" s="15" t="n">
        <f aca="false">IF(H292="","",H292*R292)</f>
        <v>923.201016666667</v>
      </c>
      <c r="U292" s="15" t="str">
        <f aca="false">IF(I292="","",I292*R292)</f>
        <v/>
      </c>
      <c r="V292" s="5" t="s">
        <v>195</v>
      </c>
      <c r="W292" s="5" t="s">
        <v>70</v>
      </c>
      <c r="X292" s="5" t="s">
        <v>198</v>
      </c>
    </row>
    <row r="293" customFormat="false" ht="15" hidden="false" customHeight="false" outlineLevel="0" collapsed="false">
      <c r="A293" s="5" t="s">
        <v>512</v>
      </c>
      <c r="B293" s="5" t="s">
        <v>64</v>
      </c>
      <c r="C293" s="5" t="s">
        <v>122</v>
      </c>
      <c r="D293" s="5" t="s">
        <v>413</v>
      </c>
      <c r="E293" s="5" t="s">
        <v>193</v>
      </c>
      <c r="F293" s="5" t="s">
        <v>206</v>
      </c>
      <c r="G293" s="15"/>
      <c r="H293" s="15" t="n">
        <v>856.68499</v>
      </c>
      <c r="I293" s="15"/>
      <c r="J293" s="5" t="s">
        <v>195</v>
      </c>
      <c r="K293" s="5" t="n">
        <v>2020</v>
      </c>
      <c r="L293" s="5" t="str">
        <f aca="false">IF(AND(K293&gt;=Hypothèses!$B$9,K293&lt;=Hypothèses!$B$10),"actuel",IF(K293=2030,"2030",IF(K293=2050,"2050","autre")))</f>
        <v>actuel</v>
      </c>
      <c r="M293" s="5"/>
      <c r="N293" s="5" t="s">
        <v>196</v>
      </c>
      <c r="O293" s="5"/>
      <c r="P293" s="5" t="s">
        <v>230</v>
      </c>
      <c r="Q293" s="5" t="s">
        <v>45</v>
      </c>
      <c r="R293" s="12" t="n">
        <f aca="false">INDEX(Hypothèses!$B$14:$B$17,MATCH(Q293,Hypothèses!$A$14:$A$17,0))</f>
        <v>1</v>
      </c>
      <c r="S293" s="15" t="str">
        <f aca="false">IF(G293="","",G293*R293)</f>
        <v/>
      </c>
      <c r="T293" s="15" t="n">
        <f aca="false">IF(H293="","",H293*R293)</f>
        <v>856.68499</v>
      </c>
      <c r="U293" s="15" t="str">
        <f aca="false">IF(I293="","",I293*R293)</f>
        <v/>
      </c>
      <c r="V293" s="5" t="s">
        <v>195</v>
      </c>
      <c r="W293" s="5" t="s">
        <v>70</v>
      </c>
      <c r="X293" s="5" t="s">
        <v>198</v>
      </c>
    </row>
    <row r="294" customFormat="false" ht="15" hidden="false" customHeight="false" outlineLevel="0" collapsed="false">
      <c r="A294" s="5" t="s">
        <v>513</v>
      </c>
      <c r="B294" s="5" t="s">
        <v>64</v>
      </c>
      <c r="C294" s="5" t="s">
        <v>122</v>
      </c>
      <c r="D294" s="5" t="s">
        <v>413</v>
      </c>
      <c r="E294" s="5" t="s">
        <v>193</v>
      </c>
      <c r="F294" s="5" t="s">
        <v>206</v>
      </c>
      <c r="G294" s="15"/>
      <c r="H294" s="15" t="n">
        <v>774.11298</v>
      </c>
      <c r="I294" s="15"/>
      <c r="J294" s="5" t="s">
        <v>195</v>
      </c>
      <c r="K294" s="5" t="n">
        <v>2021</v>
      </c>
      <c r="L294" s="5" t="str">
        <f aca="false">IF(AND(K294&gt;=Hypothèses!$B$9,K294&lt;=Hypothèses!$B$10),"actuel",IF(K294=2030,"2030",IF(K294=2050,"2050","autre")))</f>
        <v>actuel</v>
      </c>
      <c r="M294" s="5"/>
      <c r="N294" s="5" t="s">
        <v>196</v>
      </c>
      <c r="O294" s="5"/>
      <c r="P294" s="5" t="s">
        <v>230</v>
      </c>
      <c r="Q294" s="5" t="s">
        <v>45</v>
      </c>
      <c r="R294" s="12" t="n">
        <f aca="false">INDEX(Hypothèses!$B$14:$B$17,MATCH(Q294,Hypothèses!$A$14:$A$17,0))</f>
        <v>1</v>
      </c>
      <c r="S294" s="15" t="str">
        <f aca="false">IF(G294="","",G294*R294)</f>
        <v/>
      </c>
      <c r="T294" s="15" t="n">
        <f aca="false">IF(H294="","",H294*R294)</f>
        <v>774.11298</v>
      </c>
      <c r="U294" s="15" t="str">
        <f aca="false">IF(I294="","",I294*R294)</f>
        <v/>
      </c>
      <c r="V294" s="5" t="s">
        <v>195</v>
      </c>
      <c r="W294" s="5" t="s">
        <v>70</v>
      </c>
      <c r="X294" s="5" t="s">
        <v>198</v>
      </c>
    </row>
    <row r="295" customFormat="false" ht="15" hidden="false" customHeight="false" outlineLevel="0" collapsed="false">
      <c r="A295" s="5" t="s">
        <v>514</v>
      </c>
      <c r="B295" s="5" t="s">
        <v>64</v>
      </c>
      <c r="C295" s="5" t="s">
        <v>122</v>
      </c>
      <c r="D295" s="5" t="s">
        <v>413</v>
      </c>
      <c r="E295" s="5" t="s">
        <v>193</v>
      </c>
      <c r="F295" s="5" t="s">
        <v>206</v>
      </c>
      <c r="G295" s="15"/>
      <c r="H295" s="15" t="n">
        <v>739.70789</v>
      </c>
      <c r="I295" s="15"/>
      <c r="J295" s="5" t="s">
        <v>195</v>
      </c>
      <c r="K295" s="5" t="n">
        <v>2022</v>
      </c>
      <c r="L295" s="5" t="str">
        <f aca="false">IF(AND(K295&gt;=Hypothèses!$B$9,K295&lt;=Hypothèses!$B$10),"actuel",IF(K295=2030,"2030",IF(K295=2050,"2050","autre")))</f>
        <v>actuel</v>
      </c>
      <c r="M295" s="5"/>
      <c r="N295" s="5" t="s">
        <v>196</v>
      </c>
      <c r="O295" s="5"/>
      <c r="P295" s="5" t="s">
        <v>230</v>
      </c>
      <c r="Q295" s="5" t="s">
        <v>45</v>
      </c>
      <c r="R295" s="12" t="n">
        <f aca="false">INDEX(Hypothèses!$B$14:$B$17,MATCH(Q295,Hypothèses!$A$14:$A$17,0))</f>
        <v>1</v>
      </c>
      <c r="S295" s="15" t="str">
        <f aca="false">IF(G295="","",G295*R295)</f>
        <v/>
      </c>
      <c r="T295" s="15" t="n">
        <f aca="false">IF(H295="","",H295*R295)</f>
        <v>739.70789</v>
      </c>
      <c r="U295" s="15" t="str">
        <f aca="false">IF(I295="","",I295*R295)</f>
        <v/>
      </c>
      <c r="V295" s="5" t="s">
        <v>195</v>
      </c>
      <c r="W295" s="5" t="s">
        <v>70</v>
      </c>
      <c r="X295" s="5" t="s">
        <v>198</v>
      </c>
    </row>
    <row r="296" customFormat="false" ht="15" hidden="false" customHeight="false" outlineLevel="0" collapsed="false">
      <c r="A296" s="5" t="s">
        <v>515</v>
      </c>
      <c r="B296" s="5" t="s">
        <v>64</v>
      </c>
      <c r="C296" s="5" t="s">
        <v>122</v>
      </c>
      <c r="D296" s="5" t="s">
        <v>413</v>
      </c>
      <c r="E296" s="5" t="s">
        <v>193</v>
      </c>
      <c r="F296" s="5" t="s">
        <v>206</v>
      </c>
      <c r="G296" s="15"/>
      <c r="H296" s="15" t="n">
        <v>688.09974</v>
      </c>
      <c r="I296" s="15"/>
      <c r="J296" s="5" t="s">
        <v>195</v>
      </c>
      <c r="K296" s="5" t="n">
        <v>2023</v>
      </c>
      <c r="L296" s="5" t="str">
        <f aca="false">IF(AND(K296&gt;=Hypothèses!$B$9,K296&lt;=Hypothèses!$B$10),"actuel",IF(K296=2030,"2030",IF(K296=2050,"2050","autre")))</f>
        <v>actuel</v>
      </c>
      <c r="M296" s="5"/>
      <c r="N296" s="5" t="s">
        <v>196</v>
      </c>
      <c r="O296" s="5"/>
      <c r="P296" s="5" t="s">
        <v>230</v>
      </c>
      <c r="Q296" s="5" t="s">
        <v>45</v>
      </c>
      <c r="R296" s="12" t="n">
        <f aca="false">INDEX(Hypothèses!$B$14:$B$17,MATCH(Q296,Hypothèses!$A$14:$A$17,0))</f>
        <v>1</v>
      </c>
      <c r="S296" s="15" t="str">
        <f aca="false">IF(G296="","",G296*R296)</f>
        <v/>
      </c>
      <c r="T296" s="15" t="n">
        <f aca="false">IF(H296="","",H296*R296)</f>
        <v>688.09974</v>
      </c>
      <c r="U296" s="15" t="str">
        <f aca="false">IF(I296="","",I296*R296)</f>
        <v/>
      </c>
      <c r="V296" s="5" t="s">
        <v>195</v>
      </c>
      <c r="W296" s="5" t="s">
        <v>70</v>
      </c>
      <c r="X296" s="5" t="s">
        <v>198</v>
      </c>
    </row>
    <row r="297" customFormat="false" ht="15" hidden="false" customHeight="false" outlineLevel="0" collapsed="false">
      <c r="A297" s="5" t="s">
        <v>516</v>
      </c>
      <c r="B297" s="5" t="s">
        <v>64</v>
      </c>
      <c r="C297" s="5" t="s">
        <v>122</v>
      </c>
      <c r="D297" s="5" t="s">
        <v>413</v>
      </c>
      <c r="E297" s="5" t="s">
        <v>193</v>
      </c>
      <c r="F297" s="5" t="s">
        <v>206</v>
      </c>
      <c r="G297" s="15"/>
      <c r="H297" s="15" t="n">
        <v>602.08753</v>
      </c>
      <c r="I297" s="15"/>
      <c r="J297" s="5" t="s">
        <v>195</v>
      </c>
      <c r="K297" s="5" t="n">
        <v>2024</v>
      </c>
      <c r="L297" s="5" t="str">
        <f aca="false">IF(AND(K297&gt;=Hypothèses!$B$9,K297&lt;=Hypothèses!$B$10),"actuel",IF(K297=2030,"2030",IF(K297=2050,"2050","autre")))</f>
        <v>actuel</v>
      </c>
      <c r="M297" s="5"/>
      <c r="N297" s="5" t="s">
        <v>196</v>
      </c>
      <c r="O297" s="5"/>
      <c r="P297" s="5" t="s">
        <v>230</v>
      </c>
      <c r="Q297" s="5" t="s">
        <v>45</v>
      </c>
      <c r="R297" s="12" t="n">
        <f aca="false">INDEX(Hypothèses!$B$14:$B$17,MATCH(Q297,Hypothèses!$A$14:$A$17,0))</f>
        <v>1</v>
      </c>
      <c r="S297" s="15" t="str">
        <f aca="false">IF(G297="","",G297*R297)</f>
        <v/>
      </c>
      <c r="T297" s="15" t="n">
        <f aca="false">IF(H297="","",H297*R297)</f>
        <v>602.08753</v>
      </c>
      <c r="U297" s="15" t="str">
        <f aca="false">IF(I297="","",I297*R297)</f>
        <v/>
      </c>
      <c r="V297" s="5" t="s">
        <v>195</v>
      </c>
      <c r="W297" s="5" t="s">
        <v>70</v>
      </c>
      <c r="X297" s="5" t="s">
        <v>198</v>
      </c>
    </row>
    <row r="298" customFormat="false" ht="15" hidden="false" customHeight="false" outlineLevel="0" collapsed="false">
      <c r="A298" s="5" t="s">
        <v>517</v>
      </c>
      <c r="B298" s="5" t="s">
        <v>64</v>
      </c>
      <c r="C298" s="5" t="s">
        <v>122</v>
      </c>
      <c r="D298" s="5" t="s">
        <v>413</v>
      </c>
      <c r="E298" s="5" t="s">
        <v>193</v>
      </c>
      <c r="F298" s="5" t="s">
        <v>206</v>
      </c>
      <c r="G298" s="15"/>
      <c r="H298" s="15" t="n">
        <v>657.135674</v>
      </c>
      <c r="I298" s="15"/>
      <c r="J298" s="5" t="s">
        <v>195</v>
      </c>
      <c r="K298" s="5" t="n">
        <v>2025</v>
      </c>
      <c r="L298" s="5" t="str">
        <f aca="false">IF(AND(K298&gt;=Hypothèses!$B$9,K298&lt;=Hypothèses!$B$10),"actuel",IF(K298=2030,"2030",IF(K298=2050,"2050","autre")))</f>
        <v>actuel</v>
      </c>
      <c r="M298" s="5"/>
      <c r="N298" s="5" t="s">
        <v>196</v>
      </c>
      <c r="O298" s="5"/>
      <c r="P298" s="5" t="s">
        <v>230</v>
      </c>
      <c r="Q298" s="5" t="s">
        <v>45</v>
      </c>
      <c r="R298" s="12" t="n">
        <f aca="false">INDEX(Hypothèses!$B$14:$B$17,MATCH(Q298,Hypothèses!$A$14:$A$17,0))</f>
        <v>1</v>
      </c>
      <c r="S298" s="15" t="str">
        <f aca="false">IF(G298="","",G298*R298)</f>
        <v/>
      </c>
      <c r="T298" s="15" t="n">
        <f aca="false">IF(H298="","",H298*R298)</f>
        <v>657.135674</v>
      </c>
      <c r="U298" s="15" t="str">
        <f aca="false">IF(I298="","",I298*R298)</f>
        <v/>
      </c>
      <c r="V298" s="5" t="s">
        <v>195</v>
      </c>
      <c r="W298" s="5" t="s">
        <v>70</v>
      </c>
      <c r="X298" s="5" t="s">
        <v>198</v>
      </c>
    </row>
    <row r="299" customFormat="false" ht="15" hidden="false" customHeight="false" outlineLevel="0" collapsed="false">
      <c r="A299" s="5" t="s">
        <v>518</v>
      </c>
      <c r="B299" s="5" t="s">
        <v>64</v>
      </c>
      <c r="C299" s="5" t="s">
        <v>122</v>
      </c>
      <c r="D299" s="5" t="s">
        <v>413</v>
      </c>
      <c r="E299" s="5" t="s">
        <v>193</v>
      </c>
      <c r="F299" s="5" t="s">
        <v>206</v>
      </c>
      <c r="G299" s="15"/>
      <c r="H299" s="15" t="n">
        <v>705.3028</v>
      </c>
      <c r="I299" s="15"/>
      <c r="J299" s="5" t="s">
        <v>195</v>
      </c>
      <c r="K299" s="5" t="n">
        <v>2030</v>
      </c>
      <c r="L299" s="5" t="str">
        <f aca="false">IF(AND(K299&gt;=Hypothèses!$B$9,K299&lt;=Hypothèses!$B$10),"actuel",IF(K299=2030,"2030",IF(K299=2050,"2050","autre")))</f>
        <v>2030</v>
      </c>
      <c r="M299" s="5"/>
      <c r="N299" s="5" t="s">
        <v>196</v>
      </c>
      <c r="O299" s="5"/>
      <c r="P299" s="5" t="s">
        <v>230</v>
      </c>
      <c r="Q299" s="5" t="s">
        <v>45</v>
      </c>
      <c r="R299" s="12" t="n">
        <f aca="false">INDEX(Hypothèses!$B$14:$B$17,MATCH(Q299,Hypothèses!$A$14:$A$17,0))</f>
        <v>1</v>
      </c>
      <c r="S299" s="15" t="str">
        <f aca="false">IF(G299="","",G299*R299)</f>
        <v/>
      </c>
      <c r="T299" s="15" t="n">
        <f aca="false">IF(H299="","",H299*R299)</f>
        <v>705.3028</v>
      </c>
      <c r="U299" s="15" t="str">
        <f aca="false">IF(I299="","",I299*R299)</f>
        <v/>
      </c>
      <c r="V299" s="5" t="s">
        <v>195</v>
      </c>
      <c r="W299" s="5" t="s">
        <v>70</v>
      </c>
      <c r="X299" s="5" t="s">
        <v>198</v>
      </c>
    </row>
    <row r="300" customFormat="false" ht="15" hidden="false" customHeight="false" outlineLevel="0" collapsed="false">
      <c r="A300" s="5" t="s">
        <v>519</v>
      </c>
      <c r="B300" s="5" t="s">
        <v>64</v>
      </c>
      <c r="C300" s="5" t="s">
        <v>124</v>
      </c>
      <c r="D300" s="5" t="s">
        <v>413</v>
      </c>
      <c r="E300" s="5" t="s">
        <v>193</v>
      </c>
      <c r="F300" s="5" t="s">
        <v>206</v>
      </c>
      <c r="G300" s="15"/>
      <c r="H300" s="15" t="n">
        <v>1801.47</v>
      </c>
      <c r="I300" s="15"/>
      <c r="J300" s="5" t="s">
        <v>195</v>
      </c>
      <c r="K300" s="5" t="n">
        <v>2015</v>
      </c>
      <c r="L300" s="5" t="str">
        <f aca="false">IF(AND(K300&gt;=Hypothèses!$B$9,K300&lt;=Hypothèses!$B$10),"actuel",IF(K300=2030,"2030",IF(K300=2050,"2050","autre")))</f>
        <v>autre</v>
      </c>
      <c r="M300" s="5"/>
      <c r="N300" s="5" t="s">
        <v>196</v>
      </c>
      <c r="O300" s="5"/>
      <c r="P300" s="5" t="s">
        <v>207</v>
      </c>
      <c r="Q300" s="5" t="s">
        <v>45</v>
      </c>
      <c r="R300" s="12" t="n">
        <f aca="false">INDEX(Hypothèses!$B$14:$B$17,MATCH(Q300,Hypothèses!$A$14:$A$17,0))</f>
        <v>1</v>
      </c>
      <c r="S300" s="15" t="str">
        <f aca="false">IF(G300="","",G300*R300)</f>
        <v/>
      </c>
      <c r="T300" s="15" t="n">
        <f aca="false">IF(H300="","",H300*R300)</f>
        <v>1801.47</v>
      </c>
      <c r="U300" s="15" t="str">
        <f aca="false">IF(I300="","",I300*R300)</f>
        <v/>
      </c>
      <c r="V300" s="5" t="s">
        <v>195</v>
      </c>
      <c r="W300" s="5" t="s">
        <v>70</v>
      </c>
      <c r="X300" s="5" t="s">
        <v>198</v>
      </c>
    </row>
    <row r="301" customFormat="false" ht="15" hidden="false" customHeight="false" outlineLevel="0" collapsed="false">
      <c r="A301" s="5" t="s">
        <v>520</v>
      </c>
      <c r="B301" s="5" t="s">
        <v>64</v>
      </c>
      <c r="C301" s="5" t="s">
        <v>124</v>
      </c>
      <c r="D301" s="5" t="s">
        <v>413</v>
      </c>
      <c r="E301" s="5" t="s">
        <v>193</v>
      </c>
      <c r="F301" s="5" t="s">
        <v>206</v>
      </c>
      <c r="G301" s="15"/>
      <c r="H301" s="15" t="n">
        <v>772.5</v>
      </c>
      <c r="I301" s="15"/>
      <c r="J301" s="5" t="s">
        <v>195</v>
      </c>
      <c r="K301" s="5" t="n">
        <v>2030</v>
      </c>
      <c r="L301" s="5" t="str">
        <f aca="false">IF(AND(K301&gt;=Hypothèses!$B$9,K301&lt;=Hypothèses!$B$10),"actuel",IF(K301=2030,"2030",IF(K301=2050,"2050","autre")))</f>
        <v>2030</v>
      </c>
      <c r="M301" s="5"/>
      <c r="N301" s="5" t="s">
        <v>196</v>
      </c>
      <c r="O301" s="5"/>
      <c r="P301" s="5" t="s">
        <v>207</v>
      </c>
      <c r="Q301" s="5" t="s">
        <v>45</v>
      </c>
      <c r="R301" s="12" t="n">
        <f aca="false">INDEX(Hypothèses!$B$14:$B$17,MATCH(Q301,Hypothèses!$A$14:$A$17,0))</f>
        <v>1</v>
      </c>
      <c r="S301" s="15" t="str">
        <f aca="false">IF(G301="","",G301*R301)</f>
        <v/>
      </c>
      <c r="T301" s="15" t="n">
        <f aca="false">IF(H301="","",H301*R301)</f>
        <v>772.5</v>
      </c>
      <c r="U301" s="15" t="str">
        <f aca="false">IF(I301="","",I301*R301)</f>
        <v/>
      </c>
      <c r="V301" s="5" t="s">
        <v>195</v>
      </c>
      <c r="W301" s="5" t="s">
        <v>70</v>
      </c>
      <c r="X301" s="5" t="s">
        <v>198</v>
      </c>
    </row>
    <row r="302" customFormat="false" ht="15" hidden="false" customHeight="false" outlineLevel="0" collapsed="false">
      <c r="A302" s="5" t="s">
        <v>521</v>
      </c>
      <c r="B302" s="5" t="s">
        <v>64</v>
      </c>
      <c r="C302" s="5" t="s">
        <v>124</v>
      </c>
      <c r="D302" s="5" t="s">
        <v>413</v>
      </c>
      <c r="E302" s="5" t="s">
        <v>193</v>
      </c>
      <c r="F302" s="5" t="s">
        <v>206</v>
      </c>
      <c r="G302" s="15"/>
      <c r="H302" s="15" t="n">
        <v>472.77</v>
      </c>
      <c r="I302" s="15"/>
      <c r="J302" s="5" t="s">
        <v>195</v>
      </c>
      <c r="K302" s="5" t="n">
        <v>2040</v>
      </c>
      <c r="L302" s="5" t="str">
        <f aca="false">IF(AND(K302&gt;=Hypothèses!$B$9,K302&lt;=Hypothèses!$B$10),"actuel",IF(K302=2030,"2030",IF(K302=2050,"2050","autre")))</f>
        <v>autre</v>
      </c>
      <c r="M302" s="5"/>
      <c r="N302" s="5" t="s">
        <v>196</v>
      </c>
      <c r="O302" s="5"/>
      <c r="P302" s="5" t="s">
        <v>207</v>
      </c>
      <c r="Q302" s="5" t="s">
        <v>45</v>
      </c>
      <c r="R302" s="12" t="n">
        <f aca="false">INDEX(Hypothèses!$B$14:$B$17,MATCH(Q302,Hypothèses!$A$14:$A$17,0))</f>
        <v>1</v>
      </c>
      <c r="S302" s="15" t="str">
        <f aca="false">IF(G302="","",G302*R302)</f>
        <v/>
      </c>
      <c r="T302" s="15" t="n">
        <f aca="false">IF(H302="","",H302*R302)</f>
        <v>472.77</v>
      </c>
      <c r="U302" s="15" t="str">
        <f aca="false">IF(I302="","",I302*R302)</f>
        <v/>
      </c>
      <c r="V302" s="5" t="s">
        <v>195</v>
      </c>
      <c r="W302" s="5" t="s">
        <v>70</v>
      </c>
      <c r="X302" s="5" t="s">
        <v>198</v>
      </c>
    </row>
    <row r="303" customFormat="false" ht="15" hidden="false" customHeight="false" outlineLevel="0" collapsed="false">
      <c r="A303" s="5" t="s">
        <v>522</v>
      </c>
      <c r="B303" s="5" t="s">
        <v>64</v>
      </c>
      <c r="C303" s="5" t="s">
        <v>130</v>
      </c>
      <c r="D303" s="5" t="s">
        <v>413</v>
      </c>
      <c r="E303" s="5" t="s">
        <v>193</v>
      </c>
      <c r="F303" s="5" t="s">
        <v>206</v>
      </c>
      <c r="G303" s="15" t="n">
        <v>979.00985</v>
      </c>
      <c r="H303" s="15" t="n">
        <v>1193.1726</v>
      </c>
      <c r="I303" s="15" t="n">
        <v>1947.8227</v>
      </c>
      <c r="J303" s="5" t="s">
        <v>195</v>
      </c>
      <c r="K303" s="5" t="n">
        <v>2020</v>
      </c>
      <c r="L303" s="5" t="str">
        <f aca="false">IF(AND(K303&gt;=Hypothèses!$B$9,K303&lt;=Hypothèses!$B$10),"actuel",IF(K303=2030,"2030",IF(K303=2050,"2050","autre")))</f>
        <v>actuel</v>
      </c>
      <c r="M303" s="5"/>
      <c r="N303" s="5" t="s">
        <v>196</v>
      </c>
      <c r="O303" s="5"/>
      <c r="P303" s="5" t="s">
        <v>308</v>
      </c>
      <c r="Q303" s="5" t="s">
        <v>45</v>
      </c>
      <c r="R303" s="12" t="n">
        <f aca="false">INDEX(Hypothèses!$B$14:$B$17,MATCH(Q303,Hypothèses!$A$14:$A$17,0))</f>
        <v>1</v>
      </c>
      <c r="S303" s="15" t="n">
        <f aca="false">IF(G303="","",G303*R303)</f>
        <v>979.00985</v>
      </c>
      <c r="T303" s="15" t="n">
        <f aca="false">IF(H303="","",H303*R303)</f>
        <v>1193.1726</v>
      </c>
      <c r="U303" s="15" t="n">
        <f aca="false">IF(I303="","",I303*R303)</f>
        <v>1947.8227</v>
      </c>
      <c r="V303" s="5" t="s">
        <v>195</v>
      </c>
      <c r="W303" s="5" t="s">
        <v>70</v>
      </c>
      <c r="X303" s="5" t="s">
        <v>198</v>
      </c>
    </row>
    <row r="304" customFormat="false" ht="15" hidden="false" customHeight="false" outlineLevel="0" collapsed="false">
      <c r="A304" s="5" t="s">
        <v>523</v>
      </c>
      <c r="B304" s="5" t="s">
        <v>64</v>
      </c>
      <c r="C304" s="5" t="s">
        <v>130</v>
      </c>
      <c r="D304" s="5" t="s">
        <v>413</v>
      </c>
      <c r="E304" s="5" t="s">
        <v>193</v>
      </c>
      <c r="F304" s="5" t="s">
        <v>206</v>
      </c>
      <c r="G304" s="15" t="n">
        <v>616.9803</v>
      </c>
      <c r="H304" s="15" t="n">
        <v>749.55469</v>
      </c>
      <c r="I304" s="15" t="n">
        <v>1509.3105</v>
      </c>
      <c r="J304" s="5" t="s">
        <v>195</v>
      </c>
      <c r="K304" s="5" t="n">
        <v>2025</v>
      </c>
      <c r="L304" s="5" t="str">
        <f aca="false">IF(AND(K304&gt;=Hypothèses!$B$9,K304&lt;=Hypothèses!$B$10),"actuel",IF(K304=2030,"2030",IF(K304=2050,"2050","autre")))</f>
        <v>actuel</v>
      </c>
      <c r="M304" s="5"/>
      <c r="N304" s="5" t="s">
        <v>196</v>
      </c>
      <c r="O304" s="5"/>
      <c r="P304" s="5" t="s">
        <v>308</v>
      </c>
      <c r="Q304" s="5" t="s">
        <v>45</v>
      </c>
      <c r="R304" s="12" t="n">
        <f aca="false">INDEX(Hypothèses!$B$14:$B$17,MATCH(Q304,Hypothèses!$A$14:$A$17,0))</f>
        <v>1</v>
      </c>
      <c r="S304" s="15" t="n">
        <f aca="false">IF(G304="","",G304*R304)</f>
        <v>616.9803</v>
      </c>
      <c r="T304" s="15" t="n">
        <f aca="false">IF(H304="","",H304*R304)</f>
        <v>749.55469</v>
      </c>
      <c r="U304" s="15" t="n">
        <f aca="false">IF(I304="","",I304*R304)</f>
        <v>1509.3105</v>
      </c>
      <c r="V304" s="5" t="s">
        <v>195</v>
      </c>
      <c r="W304" s="5" t="s">
        <v>70</v>
      </c>
      <c r="X304" s="5" t="s">
        <v>198</v>
      </c>
    </row>
    <row r="305" customFormat="false" ht="15" hidden="false" customHeight="false" outlineLevel="0" collapsed="false">
      <c r="A305" s="5" t="s">
        <v>524</v>
      </c>
      <c r="B305" s="5" t="s">
        <v>64</v>
      </c>
      <c r="C305" s="5" t="s">
        <v>130</v>
      </c>
      <c r="D305" s="5" t="s">
        <v>413</v>
      </c>
      <c r="E305" s="5" t="s">
        <v>193</v>
      </c>
      <c r="F305" s="5" t="s">
        <v>206</v>
      </c>
      <c r="G305" s="15" t="n">
        <v>458.91135</v>
      </c>
      <c r="H305" s="15" t="n">
        <v>581.28668</v>
      </c>
      <c r="I305" s="15" t="n">
        <v>1249.2561</v>
      </c>
      <c r="J305" s="5" t="s">
        <v>195</v>
      </c>
      <c r="K305" s="5" t="n">
        <v>2030</v>
      </c>
      <c r="L305" s="5" t="str">
        <f aca="false">IF(AND(K305&gt;=Hypothèses!$B$9,K305&lt;=Hypothèses!$B$10),"actuel",IF(K305=2030,"2030",IF(K305=2050,"2050","autre")))</f>
        <v>2030</v>
      </c>
      <c r="M305" s="5"/>
      <c r="N305" s="5" t="s">
        <v>196</v>
      </c>
      <c r="O305" s="5"/>
      <c r="P305" s="5" t="s">
        <v>308</v>
      </c>
      <c r="Q305" s="5" t="s">
        <v>45</v>
      </c>
      <c r="R305" s="12" t="n">
        <f aca="false">INDEX(Hypothèses!$B$14:$B$17,MATCH(Q305,Hypothèses!$A$14:$A$17,0))</f>
        <v>1</v>
      </c>
      <c r="S305" s="15" t="n">
        <f aca="false">IF(G305="","",G305*R305)</f>
        <v>458.91135</v>
      </c>
      <c r="T305" s="15" t="n">
        <f aca="false">IF(H305="","",H305*R305)</f>
        <v>581.28668</v>
      </c>
      <c r="U305" s="15" t="n">
        <f aca="false">IF(I305="","",I305*R305)</f>
        <v>1249.2561</v>
      </c>
      <c r="V305" s="5" t="s">
        <v>195</v>
      </c>
      <c r="W305" s="5" t="s">
        <v>70</v>
      </c>
      <c r="X305" s="5" t="s">
        <v>198</v>
      </c>
    </row>
    <row r="306" customFormat="false" ht="15" hidden="false" customHeight="false" outlineLevel="0" collapsed="false">
      <c r="A306" s="5" t="s">
        <v>525</v>
      </c>
      <c r="B306" s="5" t="s">
        <v>64</v>
      </c>
      <c r="C306" s="5" t="s">
        <v>130</v>
      </c>
      <c r="D306" s="5" t="s">
        <v>413</v>
      </c>
      <c r="E306" s="5" t="s">
        <v>193</v>
      </c>
      <c r="F306" s="5" t="s">
        <v>206</v>
      </c>
      <c r="G306" s="15" t="n">
        <v>407.9212</v>
      </c>
      <c r="H306" s="15" t="n">
        <v>535.39606</v>
      </c>
      <c r="I306" s="15" t="n">
        <v>1121.7833</v>
      </c>
      <c r="J306" s="5" t="s">
        <v>195</v>
      </c>
      <c r="K306" s="5" t="n">
        <v>2035</v>
      </c>
      <c r="L306" s="5" t="str">
        <f aca="false">IF(AND(K306&gt;=Hypothèses!$B$9,K306&lt;=Hypothèses!$B$10),"actuel",IF(K306=2030,"2030",IF(K306=2050,"2050","autre")))</f>
        <v>autre</v>
      </c>
      <c r="M306" s="5"/>
      <c r="N306" s="5" t="s">
        <v>196</v>
      </c>
      <c r="O306" s="5"/>
      <c r="P306" s="5" t="s">
        <v>308</v>
      </c>
      <c r="Q306" s="5" t="s">
        <v>45</v>
      </c>
      <c r="R306" s="12" t="n">
        <f aca="false">INDEX(Hypothèses!$B$14:$B$17,MATCH(Q306,Hypothèses!$A$14:$A$17,0))</f>
        <v>1</v>
      </c>
      <c r="S306" s="15" t="n">
        <f aca="false">IF(G306="","",G306*R306)</f>
        <v>407.9212</v>
      </c>
      <c r="T306" s="15" t="n">
        <f aca="false">IF(H306="","",H306*R306)</f>
        <v>535.39606</v>
      </c>
      <c r="U306" s="15" t="n">
        <f aca="false">IF(I306="","",I306*R306)</f>
        <v>1121.7833</v>
      </c>
      <c r="V306" s="5" t="s">
        <v>195</v>
      </c>
      <c r="W306" s="5" t="s">
        <v>70</v>
      </c>
      <c r="X306" s="5" t="s">
        <v>198</v>
      </c>
    </row>
    <row r="307" customFormat="false" ht="15" hidden="false" customHeight="false" outlineLevel="0" collapsed="false">
      <c r="A307" s="5" t="s">
        <v>526</v>
      </c>
      <c r="B307" s="5" t="s">
        <v>64</v>
      </c>
      <c r="C307" s="5" t="s">
        <v>130</v>
      </c>
      <c r="D307" s="5" t="s">
        <v>413</v>
      </c>
      <c r="E307" s="5" t="s">
        <v>193</v>
      </c>
      <c r="F307" s="5" t="s">
        <v>206</v>
      </c>
      <c r="G307" s="15" t="n">
        <v>372.22758</v>
      </c>
      <c r="H307" s="15" t="n">
        <v>489.50544</v>
      </c>
      <c r="I307" s="15" t="n">
        <v>1004.50544</v>
      </c>
      <c r="J307" s="5" t="s">
        <v>195</v>
      </c>
      <c r="K307" s="5" t="n">
        <v>2040</v>
      </c>
      <c r="L307" s="5" t="str">
        <f aca="false">IF(AND(K307&gt;=Hypothèses!$B$9,K307&lt;=Hypothèses!$B$10),"actuel",IF(K307=2030,"2030",IF(K307=2050,"2050","autre")))</f>
        <v>autre</v>
      </c>
      <c r="M307" s="5"/>
      <c r="N307" s="5" t="s">
        <v>196</v>
      </c>
      <c r="O307" s="5"/>
      <c r="P307" s="5" t="s">
        <v>308</v>
      </c>
      <c r="Q307" s="5" t="s">
        <v>45</v>
      </c>
      <c r="R307" s="12" t="n">
        <f aca="false">INDEX(Hypothèses!$B$14:$B$17,MATCH(Q307,Hypothèses!$A$14:$A$17,0))</f>
        <v>1</v>
      </c>
      <c r="S307" s="15" t="n">
        <f aca="false">IF(G307="","",G307*R307)</f>
        <v>372.22758</v>
      </c>
      <c r="T307" s="15" t="n">
        <f aca="false">IF(H307="","",H307*R307)</f>
        <v>489.50544</v>
      </c>
      <c r="U307" s="15" t="n">
        <f aca="false">IF(I307="","",I307*R307)</f>
        <v>1004.50544</v>
      </c>
      <c r="V307" s="5" t="s">
        <v>195</v>
      </c>
      <c r="W307" s="5" t="s">
        <v>70</v>
      </c>
      <c r="X307" s="5" t="s">
        <v>198</v>
      </c>
    </row>
    <row r="308" customFormat="false" ht="15" hidden="false" customHeight="false" outlineLevel="0" collapsed="false">
      <c r="A308" s="5" t="s">
        <v>527</v>
      </c>
      <c r="B308" s="5" t="s">
        <v>64</v>
      </c>
      <c r="C308" s="5" t="s">
        <v>130</v>
      </c>
      <c r="D308" s="5" t="s">
        <v>413</v>
      </c>
      <c r="E308" s="5" t="s">
        <v>193</v>
      </c>
      <c r="F308" s="5" t="s">
        <v>206</v>
      </c>
      <c r="G308" s="15" t="n">
        <v>356.93105</v>
      </c>
      <c r="H308" s="15" t="n">
        <v>474.20788</v>
      </c>
      <c r="I308" s="15" t="n">
        <v>958.61379</v>
      </c>
      <c r="J308" s="5" t="s">
        <v>195</v>
      </c>
      <c r="K308" s="5" t="n">
        <v>2045</v>
      </c>
      <c r="L308" s="5" t="str">
        <f aca="false">IF(AND(K308&gt;=Hypothèses!$B$9,K308&lt;=Hypothèses!$B$10),"actuel",IF(K308=2030,"2030",IF(K308=2050,"2050","autre")))</f>
        <v>autre</v>
      </c>
      <c r="M308" s="5"/>
      <c r="N308" s="5" t="s">
        <v>196</v>
      </c>
      <c r="O308" s="5"/>
      <c r="P308" s="5" t="s">
        <v>308</v>
      </c>
      <c r="Q308" s="5" t="s">
        <v>45</v>
      </c>
      <c r="R308" s="12" t="n">
        <f aca="false">INDEX(Hypothèses!$B$14:$B$17,MATCH(Q308,Hypothèses!$A$14:$A$17,0))</f>
        <v>1</v>
      </c>
      <c r="S308" s="15" t="n">
        <f aca="false">IF(G308="","",G308*R308)</f>
        <v>356.93105</v>
      </c>
      <c r="T308" s="15" t="n">
        <f aca="false">IF(H308="","",H308*R308)</f>
        <v>474.20788</v>
      </c>
      <c r="U308" s="15" t="n">
        <f aca="false">IF(I308="","",I308*R308)</f>
        <v>958.61379</v>
      </c>
      <c r="V308" s="5" t="s">
        <v>195</v>
      </c>
      <c r="W308" s="5" t="s">
        <v>70</v>
      </c>
      <c r="X308" s="5" t="s">
        <v>198</v>
      </c>
    </row>
    <row r="309" customFormat="false" ht="15" hidden="false" customHeight="false" outlineLevel="0" collapsed="false">
      <c r="A309" s="5" t="s">
        <v>528</v>
      </c>
      <c r="B309" s="5" t="s">
        <v>64</v>
      </c>
      <c r="C309" s="5" t="s">
        <v>130</v>
      </c>
      <c r="D309" s="5" t="s">
        <v>413</v>
      </c>
      <c r="E309" s="5" t="s">
        <v>193</v>
      </c>
      <c r="F309" s="5" t="s">
        <v>206</v>
      </c>
      <c r="G309" s="15" t="n">
        <v>341.63349</v>
      </c>
      <c r="H309" s="15" t="n">
        <v>469.10938</v>
      </c>
      <c r="I309" s="15" t="n">
        <v>922.9212</v>
      </c>
      <c r="J309" s="5" t="s">
        <v>195</v>
      </c>
      <c r="K309" s="5" t="n">
        <v>2050</v>
      </c>
      <c r="L309" s="5" t="str">
        <f aca="false">IF(AND(K309&gt;=Hypothèses!$B$9,K309&lt;=Hypothèses!$B$10),"actuel",IF(K309=2030,"2030",IF(K309=2050,"2050","autre")))</f>
        <v>2050</v>
      </c>
      <c r="M309" s="5"/>
      <c r="N309" s="5" t="s">
        <v>196</v>
      </c>
      <c r="O309" s="5"/>
      <c r="P309" s="5" t="s">
        <v>308</v>
      </c>
      <c r="Q309" s="5" t="s">
        <v>45</v>
      </c>
      <c r="R309" s="12" t="n">
        <f aca="false">INDEX(Hypothèses!$B$14:$B$17,MATCH(Q309,Hypothèses!$A$14:$A$17,0))</f>
        <v>1</v>
      </c>
      <c r="S309" s="15" t="n">
        <f aca="false">IF(G309="","",G309*R309)</f>
        <v>341.63349</v>
      </c>
      <c r="T309" s="15" t="n">
        <f aca="false">IF(H309="","",H309*R309)</f>
        <v>469.10938</v>
      </c>
      <c r="U309" s="15" t="n">
        <f aca="false">IF(I309="","",I309*R309)</f>
        <v>922.9212</v>
      </c>
      <c r="V309" s="5" t="s">
        <v>195</v>
      </c>
      <c r="W309" s="5" t="s">
        <v>70</v>
      </c>
      <c r="X309" s="5" t="s">
        <v>198</v>
      </c>
    </row>
    <row r="310" customFormat="false" ht="15" hidden="false" customHeight="false" outlineLevel="0" collapsed="false">
      <c r="A310" s="5" t="s">
        <v>529</v>
      </c>
      <c r="B310" s="5" t="s">
        <v>64</v>
      </c>
      <c r="C310" s="5" t="s">
        <v>134</v>
      </c>
      <c r="D310" s="5" t="s">
        <v>413</v>
      </c>
      <c r="E310" s="5" t="s">
        <v>193</v>
      </c>
      <c r="F310" s="5" t="s">
        <v>206</v>
      </c>
      <c r="G310" s="15" t="n">
        <v>1147.2758</v>
      </c>
      <c r="H310" s="15" t="n">
        <v>1491.4606</v>
      </c>
      <c r="I310" s="15" t="n">
        <v>1835.6454</v>
      </c>
      <c r="J310" s="5" t="s">
        <v>195</v>
      </c>
      <c r="K310" s="5" t="n">
        <v>2020</v>
      </c>
      <c r="L310" s="5" t="str">
        <f aca="false">IF(AND(K310&gt;=Hypothèses!$B$9,K310&lt;=Hypothèses!$B$10),"actuel",IF(K310=2030,"2030",IF(K310=2050,"2050","autre")))</f>
        <v>actuel</v>
      </c>
      <c r="M310" s="5"/>
      <c r="N310" s="5" t="s">
        <v>196</v>
      </c>
      <c r="O310" s="5"/>
      <c r="P310" s="5" t="s">
        <v>316</v>
      </c>
      <c r="Q310" s="5" t="s">
        <v>45</v>
      </c>
      <c r="R310" s="12" t="n">
        <f aca="false">INDEX(Hypothèses!$B$14:$B$17,MATCH(Q310,Hypothèses!$A$14:$A$17,0))</f>
        <v>1</v>
      </c>
      <c r="S310" s="15" t="n">
        <f aca="false">IF(G310="","",G310*R310)</f>
        <v>1147.2758</v>
      </c>
      <c r="T310" s="15" t="n">
        <f aca="false">IF(H310="","",H310*R310)</f>
        <v>1491.4606</v>
      </c>
      <c r="U310" s="15" t="n">
        <f aca="false">IF(I310="","",I310*R310)</f>
        <v>1835.6454</v>
      </c>
      <c r="V310" s="5" t="s">
        <v>195</v>
      </c>
      <c r="W310" s="5" t="s">
        <v>70</v>
      </c>
      <c r="X310" s="5" t="s">
        <v>198</v>
      </c>
    </row>
    <row r="311" customFormat="false" ht="15" hidden="false" customHeight="false" outlineLevel="0" collapsed="false">
      <c r="A311" s="5" t="s">
        <v>530</v>
      </c>
      <c r="B311" s="5" t="s">
        <v>64</v>
      </c>
      <c r="C311" s="5" t="s">
        <v>134</v>
      </c>
      <c r="D311" s="5" t="s">
        <v>413</v>
      </c>
      <c r="E311" s="5" t="s">
        <v>193</v>
      </c>
      <c r="F311" s="5" t="s">
        <v>206</v>
      </c>
      <c r="G311" s="15" t="n">
        <v>336.53499</v>
      </c>
      <c r="H311" s="15" t="n">
        <v>535.39606</v>
      </c>
      <c r="I311" s="15" t="n">
        <v>734.25713</v>
      </c>
      <c r="J311" s="5" t="s">
        <v>195</v>
      </c>
      <c r="K311" s="5" t="n">
        <v>2030</v>
      </c>
      <c r="L311" s="5" t="str">
        <f aca="false">IF(AND(K311&gt;=Hypothèses!$B$9,K311&lt;=Hypothèses!$B$10),"actuel",IF(K311=2030,"2030",IF(K311=2050,"2050","autre")))</f>
        <v>2030</v>
      </c>
      <c r="M311" s="5"/>
      <c r="N311" s="5" t="s">
        <v>196</v>
      </c>
      <c r="O311" s="5"/>
      <c r="P311" s="5" t="s">
        <v>316</v>
      </c>
      <c r="Q311" s="5" t="s">
        <v>45</v>
      </c>
      <c r="R311" s="12" t="n">
        <f aca="false">INDEX(Hypothèses!$B$14:$B$17,MATCH(Q311,Hypothèses!$A$14:$A$17,0))</f>
        <v>1</v>
      </c>
      <c r="S311" s="15" t="n">
        <f aca="false">IF(G311="","",G311*R311)</f>
        <v>336.53499</v>
      </c>
      <c r="T311" s="15" t="n">
        <f aca="false">IF(H311="","",H311*R311)</f>
        <v>535.39606</v>
      </c>
      <c r="U311" s="15" t="n">
        <f aca="false">IF(I311="","",I311*R311)</f>
        <v>734.25713</v>
      </c>
      <c r="V311" s="5" t="s">
        <v>195</v>
      </c>
      <c r="W311" s="5" t="s">
        <v>70</v>
      </c>
      <c r="X311" s="5" t="s">
        <v>198</v>
      </c>
    </row>
    <row r="312" customFormat="false" ht="15" hidden="false" customHeight="false" outlineLevel="0" collapsed="false">
      <c r="A312" s="5" t="s">
        <v>531</v>
      </c>
      <c r="B312" s="5" t="s">
        <v>64</v>
      </c>
      <c r="C312" s="5" t="s">
        <v>134</v>
      </c>
      <c r="D312" s="5" t="s">
        <v>413</v>
      </c>
      <c r="E312" s="5" t="s">
        <v>193</v>
      </c>
      <c r="F312" s="5" t="s">
        <v>206</v>
      </c>
      <c r="G312" s="15" t="n">
        <v>214.15863</v>
      </c>
      <c r="H312" s="15" t="n">
        <v>351.832035</v>
      </c>
      <c r="I312" s="15" t="n">
        <v>489.50544</v>
      </c>
      <c r="J312" s="5" t="s">
        <v>195</v>
      </c>
      <c r="K312" s="5" t="n">
        <v>2040</v>
      </c>
      <c r="L312" s="5" t="str">
        <f aca="false">IF(AND(K312&gt;=Hypothèses!$B$9,K312&lt;=Hypothèses!$B$10),"actuel",IF(K312=2030,"2030",IF(K312=2050,"2050","autre")))</f>
        <v>autre</v>
      </c>
      <c r="M312" s="5"/>
      <c r="N312" s="5" t="s">
        <v>196</v>
      </c>
      <c r="O312" s="5"/>
      <c r="P312" s="5" t="s">
        <v>316</v>
      </c>
      <c r="Q312" s="5" t="s">
        <v>45</v>
      </c>
      <c r="R312" s="12" t="n">
        <f aca="false">INDEX(Hypothèses!$B$14:$B$17,MATCH(Q312,Hypothèses!$A$14:$A$17,0))</f>
        <v>1</v>
      </c>
      <c r="S312" s="15" t="n">
        <f aca="false">IF(G312="","",G312*R312)</f>
        <v>214.15863</v>
      </c>
      <c r="T312" s="15" t="n">
        <f aca="false">IF(H312="","",H312*R312)</f>
        <v>351.832035</v>
      </c>
      <c r="U312" s="15" t="n">
        <f aca="false">IF(I312="","",I312*R312)</f>
        <v>489.50544</v>
      </c>
      <c r="V312" s="5" t="s">
        <v>195</v>
      </c>
      <c r="W312" s="5" t="s">
        <v>70</v>
      </c>
      <c r="X312" s="5" t="s">
        <v>198</v>
      </c>
    </row>
    <row r="313" customFormat="false" ht="15" hidden="false" customHeight="false" outlineLevel="0" collapsed="false">
      <c r="A313" s="5" t="s">
        <v>532</v>
      </c>
      <c r="B313" s="5" t="s">
        <v>64</v>
      </c>
      <c r="C313" s="5" t="s">
        <v>134</v>
      </c>
      <c r="D313" s="5" t="s">
        <v>413</v>
      </c>
      <c r="E313" s="5" t="s">
        <v>193</v>
      </c>
      <c r="F313" s="5" t="s">
        <v>206</v>
      </c>
      <c r="G313" s="15" t="n">
        <v>168.26698</v>
      </c>
      <c r="H313" s="15" t="n">
        <v>282.995075</v>
      </c>
      <c r="I313" s="15" t="n">
        <v>397.72317</v>
      </c>
      <c r="J313" s="5" t="s">
        <v>195</v>
      </c>
      <c r="K313" s="5" t="n">
        <v>2050</v>
      </c>
      <c r="L313" s="5" t="str">
        <f aca="false">IF(AND(K313&gt;=Hypothèses!$B$9,K313&lt;=Hypothèses!$B$10),"actuel",IF(K313=2030,"2030",IF(K313=2050,"2050","autre")))</f>
        <v>2050</v>
      </c>
      <c r="M313" s="5"/>
      <c r="N313" s="5" t="s">
        <v>196</v>
      </c>
      <c r="O313" s="5"/>
      <c r="P313" s="5" t="s">
        <v>316</v>
      </c>
      <c r="Q313" s="5" t="s">
        <v>45</v>
      </c>
      <c r="R313" s="12" t="n">
        <f aca="false">INDEX(Hypothèses!$B$14:$B$17,MATCH(Q313,Hypothèses!$A$14:$A$17,0))</f>
        <v>1</v>
      </c>
      <c r="S313" s="15" t="n">
        <f aca="false">IF(G313="","",G313*R313)</f>
        <v>168.26698</v>
      </c>
      <c r="T313" s="15" t="n">
        <f aca="false">IF(H313="","",H313*R313)</f>
        <v>282.995075</v>
      </c>
      <c r="U313" s="15" t="n">
        <f aca="false">IF(I313="","",I313*R313)</f>
        <v>397.72317</v>
      </c>
      <c r="V313" s="5" t="s">
        <v>195</v>
      </c>
      <c r="W313" s="5" t="s">
        <v>70</v>
      </c>
      <c r="X313" s="5" t="s">
        <v>198</v>
      </c>
    </row>
    <row r="314" customFormat="false" ht="15" hidden="false" customHeight="false" outlineLevel="0" collapsed="false">
      <c r="A314" s="5" t="s">
        <v>533</v>
      </c>
      <c r="B314" s="5" t="s">
        <v>64</v>
      </c>
      <c r="C314" s="5" t="s">
        <v>136</v>
      </c>
      <c r="D314" s="5" t="s">
        <v>413</v>
      </c>
      <c r="E314" s="5" t="s">
        <v>193</v>
      </c>
      <c r="F314" s="5" t="s">
        <v>206</v>
      </c>
      <c r="G314" s="15" t="n">
        <v>1143.3</v>
      </c>
      <c r="H314" s="15" t="n">
        <v>1496.075</v>
      </c>
      <c r="I314" s="15" t="n">
        <v>1848.85</v>
      </c>
      <c r="J314" s="5" t="s">
        <v>195</v>
      </c>
      <c r="K314" s="5" t="n">
        <v>2020</v>
      </c>
      <c r="L314" s="5" t="str">
        <f aca="false">IF(AND(K314&gt;=Hypothèses!$B$9,K314&lt;=Hypothèses!$B$10),"actuel",IF(K314=2030,"2030",IF(K314=2050,"2050","autre")))</f>
        <v>actuel</v>
      </c>
      <c r="M314" s="5"/>
      <c r="N314" s="5" t="s">
        <v>196</v>
      </c>
      <c r="O314" s="5"/>
      <c r="P314" s="5" t="s">
        <v>230</v>
      </c>
      <c r="Q314" s="5" t="s">
        <v>45</v>
      </c>
      <c r="R314" s="12" t="n">
        <f aca="false">INDEX(Hypothèses!$B$14:$B$17,MATCH(Q314,Hypothèses!$A$14:$A$17,0))</f>
        <v>1</v>
      </c>
      <c r="S314" s="15" t="n">
        <f aca="false">IF(G314="","",G314*R314)</f>
        <v>1143.3</v>
      </c>
      <c r="T314" s="15" t="n">
        <f aca="false">IF(H314="","",H314*R314)</f>
        <v>1496.075</v>
      </c>
      <c r="U314" s="15" t="n">
        <f aca="false">IF(I314="","",I314*R314)</f>
        <v>1848.85</v>
      </c>
      <c r="V314" s="5" t="s">
        <v>195</v>
      </c>
      <c r="W314" s="5" t="s">
        <v>70</v>
      </c>
      <c r="X314" s="5" t="s">
        <v>198</v>
      </c>
    </row>
    <row r="315" customFormat="false" ht="15" hidden="false" customHeight="false" outlineLevel="0" collapsed="false">
      <c r="A315" s="5" t="s">
        <v>534</v>
      </c>
      <c r="B315" s="5" t="s">
        <v>64</v>
      </c>
      <c r="C315" s="5" t="s">
        <v>136</v>
      </c>
      <c r="D315" s="5" t="s">
        <v>413</v>
      </c>
      <c r="E315" s="5" t="s">
        <v>193</v>
      </c>
      <c r="F315" s="5" t="s">
        <v>206</v>
      </c>
      <c r="G315" s="15" t="n">
        <v>860.05</v>
      </c>
      <c r="H315" s="15" t="n">
        <v>1246.3</v>
      </c>
      <c r="I315" s="15" t="n">
        <v>1632.55</v>
      </c>
      <c r="J315" s="5" t="s">
        <v>195</v>
      </c>
      <c r="K315" s="5" t="n">
        <v>2025</v>
      </c>
      <c r="L315" s="5" t="str">
        <f aca="false">IF(AND(K315&gt;=Hypothèses!$B$9,K315&lt;=Hypothèses!$B$10),"actuel",IF(K315=2030,"2030",IF(K315=2050,"2050","autre")))</f>
        <v>actuel</v>
      </c>
      <c r="M315" s="5"/>
      <c r="N315" s="5" t="s">
        <v>196</v>
      </c>
      <c r="O315" s="5"/>
      <c r="P315" s="5" t="s">
        <v>230</v>
      </c>
      <c r="Q315" s="5" t="s">
        <v>45</v>
      </c>
      <c r="R315" s="12" t="n">
        <f aca="false">INDEX(Hypothèses!$B$14:$B$17,MATCH(Q315,Hypothèses!$A$14:$A$17,0))</f>
        <v>1</v>
      </c>
      <c r="S315" s="15" t="n">
        <f aca="false">IF(G315="","",G315*R315)</f>
        <v>860.05</v>
      </c>
      <c r="T315" s="15" t="n">
        <f aca="false">IF(H315="","",H315*R315)</f>
        <v>1246.3</v>
      </c>
      <c r="U315" s="15" t="n">
        <f aca="false">IF(I315="","",I315*R315)</f>
        <v>1632.55</v>
      </c>
      <c r="V315" s="5" t="s">
        <v>195</v>
      </c>
      <c r="W315" s="5" t="s">
        <v>70</v>
      </c>
      <c r="X315" s="5" t="s">
        <v>198</v>
      </c>
    </row>
    <row r="316" customFormat="false" ht="15" hidden="false" customHeight="false" outlineLevel="0" collapsed="false">
      <c r="A316" s="5" t="s">
        <v>535</v>
      </c>
      <c r="B316" s="5" t="s">
        <v>64</v>
      </c>
      <c r="C316" s="5" t="s">
        <v>136</v>
      </c>
      <c r="D316" s="5" t="s">
        <v>413</v>
      </c>
      <c r="E316" s="5" t="s">
        <v>193</v>
      </c>
      <c r="F316" s="5" t="s">
        <v>206</v>
      </c>
      <c r="G316" s="15" t="n">
        <v>576.8</v>
      </c>
      <c r="H316" s="15" t="n">
        <v>991.375</v>
      </c>
      <c r="I316" s="15" t="n">
        <v>1405.95</v>
      </c>
      <c r="J316" s="5" t="s">
        <v>195</v>
      </c>
      <c r="K316" s="5" t="n">
        <v>2030</v>
      </c>
      <c r="L316" s="5" t="str">
        <f aca="false">IF(AND(K316&gt;=Hypothèses!$B$9,K316&lt;=Hypothèses!$B$10),"actuel",IF(K316=2030,"2030",IF(K316=2050,"2050","autre")))</f>
        <v>2030</v>
      </c>
      <c r="M316" s="5"/>
      <c r="N316" s="5" t="s">
        <v>196</v>
      </c>
      <c r="O316" s="5"/>
      <c r="P316" s="5" t="s">
        <v>230</v>
      </c>
      <c r="Q316" s="5" t="s">
        <v>45</v>
      </c>
      <c r="R316" s="12" t="n">
        <f aca="false">INDEX(Hypothèses!$B$14:$B$17,MATCH(Q316,Hypothèses!$A$14:$A$17,0))</f>
        <v>1</v>
      </c>
      <c r="S316" s="15" t="n">
        <f aca="false">IF(G316="","",G316*R316)</f>
        <v>576.8</v>
      </c>
      <c r="T316" s="15" t="n">
        <f aca="false">IF(H316="","",H316*R316)</f>
        <v>991.375</v>
      </c>
      <c r="U316" s="15" t="n">
        <f aca="false">IF(I316="","",I316*R316)</f>
        <v>1405.95</v>
      </c>
      <c r="V316" s="5" t="s">
        <v>195</v>
      </c>
      <c r="W316" s="5" t="s">
        <v>70</v>
      </c>
      <c r="X316" s="5" t="s">
        <v>198</v>
      </c>
    </row>
    <row r="317" customFormat="false" ht="15" hidden="false" customHeight="false" outlineLevel="0" collapsed="false">
      <c r="A317" s="5" t="s">
        <v>536</v>
      </c>
      <c r="B317" s="5" t="s">
        <v>64</v>
      </c>
      <c r="C317" s="5" t="s">
        <v>136</v>
      </c>
      <c r="D317" s="5" t="s">
        <v>413</v>
      </c>
      <c r="E317" s="5" t="s">
        <v>193</v>
      </c>
      <c r="F317" s="5" t="s">
        <v>206</v>
      </c>
      <c r="G317" s="15" t="n">
        <v>478.95</v>
      </c>
      <c r="H317" s="15" t="n">
        <v>860.05</v>
      </c>
      <c r="I317" s="15" t="n">
        <v>1241.15</v>
      </c>
      <c r="J317" s="5" t="s">
        <v>195</v>
      </c>
      <c r="K317" s="5" t="n">
        <v>2035</v>
      </c>
      <c r="L317" s="5" t="str">
        <f aca="false">IF(AND(K317&gt;=Hypothèses!$B$9,K317&lt;=Hypothèses!$B$10),"actuel",IF(K317=2030,"2030",IF(K317=2050,"2050","autre")))</f>
        <v>autre</v>
      </c>
      <c r="M317" s="5"/>
      <c r="N317" s="5" t="s">
        <v>196</v>
      </c>
      <c r="O317" s="5"/>
      <c r="P317" s="5" t="s">
        <v>230</v>
      </c>
      <c r="Q317" s="5" t="s">
        <v>45</v>
      </c>
      <c r="R317" s="12" t="n">
        <f aca="false">INDEX(Hypothèses!$B$14:$B$17,MATCH(Q317,Hypothèses!$A$14:$A$17,0))</f>
        <v>1</v>
      </c>
      <c r="S317" s="15" t="n">
        <f aca="false">IF(G317="","",G317*R317)</f>
        <v>478.95</v>
      </c>
      <c r="T317" s="15" t="n">
        <f aca="false">IF(H317="","",H317*R317)</f>
        <v>860.05</v>
      </c>
      <c r="U317" s="15" t="n">
        <f aca="false">IF(I317="","",I317*R317)</f>
        <v>1241.15</v>
      </c>
      <c r="V317" s="5" t="s">
        <v>195</v>
      </c>
      <c r="W317" s="5" t="s">
        <v>70</v>
      </c>
      <c r="X317" s="5" t="s">
        <v>198</v>
      </c>
    </row>
    <row r="318" customFormat="false" ht="15" hidden="false" customHeight="false" outlineLevel="0" collapsed="false">
      <c r="A318" s="5" t="s">
        <v>537</v>
      </c>
      <c r="B318" s="5" t="s">
        <v>64</v>
      </c>
      <c r="C318" s="5" t="s">
        <v>136</v>
      </c>
      <c r="D318" s="5" t="s">
        <v>413</v>
      </c>
      <c r="E318" s="5" t="s">
        <v>193</v>
      </c>
      <c r="F318" s="5" t="s">
        <v>206</v>
      </c>
      <c r="G318" s="15" t="n">
        <v>370.8</v>
      </c>
      <c r="H318" s="15" t="n">
        <v>733.875</v>
      </c>
      <c r="I318" s="15" t="n">
        <v>1096.95</v>
      </c>
      <c r="J318" s="5" t="s">
        <v>195</v>
      </c>
      <c r="K318" s="5" t="n">
        <v>2040</v>
      </c>
      <c r="L318" s="5" t="str">
        <f aca="false">IF(AND(K318&gt;=Hypothèses!$B$9,K318&lt;=Hypothèses!$B$10),"actuel",IF(K318=2030,"2030",IF(K318=2050,"2050","autre")))</f>
        <v>autre</v>
      </c>
      <c r="M318" s="5"/>
      <c r="N318" s="5" t="s">
        <v>196</v>
      </c>
      <c r="O318" s="5"/>
      <c r="P318" s="5" t="s">
        <v>230</v>
      </c>
      <c r="Q318" s="5" t="s">
        <v>45</v>
      </c>
      <c r="R318" s="12" t="n">
        <f aca="false">INDEX(Hypothèses!$B$14:$B$17,MATCH(Q318,Hypothèses!$A$14:$A$17,0))</f>
        <v>1</v>
      </c>
      <c r="S318" s="15" t="n">
        <f aca="false">IF(G318="","",G318*R318)</f>
        <v>370.8</v>
      </c>
      <c r="T318" s="15" t="n">
        <f aca="false">IF(H318="","",H318*R318)</f>
        <v>733.875</v>
      </c>
      <c r="U318" s="15" t="n">
        <f aca="false">IF(I318="","",I318*R318)</f>
        <v>1096.95</v>
      </c>
      <c r="V318" s="5" t="s">
        <v>195</v>
      </c>
      <c r="W318" s="5" t="s">
        <v>70</v>
      </c>
      <c r="X318" s="5" t="s">
        <v>198</v>
      </c>
    </row>
    <row r="319" customFormat="false" ht="15" hidden="false" customHeight="false" outlineLevel="0" collapsed="false">
      <c r="A319" s="5" t="s">
        <v>538</v>
      </c>
      <c r="B319" s="5" t="s">
        <v>64</v>
      </c>
      <c r="C319" s="5" t="s">
        <v>136</v>
      </c>
      <c r="D319" s="5" t="s">
        <v>413</v>
      </c>
      <c r="E319" s="5" t="s">
        <v>193</v>
      </c>
      <c r="F319" s="5" t="s">
        <v>206</v>
      </c>
      <c r="G319" s="15" t="n">
        <v>262.65</v>
      </c>
      <c r="H319" s="15" t="n">
        <v>599.975</v>
      </c>
      <c r="I319" s="15" t="n">
        <v>937.3</v>
      </c>
      <c r="J319" s="5" t="s">
        <v>195</v>
      </c>
      <c r="K319" s="5" t="n">
        <v>2045</v>
      </c>
      <c r="L319" s="5" t="str">
        <f aca="false">IF(AND(K319&gt;=Hypothèses!$B$9,K319&lt;=Hypothèses!$B$10),"actuel",IF(K319=2030,"2030",IF(K319=2050,"2050","autre")))</f>
        <v>autre</v>
      </c>
      <c r="M319" s="5"/>
      <c r="N319" s="5" t="s">
        <v>196</v>
      </c>
      <c r="O319" s="5"/>
      <c r="P319" s="5" t="s">
        <v>230</v>
      </c>
      <c r="Q319" s="5" t="s">
        <v>45</v>
      </c>
      <c r="R319" s="12" t="n">
        <f aca="false">INDEX(Hypothèses!$B$14:$B$17,MATCH(Q319,Hypothèses!$A$14:$A$17,0))</f>
        <v>1</v>
      </c>
      <c r="S319" s="15" t="n">
        <f aca="false">IF(G319="","",G319*R319)</f>
        <v>262.65</v>
      </c>
      <c r="T319" s="15" t="n">
        <f aca="false">IF(H319="","",H319*R319)</f>
        <v>599.975</v>
      </c>
      <c r="U319" s="15" t="n">
        <f aca="false">IF(I319="","",I319*R319)</f>
        <v>937.3</v>
      </c>
      <c r="V319" s="5" t="s">
        <v>195</v>
      </c>
      <c r="W319" s="5" t="s">
        <v>70</v>
      </c>
      <c r="X319" s="5" t="s">
        <v>198</v>
      </c>
    </row>
    <row r="320" customFormat="false" ht="15" hidden="false" customHeight="false" outlineLevel="0" collapsed="false">
      <c r="A320" s="5" t="s">
        <v>539</v>
      </c>
      <c r="B320" s="5" t="s">
        <v>64</v>
      </c>
      <c r="C320" s="5" t="s">
        <v>136</v>
      </c>
      <c r="D320" s="5" t="s">
        <v>413</v>
      </c>
      <c r="E320" s="5" t="s">
        <v>193</v>
      </c>
      <c r="F320" s="5" t="s">
        <v>206</v>
      </c>
      <c r="G320" s="15" t="n">
        <v>159.65</v>
      </c>
      <c r="H320" s="15" t="n">
        <v>471.225</v>
      </c>
      <c r="I320" s="15" t="n">
        <v>782.8</v>
      </c>
      <c r="J320" s="5" t="s">
        <v>195</v>
      </c>
      <c r="K320" s="5" t="n">
        <v>2050</v>
      </c>
      <c r="L320" s="5" t="str">
        <f aca="false">IF(AND(K320&gt;=Hypothèses!$B$9,K320&lt;=Hypothèses!$B$10),"actuel",IF(K320=2030,"2030",IF(K320=2050,"2050","autre")))</f>
        <v>2050</v>
      </c>
      <c r="M320" s="5"/>
      <c r="N320" s="5" t="s">
        <v>196</v>
      </c>
      <c r="O320" s="5"/>
      <c r="P320" s="5" t="s">
        <v>230</v>
      </c>
      <c r="Q320" s="5" t="s">
        <v>45</v>
      </c>
      <c r="R320" s="12" t="n">
        <f aca="false">INDEX(Hypothèses!$B$14:$B$17,MATCH(Q320,Hypothèses!$A$14:$A$17,0))</f>
        <v>1</v>
      </c>
      <c r="S320" s="15" t="n">
        <f aca="false">IF(G320="","",G320*R320)</f>
        <v>159.65</v>
      </c>
      <c r="T320" s="15" t="n">
        <f aca="false">IF(H320="","",H320*R320)</f>
        <v>471.225</v>
      </c>
      <c r="U320" s="15" t="n">
        <f aca="false">IF(I320="","",I320*R320)</f>
        <v>782.8</v>
      </c>
      <c r="V320" s="5" t="s">
        <v>195</v>
      </c>
      <c r="W320" s="5" t="s">
        <v>70</v>
      </c>
      <c r="X320" s="5" t="s">
        <v>198</v>
      </c>
    </row>
    <row r="321" customFormat="false" ht="15" hidden="false" customHeight="false" outlineLevel="0" collapsed="false">
      <c r="A321" s="5" t="s">
        <v>540</v>
      </c>
      <c r="B321" s="5" t="s">
        <v>64</v>
      </c>
      <c r="C321" s="5" t="s">
        <v>72</v>
      </c>
      <c r="D321" s="5" t="s">
        <v>413</v>
      </c>
      <c r="E321" s="5" t="s">
        <v>320</v>
      </c>
      <c r="F321" s="5" t="s">
        <v>194</v>
      </c>
      <c r="G321" s="15" t="n">
        <v>6.0278072</v>
      </c>
      <c r="H321" s="15" t="n">
        <v>7.2453702</v>
      </c>
      <c r="I321" s="15" t="n">
        <v>8.24</v>
      </c>
      <c r="J321" s="5" t="s">
        <v>321</v>
      </c>
      <c r="K321" s="5" t="n">
        <v>2015</v>
      </c>
      <c r="L321" s="5" t="str">
        <f aca="false">IF(AND(K321&gt;=Hypothèses!$B$9,K321&lt;=Hypothèses!$B$10),"actuel",IF(K321=2030,"2030",IF(K321=2050,"2050","autre")))</f>
        <v>autre</v>
      </c>
      <c r="M321" s="5"/>
      <c r="N321" s="5" t="s">
        <v>196</v>
      </c>
      <c r="O321" s="5"/>
      <c r="P321" s="5" t="s">
        <v>197</v>
      </c>
      <c r="Q321" s="5" t="s">
        <v>45</v>
      </c>
      <c r="R321" s="12" t="n">
        <f aca="false">INDEX(Hypothèses!$B$14:$B$17,MATCH(Q321,Hypothèses!$A$14:$A$17,0))</f>
        <v>1</v>
      </c>
      <c r="S321" s="15" t="n">
        <f aca="false">IF(G321="","",G321*R321)</f>
        <v>6.0278072</v>
      </c>
      <c r="T321" s="15" t="n">
        <f aca="false">IF(H321="","",H321*R321)</f>
        <v>7.2453702</v>
      </c>
      <c r="U321" s="15" t="n">
        <f aca="false">IF(I321="","",I321*R321)</f>
        <v>8.24</v>
      </c>
      <c r="V321" s="5" t="s">
        <v>321</v>
      </c>
      <c r="W321" s="5" t="s">
        <v>70</v>
      </c>
      <c r="X321" s="5" t="s">
        <v>198</v>
      </c>
    </row>
    <row r="322" customFormat="false" ht="15" hidden="false" customHeight="false" outlineLevel="0" collapsed="false">
      <c r="A322" s="5" t="s">
        <v>541</v>
      </c>
      <c r="B322" s="5" t="s">
        <v>64</v>
      </c>
      <c r="C322" s="5" t="s">
        <v>72</v>
      </c>
      <c r="D322" s="5" t="s">
        <v>413</v>
      </c>
      <c r="E322" s="5" t="s">
        <v>320</v>
      </c>
      <c r="F322" s="5" t="s">
        <v>194</v>
      </c>
      <c r="G322" s="15" t="n">
        <v>5.4876134</v>
      </c>
      <c r="H322" s="15" t="n">
        <v>6.7823543</v>
      </c>
      <c r="I322" s="15" t="n">
        <v>8.0770849</v>
      </c>
      <c r="J322" s="5" t="s">
        <v>321</v>
      </c>
      <c r="K322" s="5" t="n">
        <v>2016</v>
      </c>
      <c r="L322" s="5" t="str">
        <f aca="false">IF(AND(K322&gt;=Hypothèses!$B$9,K322&lt;=Hypothèses!$B$10),"actuel",IF(K322=2030,"2030",IF(K322=2050,"2050","autre")))</f>
        <v>autre</v>
      </c>
      <c r="M322" s="5"/>
      <c r="N322" s="5" t="s">
        <v>196</v>
      </c>
      <c r="O322" s="5"/>
      <c r="P322" s="5" t="s">
        <v>197</v>
      </c>
      <c r="Q322" s="5" t="s">
        <v>45</v>
      </c>
      <c r="R322" s="12" t="n">
        <f aca="false">INDEX(Hypothèses!$B$14:$B$17,MATCH(Q322,Hypothèses!$A$14:$A$17,0))</f>
        <v>1</v>
      </c>
      <c r="S322" s="15" t="n">
        <f aca="false">IF(G322="","",G322*R322)</f>
        <v>5.4876134</v>
      </c>
      <c r="T322" s="15" t="n">
        <f aca="false">IF(H322="","",H322*R322)</f>
        <v>6.7823543</v>
      </c>
      <c r="U322" s="15" t="n">
        <f aca="false">IF(I322="","",I322*R322)</f>
        <v>8.0770849</v>
      </c>
      <c r="V322" s="5" t="s">
        <v>321</v>
      </c>
      <c r="W322" s="5" t="s">
        <v>70</v>
      </c>
      <c r="X322" s="5" t="s">
        <v>198</v>
      </c>
    </row>
    <row r="323" customFormat="false" ht="15" hidden="false" customHeight="false" outlineLevel="0" collapsed="false">
      <c r="A323" s="5" t="s">
        <v>542</v>
      </c>
      <c r="B323" s="5" t="s">
        <v>64</v>
      </c>
      <c r="C323" s="5" t="s">
        <v>72</v>
      </c>
      <c r="D323" s="5" t="s">
        <v>413</v>
      </c>
      <c r="E323" s="5" t="s">
        <v>320</v>
      </c>
      <c r="F323" s="5" t="s">
        <v>194</v>
      </c>
      <c r="G323" s="15" t="n">
        <v>4.973149</v>
      </c>
      <c r="H323" s="15" t="n">
        <v>6.327908</v>
      </c>
      <c r="I323" s="15" t="n">
        <v>7.7255356</v>
      </c>
      <c r="J323" s="5" t="s">
        <v>321</v>
      </c>
      <c r="K323" s="5" t="n">
        <v>2017</v>
      </c>
      <c r="L323" s="5" t="str">
        <f aca="false">IF(AND(K323&gt;=Hypothèses!$B$9,K323&lt;=Hypothèses!$B$10),"actuel",IF(K323=2030,"2030",IF(K323=2050,"2050","autre")))</f>
        <v>autre</v>
      </c>
      <c r="M323" s="5"/>
      <c r="N323" s="5" t="s">
        <v>196</v>
      </c>
      <c r="O323" s="5"/>
      <c r="P323" s="5" t="s">
        <v>197</v>
      </c>
      <c r="Q323" s="5" t="s">
        <v>45</v>
      </c>
      <c r="R323" s="12" t="n">
        <f aca="false">INDEX(Hypothèses!$B$14:$B$17,MATCH(Q323,Hypothèses!$A$14:$A$17,0))</f>
        <v>1</v>
      </c>
      <c r="S323" s="15" t="n">
        <f aca="false">IF(G323="","",G323*R323)</f>
        <v>4.973149</v>
      </c>
      <c r="T323" s="15" t="n">
        <f aca="false">IF(H323="","",H323*R323)</f>
        <v>6.327908</v>
      </c>
      <c r="U323" s="15" t="n">
        <f aca="false">IF(I323="","",I323*R323)</f>
        <v>7.7255356</v>
      </c>
      <c r="V323" s="5" t="s">
        <v>321</v>
      </c>
      <c r="W323" s="5" t="s">
        <v>70</v>
      </c>
      <c r="X323" s="5" t="s">
        <v>198</v>
      </c>
    </row>
    <row r="324" customFormat="false" ht="15" hidden="false" customHeight="false" outlineLevel="0" collapsed="false">
      <c r="A324" s="5" t="s">
        <v>543</v>
      </c>
      <c r="B324" s="5" t="s">
        <v>64</v>
      </c>
      <c r="C324" s="5" t="s">
        <v>72</v>
      </c>
      <c r="D324" s="5" t="s">
        <v>413</v>
      </c>
      <c r="E324" s="5" t="s">
        <v>320</v>
      </c>
      <c r="F324" s="5" t="s">
        <v>194</v>
      </c>
      <c r="G324" s="15" t="n">
        <v>4.5358625</v>
      </c>
      <c r="H324" s="15" t="n">
        <v>5.9334901</v>
      </c>
      <c r="I324" s="15" t="n">
        <v>7.3997054</v>
      </c>
      <c r="J324" s="5" t="s">
        <v>321</v>
      </c>
      <c r="K324" s="5" t="n">
        <v>2018</v>
      </c>
      <c r="L324" s="5" t="str">
        <f aca="false">IF(AND(K324&gt;=Hypothèses!$B$9,K324&lt;=Hypothèses!$B$10),"actuel",IF(K324=2030,"2030",IF(K324=2050,"2050","autre")))</f>
        <v>autre</v>
      </c>
      <c r="M324" s="5"/>
      <c r="N324" s="5" t="s">
        <v>196</v>
      </c>
      <c r="O324" s="5"/>
      <c r="P324" s="5" t="s">
        <v>197</v>
      </c>
      <c r="Q324" s="5" t="s">
        <v>45</v>
      </c>
      <c r="R324" s="12" t="n">
        <f aca="false">INDEX(Hypothèses!$B$14:$B$17,MATCH(Q324,Hypothèses!$A$14:$A$17,0))</f>
        <v>1</v>
      </c>
      <c r="S324" s="15" t="n">
        <f aca="false">IF(G324="","",G324*R324)</f>
        <v>4.5358625</v>
      </c>
      <c r="T324" s="15" t="n">
        <f aca="false">IF(H324="","",H324*R324)</f>
        <v>5.9334901</v>
      </c>
      <c r="U324" s="15" t="n">
        <f aca="false">IF(I324="","",I324*R324)</f>
        <v>7.3997054</v>
      </c>
      <c r="V324" s="5" t="s">
        <v>321</v>
      </c>
      <c r="W324" s="5" t="s">
        <v>70</v>
      </c>
      <c r="X324" s="5" t="s">
        <v>198</v>
      </c>
    </row>
    <row r="325" customFormat="false" ht="15" hidden="false" customHeight="false" outlineLevel="0" collapsed="false">
      <c r="A325" s="5" t="s">
        <v>544</v>
      </c>
      <c r="B325" s="5" t="s">
        <v>64</v>
      </c>
      <c r="C325" s="5" t="s">
        <v>72</v>
      </c>
      <c r="D325" s="5" t="s">
        <v>413</v>
      </c>
      <c r="E325" s="5" t="s">
        <v>320</v>
      </c>
      <c r="F325" s="5" t="s">
        <v>194</v>
      </c>
      <c r="G325" s="15"/>
      <c r="H325" s="15" t="n">
        <v>4.7071</v>
      </c>
      <c r="I325" s="15"/>
      <c r="J325" s="5" t="s">
        <v>321</v>
      </c>
      <c r="K325" s="5" t="n">
        <v>2019</v>
      </c>
      <c r="L325" s="5" t="str">
        <f aca="false">IF(AND(K325&gt;=Hypothèses!$B$9,K325&lt;=Hypothèses!$B$10),"actuel",IF(K325=2030,"2030",IF(K325=2050,"2050","autre")))</f>
        <v>autre</v>
      </c>
      <c r="M325" s="5"/>
      <c r="N325" s="5" t="s">
        <v>196</v>
      </c>
      <c r="O325" s="5"/>
      <c r="P325" s="5" t="s">
        <v>197</v>
      </c>
      <c r="Q325" s="5" t="s">
        <v>45</v>
      </c>
      <c r="R325" s="12" t="n">
        <f aca="false">INDEX(Hypothèses!$B$14:$B$17,MATCH(Q325,Hypothèses!$A$14:$A$17,0))</f>
        <v>1</v>
      </c>
      <c r="S325" s="15" t="str">
        <f aca="false">IF(G325="","",G325*R325)</f>
        <v/>
      </c>
      <c r="T325" s="15" t="n">
        <f aca="false">IF(H325="","",H325*R325)</f>
        <v>4.7071</v>
      </c>
      <c r="U325" s="15" t="str">
        <f aca="false">IF(I325="","",I325*R325)</f>
        <v/>
      </c>
      <c r="V325" s="5" t="s">
        <v>321</v>
      </c>
      <c r="W325" s="5" t="s">
        <v>70</v>
      </c>
      <c r="X325" s="5" t="s">
        <v>198</v>
      </c>
    </row>
    <row r="326" customFormat="false" ht="15" hidden="false" customHeight="false" outlineLevel="0" collapsed="false">
      <c r="A326" s="5" t="s">
        <v>545</v>
      </c>
      <c r="B326" s="5" t="s">
        <v>64</v>
      </c>
      <c r="C326" s="5" t="s">
        <v>72</v>
      </c>
      <c r="D326" s="5" t="s">
        <v>413</v>
      </c>
      <c r="E326" s="5" t="s">
        <v>320</v>
      </c>
      <c r="F326" s="5" t="s">
        <v>194</v>
      </c>
      <c r="G326" s="15" t="n">
        <v>2.575</v>
      </c>
      <c r="H326" s="15" t="n">
        <v>3.605</v>
      </c>
      <c r="I326" s="15" t="n">
        <v>4.635</v>
      </c>
      <c r="J326" s="5" t="s">
        <v>321</v>
      </c>
      <c r="K326" s="5" t="n">
        <v>2020</v>
      </c>
      <c r="L326" s="5" t="str">
        <f aca="false">IF(AND(K326&gt;=Hypothèses!$B$9,K326&lt;=Hypothèses!$B$10),"actuel",IF(K326=2030,"2030",IF(K326=2050,"2050","autre")))</f>
        <v>actuel</v>
      </c>
      <c r="M326" s="5"/>
      <c r="N326" s="5" t="s">
        <v>196</v>
      </c>
      <c r="O326" s="5"/>
      <c r="P326" s="5" t="s">
        <v>197</v>
      </c>
      <c r="Q326" s="5" t="s">
        <v>45</v>
      </c>
      <c r="R326" s="12" t="n">
        <f aca="false">INDEX(Hypothèses!$B$14:$B$17,MATCH(Q326,Hypothèses!$A$14:$A$17,0))</f>
        <v>1</v>
      </c>
      <c r="S326" s="15" t="n">
        <f aca="false">IF(G326="","",G326*R326)</f>
        <v>2.575</v>
      </c>
      <c r="T326" s="15" t="n">
        <f aca="false">IF(H326="","",H326*R326)</f>
        <v>3.605</v>
      </c>
      <c r="U326" s="15" t="n">
        <f aca="false">IF(I326="","",I326*R326)</f>
        <v>4.635</v>
      </c>
      <c r="V326" s="5" t="s">
        <v>321</v>
      </c>
      <c r="W326" s="5" t="s">
        <v>70</v>
      </c>
      <c r="X326" s="5" t="s">
        <v>198</v>
      </c>
    </row>
    <row r="327" customFormat="false" ht="15" hidden="false" customHeight="false" outlineLevel="0" collapsed="false">
      <c r="A327" s="5" t="s">
        <v>546</v>
      </c>
      <c r="B327" s="5" t="s">
        <v>64</v>
      </c>
      <c r="C327" s="5" t="s">
        <v>72</v>
      </c>
      <c r="D327" s="5" t="s">
        <v>413</v>
      </c>
      <c r="E327" s="5" t="s">
        <v>320</v>
      </c>
      <c r="F327" s="5" t="s">
        <v>194</v>
      </c>
      <c r="G327" s="15" t="n">
        <v>3.5535</v>
      </c>
      <c r="H327" s="15" t="n">
        <v>5.22725</v>
      </c>
      <c r="I327" s="15" t="n">
        <v>6.901</v>
      </c>
      <c r="J327" s="5" t="s">
        <v>321</v>
      </c>
      <c r="K327" s="5" t="n">
        <v>2021</v>
      </c>
      <c r="L327" s="5" t="str">
        <f aca="false">IF(AND(K327&gt;=Hypothèses!$B$9,K327&lt;=Hypothèses!$B$10),"actuel",IF(K327=2030,"2030",IF(K327=2050,"2050","autre")))</f>
        <v>actuel</v>
      </c>
      <c r="M327" s="5"/>
      <c r="N327" s="5" t="s">
        <v>196</v>
      </c>
      <c r="O327" s="5"/>
      <c r="P327" s="5" t="s">
        <v>197</v>
      </c>
      <c r="Q327" s="5" t="s">
        <v>45</v>
      </c>
      <c r="R327" s="12" t="n">
        <f aca="false">INDEX(Hypothèses!$B$14:$B$17,MATCH(Q327,Hypothèses!$A$14:$A$17,0))</f>
        <v>1</v>
      </c>
      <c r="S327" s="15" t="n">
        <f aca="false">IF(G327="","",G327*R327)</f>
        <v>3.5535</v>
      </c>
      <c r="T327" s="15" t="n">
        <f aca="false">IF(H327="","",H327*R327)</f>
        <v>5.22725</v>
      </c>
      <c r="U327" s="15" t="n">
        <f aca="false">IF(I327="","",I327*R327)</f>
        <v>6.901</v>
      </c>
      <c r="V327" s="5" t="s">
        <v>321</v>
      </c>
      <c r="W327" s="5" t="s">
        <v>70</v>
      </c>
      <c r="X327" s="5" t="s">
        <v>198</v>
      </c>
    </row>
    <row r="328" customFormat="false" ht="15" hidden="false" customHeight="false" outlineLevel="0" collapsed="false">
      <c r="A328" s="5" t="s">
        <v>547</v>
      </c>
      <c r="B328" s="5" t="s">
        <v>64</v>
      </c>
      <c r="C328" s="5" t="s">
        <v>76</v>
      </c>
      <c r="D328" s="5" t="s">
        <v>413</v>
      </c>
      <c r="E328" s="5" t="s">
        <v>320</v>
      </c>
      <c r="F328" s="5" t="s">
        <v>206</v>
      </c>
      <c r="G328" s="15" t="n">
        <v>2.575</v>
      </c>
      <c r="H328" s="15" t="n">
        <v>3.6565</v>
      </c>
      <c r="I328" s="15" t="n">
        <v>4.738</v>
      </c>
      <c r="J328" s="5" t="s">
        <v>321</v>
      </c>
      <c r="K328" s="5" t="n">
        <v>2019</v>
      </c>
      <c r="L328" s="5" t="str">
        <f aca="false">IF(AND(K328&gt;=Hypothèses!$B$9,K328&lt;=Hypothèses!$B$10),"actuel",IF(K328=2030,"2030",IF(K328=2050,"2050","autre")))</f>
        <v>autre</v>
      </c>
      <c r="M328" s="5"/>
      <c r="N328" s="5" t="s">
        <v>196</v>
      </c>
      <c r="O328" s="5"/>
      <c r="P328" s="5" t="s">
        <v>230</v>
      </c>
      <c r="Q328" s="5" t="s">
        <v>45</v>
      </c>
      <c r="R328" s="12" t="n">
        <f aca="false">INDEX(Hypothèses!$B$14:$B$17,MATCH(Q328,Hypothèses!$A$14:$A$17,0))</f>
        <v>1</v>
      </c>
      <c r="S328" s="15" t="n">
        <f aca="false">IF(G328="","",G328*R328)</f>
        <v>2.575</v>
      </c>
      <c r="T328" s="15" t="n">
        <f aca="false">IF(H328="","",H328*R328)</f>
        <v>3.6565</v>
      </c>
      <c r="U328" s="15" t="n">
        <f aca="false">IF(I328="","",I328*R328)</f>
        <v>4.738</v>
      </c>
      <c r="V328" s="5" t="s">
        <v>321</v>
      </c>
      <c r="W328" s="5" t="s">
        <v>70</v>
      </c>
      <c r="X328" s="5" t="s">
        <v>198</v>
      </c>
    </row>
    <row r="329" customFormat="false" ht="15" hidden="false" customHeight="false" outlineLevel="0" collapsed="false">
      <c r="A329" s="5" t="s">
        <v>548</v>
      </c>
      <c r="B329" s="5" t="s">
        <v>64</v>
      </c>
      <c r="C329" s="5" t="s">
        <v>76</v>
      </c>
      <c r="D329" s="5" t="s">
        <v>413</v>
      </c>
      <c r="E329" s="5" t="s">
        <v>320</v>
      </c>
      <c r="F329" s="5" t="s">
        <v>206</v>
      </c>
      <c r="G329" s="15" t="n">
        <v>1.236</v>
      </c>
      <c r="H329" s="15" t="n">
        <v>2.06</v>
      </c>
      <c r="I329" s="15" t="n">
        <v>2.884</v>
      </c>
      <c r="J329" s="5" t="s">
        <v>321</v>
      </c>
      <c r="K329" s="5" t="n">
        <v>2030</v>
      </c>
      <c r="L329" s="5" t="str">
        <f aca="false">IF(AND(K329&gt;=Hypothèses!$B$9,K329&lt;=Hypothèses!$B$10),"actuel",IF(K329=2030,"2030",IF(K329=2050,"2050","autre")))</f>
        <v>2030</v>
      </c>
      <c r="M329" s="5"/>
      <c r="N329" s="5" t="s">
        <v>196</v>
      </c>
      <c r="O329" s="5"/>
      <c r="P329" s="5" t="s">
        <v>230</v>
      </c>
      <c r="Q329" s="5" t="s">
        <v>45</v>
      </c>
      <c r="R329" s="12" t="n">
        <f aca="false">INDEX(Hypothèses!$B$14:$B$17,MATCH(Q329,Hypothèses!$A$14:$A$17,0))</f>
        <v>1</v>
      </c>
      <c r="S329" s="15" t="n">
        <f aca="false">IF(G329="","",G329*R329)</f>
        <v>1.236</v>
      </c>
      <c r="T329" s="15" t="n">
        <f aca="false">IF(H329="","",H329*R329)</f>
        <v>2.06</v>
      </c>
      <c r="U329" s="15" t="n">
        <f aca="false">IF(I329="","",I329*R329)</f>
        <v>2.884</v>
      </c>
      <c r="V329" s="5" t="s">
        <v>321</v>
      </c>
      <c r="W329" s="5" t="s">
        <v>70</v>
      </c>
      <c r="X329" s="5" t="s">
        <v>198</v>
      </c>
    </row>
    <row r="330" customFormat="false" ht="15" hidden="false" customHeight="false" outlineLevel="0" collapsed="false">
      <c r="A330" s="5" t="s">
        <v>549</v>
      </c>
      <c r="B330" s="5" t="s">
        <v>64</v>
      </c>
      <c r="C330" s="5" t="s">
        <v>76</v>
      </c>
      <c r="D330" s="5" t="s">
        <v>413</v>
      </c>
      <c r="E330" s="5" t="s">
        <v>320</v>
      </c>
      <c r="F330" s="5" t="s">
        <v>206</v>
      </c>
      <c r="G330" s="15" t="n">
        <v>0.824</v>
      </c>
      <c r="H330" s="15" t="n">
        <v>1.339</v>
      </c>
      <c r="I330" s="15" t="n">
        <v>1.854</v>
      </c>
      <c r="J330" s="5" t="s">
        <v>321</v>
      </c>
      <c r="K330" s="5" t="n">
        <v>2050</v>
      </c>
      <c r="L330" s="5" t="str">
        <f aca="false">IF(AND(K330&gt;=Hypothèses!$B$9,K330&lt;=Hypothèses!$B$10),"actuel",IF(K330=2030,"2030",IF(K330=2050,"2050","autre")))</f>
        <v>2050</v>
      </c>
      <c r="M330" s="5"/>
      <c r="N330" s="5" t="s">
        <v>196</v>
      </c>
      <c r="O330" s="5"/>
      <c r="P330" s="5" t="s">
        <v>230</v>
      </c>
      <c r="Q330" s="5" t="s">
        <v>45</v>
      </c>
      <c r="R330" s="12" t="n">
        <f aca="false">INDEX(Hypothèses!$B$14:$B$17,MATCH(Q330,Hypothèses!$A$14:$A$17,0))</f>
        <v>1</v>
      </c>
      <c r="S330" s="15" t="n">
        <f aca="false">IF(G330="","",G330*R330)</f>
        <v>0.824</v>
      </c>
      <c r="T330" s="15" t="n">
        <f aca="false">IF(H330="","",H330*R330)</f>
        <v>1.339</v>
      </c>
      <c r="U330" s="15" t="n">
        <f aca="false">IF(I330="","",I330*R330)</f>
        <v>1.854</v>
      </c>
      <c r="V330" s="5" t="s">
        <v>321</v>
      </c>
      <c r="W330" s="5" t="s">
        <v>70</v>
      </c>
      <c r="X330" s="5" t="s">
        <v>198</v>
      </c>
    </row>
    <row r="331" customFormat="false" ht="15" hidden="false" customHeight="false" outlineLevel="0" collapsed="false">
      <c r="A331" s="5" t="s">
        <v>550</v>
      </c>
      <c r="B331" s="5" t="s">
        <v>64</v>
      </c>
      <c r="C331" s="5" t="s">
        <v>90</v>
      </c>
      <c r="D331" s="5" t="s">
        <v>413</v>
      </c>
      <c r="E331" s="5" t="s">
        <v>320</v>
      </c>
      <c r="F331" s="5" t="s">
        <v>206</v>
      </c>
      <c r="G331" s="15" t="n">
        <v>3.2239</v>
      </c>
      <c r="H331" s="15" t="n">
        <v>4.1715</v>
      </c>
      <c r="I331" s="15" t="n">
        <v>5.1191</v>
      </c>
      <c r="J331" s="5" t="s">
        <v>321</v>
      </c>
      <c r="K331" s="5" t="n">
        <v>2018</v>
      </c>
      <c r="L331" s="5" t="str">
        <f aca="false">IF(AND(K331&gt;=Hypothèses!$B$9,K331&lt;=Hypothèses!$B$10),"actuel",IF(K331=2030,"2030",IF(K331=2050,"2050","autre")))</f>
        <v>autre</v>
      </c>
      <c r="M331" s="5"/>
      <c r="N331" s="5" t="s">
        <v>196</v>
      </c>
      <c r="O331" s="5"/>
      <c r="P331" s="5" t="s">
        <v>454</v>
      </c>
      <c r="Q331" s="5" t="s">
        <v>45</v>
      </c>
      <c r="R331" s="12" t="n">
        <f aca="false">INDEX(Hypothèses!$B$14:$B$17,MATCH(Q331,Hypothèses!$A$14:$A$17,0))</f>
        <v>1</v>
      </c>
      <c r="S331" s="15" t="n">
        <f aca="false">IF(G331="","",G331*R331)</f>
        <v>3.2239</v>
      </c>
      <c r="T331" s="15" t="n">
        <f aca="false">IF(H331="","",H331*R331)</f>
        <v>4.1715</v>
      </c>
      <c r="U331" s="15" t="n">
        <f aca="false">IF(I331="","",I331*R331)</f>
        <v>5.1191</v>
      </c>
      <c r="V331" s="5" t="s">
        <v>321</v>
      </c>
      <c r="W331" s="5" t="s">
        <v>70</v>
      </c>
      <c r="X331" s="5" t="s">
        <v>198</v>
      </c>
    </row>
    <row r="332" customFormat="false" ht="15" hidden="false" customHeight="false" outlineLevel="0" collapsed="false">
      <c r="A332" s="5" t="s">
        <v>551</v>
      </c>
      <c r="B332" s="5" t="s">
        <v>64</v>
      </c>
      <c r="C332" s="5" t="s">
        <v>90</v>
      </c>
      <c r="D332" s="5" t="s">
        <v>413</v>
      </c>
      <c r="E332" s="5" t="s">
        <v>320</v>
      </c>
      <c r="F332" s="5" t="s">
        <v>206</v>
      </c>
      <c r="G332" s="15" t="n">
        <v>2.1733</v>
      </c>
      <c r="H332" s="15" t="n">
        <v>2.90975</v>
      </c>
      <c r="I332" s="15" t="n">
        <v>3.6462</v>
      </c>
      <c r="J332" s="5" t="s">
        <v>321</v>
      </c>
      <c r="K332" s="5" t="n">
        <v>2025</v>
      </c>
      <c r="L332" s="5" t="str">
        <f aca="false">IF(AND(K332&gt;=Hypothèses!$B$9,K332&lt;=Hypothèses!$B$10),"actuel",IF(K332=2030,"2030",IF(K332=2050,"2050","autre")))</f>
        <v>actuel</v>
      </c>
      <c r="M332" s="5"/>
      <c r="N332" s="5" t="s">
        <v>196</v>
      </c>
      <c r="O332" s="5"/>
      <c r="P332" s="5" t="s">
        <v>454</v>
      </c>
      <c r="Q332" s="5" t="s">
        <v>45</v>
      </c>
      <c r="R332" s="12" t="n">
        <f aca="false">INDEX(Hypothèses!$B$14:$B$17,MATCH(Q332,Hypothèses!$A$14:$A$17,0))</f>
        <v>1</v>
      </c>
      <c r="S332" s="15" t="n">
        <f aca="false">IF(G332="","",G332*R332)</f>
        <v>2.1733</v>
      </c>
      <c r="T332" s="15" t="n">
        <f aca="false">IF(H332="","",H332*R332)</f>
        <v>2.90975</v>
      </c>
      <c r="U332" s="15" t="n">
        <f aca="false">IF(I332="","",I332*R332)</f>
        <v>3.6462</v>
      </c>
      <c r="V332" s="5" t="s">
        <v>321</v>
      </c>
      <c r="W332" s="5" t="s">
        <v>70</v>
      </c>
      <c r="X332" s="5" t="s">
        <v>198</v>
      </c>
    </row>
    <row r="333" customFormat="false" ht="15" hidden="false" customHeight="false" outlineLevel="0" collapsed="false">
      <c r="A333" s="5" t="s">
        <v>552</v>
      </c>
      <c r="B333" s="5" t="s">
        <v>64</v>
      </c>
      <c r="C333" s="5" t="s">
        <v>92</v>
      </c>
      <c r="D333" s="5" t="s">
        <v>413</v>
      </c>
      <c r="E333" s="5" t="s">
        <v>320</v>
      </c>
      <c r="F333" s="5" t="s">
        <v>206</v>
      </c>
      <c r="G333" s="15"/>
      <c r="H333" s="15" t="n">
        <v>5.73916735743454</v>
      </c>
      <c r="I333" s="15"/>
      <c r="J333" s="5" t="s">
        <v>321</v>
      </c>
      <c r="K333" s="5" t="n">
        <v>2020</v>
      </c>
      <c r="L333" s="5" t="str">
        <f aca="false">IF(AND(K333&gt;=Hypothèses!$B$9,K333&lt;=Hypothèses!$B$10),"actuel",IF(K333=2030,"2030",IF(K333=2050,"2050","autre")))</f>
        <v>actuel</v>
      </c>
      <c r="M333" s="5"/>
      <c r="N333" s="5" t="s">
        <v>196</v>
      </c>
      <c r="O333" s="5"/>
      <c r="P333" s="5" t="s">
        <v>238</v>
      </c>
      <c r="Q333" s="5" t="s">
        <v>45</v>
      </c>
      <c r="R333" s="12" t="n">
        <f aca="false">INDEX(Hypothèses!$B$14:$B$17,MATCH(Q333,Hypothèses!$A$14:$A$17,0))</f>
        <v>1</v>
      </c>
      <c r="S333" s="15" t="str">
        <f aca="false">IF(G333="","",G333*R333)</f>
        <v/>
      </c>
      <c r="T333" s="15" t="n">
        <f aca="false">IF(H333="","",H333*R333)</f>
        <v>5.73916735743454</v>
      </c>
      <c r="U333" s="15" t="str">
        <f aca="false">IF(I333="","",I333*R333)</f>
        <v/>
      </c>
      <c r="V333" s="5" t="s">
        <v>321</v>
      </c>
      <c r="W333" s="5" t="s">
        <v>70</v>
      </c>
      <c r="X333" s="5" t="s">
        <v>198</v>
      </c>
    </row>
    <row r="334" customFormat="false" ht="15" hidden="false" customHeight="false" outlineLevel="0" collapsed="false">
      <c r="A334" s="5" t="s">
        <v>553</v>
      </c>
      <c r="B334" s="5" t="s">
        <v>64</v>
      </c>
      <c r="C334" s="5" t="s">
        <v>92</v>
      </c>
      <c r="D334" s="5" t="s">
        <v>413</v>
      </c>
      <c r="E334" s="5" t="s">
        <v>320</v>
      </c>
      <c r="F334" s="5" t="s">
        <v>206</v>
      </c>
      <c r="G334" s="15"/>
      <c r="H334" s="15" t="n">
        <v>2.91319642711291</v>
      </c>
      <c r="I334" s="15"/>
      <c r="J334" s="5" t="s">
        <v>321</v>
      </c>
      <c r="K334" s="5" t="n">
        <v>2025</v>
      </c>
      <c r="L334" s="5" t="str">
        <f aca="false">IF(AND(K334&gt;=Hypothèses!$B$9,K334&lt;=Hypothèses!$B$10),"actuel",IF(K334=2030,"2030",IF(K334=2050,"2050","autre")))</f>
        <v>actuel</v>
      </c>
      <c r="M334" s="5"/>
      <c r="N334" s="5" t="s">
        <v>196</v>
      </c>
      <c r="O334" s="5"/>
      <c r="P334" s="5" t="s">
        <v>238</v>
      </c>
      <c r="Q334" s="5" t="s">
        <v>45</v>
      </c>
      <c r="R334" s="12" t="n">
        <f aca="false">INDEX(Hypothèses!$B$14:$B$17,MATCH(Q334,Hypothèses!$A$14:$A$17,0))</f>
        <v>1</v>
      </c>
      <c r="S334" s="15" t="str">
        <f aca="false">IF(G334="","",G334*R334)</f>
        <v/>
      </c>
      <c r="T334" s="15" t="n">
        <f aca="false">IF(H334="","",H334*R334)</f>
        <v>2.91319642711291</v>
      </c>
      <c r="U334" s="15" t="str">
        <f aca="false">IF(I334="","",I334*R334)</f>
        <v/>
      </c>
      <c r="V334" s="5" t="s">
        <v>321</v>
      </c>
      <c r="W334" s="5" t="s">
        <v>70</v>
      </c>
      <c r="X334" s="5" t="s">
        <v>198</v>
      </c>
    </row>
    <row r="335" customFormat="false" ht="15" hidden="false" customHeight="false" outlineLevel="0" collapsed="false">
      <c r="A335" s="5" t="s">
        <v>554</v>
      </c>
      <c r="B335" s="5" t="s">
        <v>64</v>
      </c>
      <c r="C335" s="5" t="s">
        <v>92</v>
      </c>
      <c r="D335" s="5" t="s">
        <v>413</v>
      </c>
      <c r="E335" s="5" t="s">
        <v>320</v>
      </c>
      <c r="F335" s="5" t="s">
        <v>206</v>
      </c>
      <c r="G335" s="15"/>
      <c r="H335" s="15" t="n">
        <v>1.96556440304646</v>
      </c>
      <c r="I335" s="15"/>
      <c r="J335" s="5" t="s">
        <v>321</v>
      </c>
      <c r="K335" s="5" t="n">
        <v>2030</v>
      </c>
      <c r="L335" s="5" t="str">
        <f aca="false">IF(AND(K335&gt;=Hypothèses!$B$9,K335&lt;=Hypothèses!$B$10),"actuel",IF(K335=2030,"2030",IF(K335=2050,"2050","autre")))</f>
        <v>2030</v>
      </c>
      <c r="M335" s="5"/>
      <c r="N335" s="5" t="s">
        <v>196</v>
      </c>
      <c r="O335" s="5"/>
      <c r="P335" s="5" t="s">
        <v>238</v>
      </c>
      <c r="Q335" s="5" t="s">
        <v>45</v>
      </c>
      <c r="R335" s="12" t="n">
        <f aca="false">INDEX(Hypothèses!$B$14:$B$17,MATCH(Q335,Hypothèses!$A$14:$A$17,0))</f>
        <v>1</v>
      </c>
      <c r="S335" s="15" t="str">
        <f aca="false">IF(G335="","",G335*R335)</f>
        <v/>
      </c>
      <c r="T335" s="15" t="n">
        <f aca="false">IF(H335="","",H335*R335)</f>
        <v>1.96556440304646</v>
      </c>
      <c r="U335" s="15" t="str">
        <f aca="false">IF(I335="","",I335*R335)</f>
        <v/>
      </c>
      <c r="V335" s="5" t="s">
        <v>321</v>
      </c>
      <c r="W335" s="5" t="s">
        <v>70</v>
      </c>
      <c r="X335" s="5" t="s">
        <v>198</v>
      </c>
    </row>
    <row r="336" customFormat="false" ht="15" hidden="false" customHeight="false" outlineLevel="0" collapsed="false">
      <c r="A336" s="5" t="s">
        <v>555</v>
      </c>
      <c r="B336" s="5" t="s">
        <v>64</v>
      </c>
      <c r="C336" s="5" t="s">
        <v>92</v>
      </c>
      <c r="D336" s="5" t="s">
        <v>413</v>
      </c>
      <c r="E336" s="5" t="s">
        <v>320</v>
      </c>
      <c r="F336" s="5" t="s">
        <v>206</v>
      </c>
      <c r="G336" s="15"/>
      <c r="H336" s="15" t="n">
        <v>1.14981344681663</v>
      </c>
      <c r="I336" s="15"/>
      <c r="J336" s="5" t="s">
        <v>321</v>
      </c>
      <c r="K336" s="5" t="n">
        <v>2050</v>
      </c>
      <c r="L336" s="5" t="str">
        <f aca="false">IF(AND(K336&gt;=Hypothèses!$B$9,K336&lt;=Hypothèses!$B$10),"actuel",IF(K336=2030,"2030",IF(K336=2050,"2050","autre")))</f>
        <v>2050</v>
      </c>
      <c r="M336" s="5"/>
      <c r="N336" s="5" t="s">
        <v>196</v>
      </c>
      <c r="O336" s="5"/>
      <c r="P336" s="5" t="s">
        <v>238</v>
      </c>
      <c r="Q336" s="5" t="s">
        <v>45</v>
      </c>
      <c r="R336" s="12" t="n">
        <f aca="false">INDEX(Hypothèses!$B$14:$B$17,MATCH(Q336,Hypothèses!$A$14:$A$17,0))</f>
        <v>1</v>
      </c>
      <c r="S336" s="15" t="str">
        <f aca="false">IF(G336="","",G336*R336)</f>
        <v/>
      </c>
      <c r="T336" s="15" t="n">
        <f aca="false">IF(H336="","",H336*R336)</f>
        <v>1.14981344681663</v>
      </c>
      <c r="U336" s="15" t="str">
        <f aca="false">IF(I336="","",I336*R336)</f>
        <v/>
      </c>
      <c r="V336" s="5" t="s">
        <v>321</v>
      </c>
      <c r="W336" s="5" t="s">
        <v>70</v>
      </c>
      <c r="X336" s="5" t="s">
        <v>198</v>
      </c>
    </row>
    <row r="337" customFormat="false" ht="15" hidden="false" customHeight="false" outlineLevel="0" collapsed="false">
      <c r="A337" s="5" t="s">
        <v>556</v>
      </c>
      <c r="B337" s="5" t="s">
        <v>64</v>
      </c>
      <c r="C337" s="5" t="s">
        <v>94</v>
      </c>
      <c r="D337" s="5" t="s">
        <v>413</v>
      </c>
      <c r="E337" s="5" t="s">
        <v>320</v>
      </c>
      <c r="F337" s="5" t="s">
        <v>206</v>
      </c>
      <c r="G337" s="15" t="n">
        <v>9.97921442307692</v>
      </c>
      <c r="H337" s="15"/>
      <c r="I337" s="15"/>
      <c r="J337" s="5" t="s">
        <v>321</v>
      </c>
      <c r="K337" s="5" t="n">
        <v>2020</v>
      </c>
      <c r="L337" s="5" t="str">
        <f aca="false">IF(AND(K337&gt;=Hypothèses!$B$9,K337&lt;=Hypothèses!$B$10),"actuel",IF(K337=2030,"2030",IF(K337=2050,"2050","autre")))</f>
        <v>actuel</v>
      </c>
      <c r="M337" s="5"/>
      <c r="N337" s="5" t="s">
        <v>196</v>
      </c>
      <c r="O337" s="5"/>
      <c r="P337" s="5" t="s">
        <v>243</v>
      </c>
      <c r="Q337" s="5" t="s">
        <v>45</v>
      </c>
      <c r="R337" s="12" t="n">
        <f aca="false">INDEX(Hypothèses!$B$14:$B$17,MATCH(Q337,Hypothèses!$A$14:$A$17,0))</f>
        <v>1</v>
      </c>
      <c r="S337" s="15" t="n">
        <f aca="false">IF(G337="","",G337*R337)</f>
        <v>9.97921442307692</v>
      </c>
      <c r="T337" s="15" t="str">
        <f aca="false">IF(H337="","",H337*R337)</f>
        <v/>
      </c>
      <c r="U337" s="15" t="str">
        <f aca="false">IF(I337="","",I337*R337)</f>
        <v/>
      </c>
      <c r="V337" s="5" t="s">
        <v>321</v>
      </c>
      <c r="W337" s="5" t="s">
        <v>70</v>
      </c>
      <c r="X337" s="5" t="s">
        <v>198</v>
      </c>
    </row>
    <row r="338" customFormat="false" ht="15" hidden="false" customHeight="false" outlineLevel="0" collapsed="false">
      <c r="A338" s="5" t="s">
        <v>557</v>
      </c>
      <c r="B338" s="5" t="s">
        <v>64</v>
      </c>
      <c r="C338" s="5" t="s">
        <v>94</v>
      </c>
      <c r="D338" s="5" t="s">
        <v>413</v>
      </c>
      <c r="E338" s="5" t="s">
        <v>320</v>
      </c>
      <c r="F338" s="5" t="s">
        <v>206</v>
      </c>
      <c r="G338" s="15" t="n">
        <v>10.2690009615385</v>
      </c>
      <c r="H338" s="15"/>
      <c r="I338" s="15"/>
      <c r="J338" s="5" t="s">
        <v>321</v>
      </c>
      <c r="K338" s="5" t="n">
        <v>2025</v>
      </c>
      <c r="L338" s="5" t="str">
        <f aca="false">IF(AND(K338&gt;=Hypothèses!$B$9,K338&lt;=Hypothèses!$B$10),"actuel",IF(K338=2030,"2030",IF(K338=2050,"2050","autre")))</f>
        <v>actuel</v>
      </c>
      <c r="M338" s="5"/>
      <c r="N338" s="5" t="s">
        <v>196</v>
      </c>
      <c r="O338" s="5"/>
      <c r="P338" s="5" t="s">
        <v>243</v>
      </c>
      <c r="Q338" s="5" t="s">
        <v>45</v>
      </c>
      <c r="R338" s="12" t="n">
        <f aca="false">INDEX(Hypothèses!$B$14:$B$17,MATCH(Q338,Hypothèses!$A$14:$A$17,0))</f>
        <v>1</v>
      </c>
      <c r="S338" s="15" t="n">
        <f aca="false">IF(G338="","",G338*R338)</f>
        <v>10.2690009615385</v>
      </c>
      <c r="T338" s="15" t="str">
        <f aca="false">IF(H338="","",H338*R338)</f>
        <v/>
      </c>
      <c r="U338" s="15" t="str">
        <f aca="false">IF(I338="","",I338*R338)</f>
        <v/>
      </c>
      <c r="V338" s="5" t="s">
        <v>321</v>
      </c>
      <c r="W338" s="5" t="s">
        <v>70</v>
      </c>
      <c r="X338" s="5" t="s">
        <v>198</v>
      </c>
    </row>
    <row r="339" customFormat="false" ht="15" hidden="false" customHeight="false" outlineLevel="0" collapsed="false">
      <c r="A339" s="5" t="s">
        <v>558</v>
      </c>
      <c r="B339" s="5" t="s">
        <v>64</v>
      </c>
      <c r="C339" s="5" t="s">
        <v>94</v>
      </c>
      <c r="D339" s="5" t="s">
        <v>413</v>
      </c>
      <c r="E339" s="5" t="s">
        <v>320</v>
      </c>
      <c r="F339" s="5" t="s">
        <v>206</v>
      </c>
      <c r="G339" s="15" t="n">
        <v>10.2796971153846</v>
      </c>
      <c r="H339" s="15"/>
      <c r="I339" s="15"/>
      <c r="J339" s="5" t="s">
        <v>321</v>
      </c>
      <c r="K339" s="5" t="n">
        <v>2030</v>
      </c>
      <c r="L339" s="5" t="str">
        <f aca="false">IF(AND(K339&gt;=Hypothèses!$B$9,K339&lt;=Hypothèses!$B$10),"actuel",IF(K339=2030,"2030",IF(K339=2050,"2050","autre")))</f>
        <v>2030</v>
      </c>
      <c r="M339" s="5"/>
      <c r="N339" s="5" t="s">
        <v>196</v>
      </c>
      <c r="O339" s="5"/>
      <c r="P339" s="5" t="s">
        <v>243</v>
      </c>
      <c r="Q339" s="5" t="s">
        <v>45</v>
      </c>
      <c r="R339" s="12" t="n">
        <f aca="false">INDEX(Hypothèses!$B$14:$B$17,MATCH(Q339,Hypothèses!$A$14:$A$17,0))</f>
        <v>1</v>
      </c>
      <c r="S339" s="15" t="n">
        <f aca="false">IF(G339="","",G339*R339)</f>
        <v>10.2796971153846</v>
      </c>
      <c r="T339" s="15" t="str">
        <f aca="false">IF(H339="","",H339*R339)</f>
        <v/>
      </c>
      <c r="U339" s="15" t="str">
        <f aca="false">IF(I339="","",I339*R339)</f>
        <v/>
      </c>
      <c r="V339" s="5" t="s">
        <v>321</v>
      </c>
      <c r="W339" s="5" t="s">
        <v>70</v>
      </c>
      <c r="X339" s="5" t="s">
        <v>198</v>
      </c>
    </row>
    <row r="340" customFormat="false" ht="15" hidden="false" customHeight="false" outlineLevel="0" collapsed="false">
      <c r="A340" s="5" t="s">
        <v>559</v>
      </c>
      <c r="B340" s="5" t="s">
        <v>64</v>
      </c>
      <c r="C340" s="5" t="s">
        <v>94</v>
      </c>
      <c r="D340" s="5" t="s">
        <v>413</v>
      </c>
      <c r="E340" s="5" t="s">
        <v>320</v>
      </c>
      <c r="F340" s="5" t="s">
        <v>206</v>
      </c>
      <c r="G340" s="15" t="n">
        <v>10.1938307692308</v>
      </c>
      <c r="H340" s="15"/>
      <c r="I340" s="15"/>
      <c r="J340" s="5" t="s">
        <v>321</v>
      </c>
      <c r="K340" s="5" t="n">
        <v>2035</v>
      </c>
      <c r="L340" s="5" t="str">
        <f aca="false">IF(AND(K340&gt;=Hypothèses!$B$9,K340&lt;=Hypothèses!$B$10),"actuel",IF(K340=2030,"2030",IF(K340=2050,"2050","autre")))</f>
        <v>autre</v>
      </c>
      <c r="M340" s="5"/>
      <c r="N340" s="5" t="s">
        <v>196</v>
      </c>
      <c r="O340" s="5"/>
      <c r="P340" s="5" t="s">
        <v>243</v>
      </c>
      <c r="Q340" s="5" t="s">
        <v>45</v>
      </c>
      <c r="R340" s="12" t="n">
        <f aca="false">INDEX(Hypothèses!$B$14:$B$17,MATCH(Q340,Hypothèses!$A$14:$A$17,0))</f>
        <v>1</v>
      </c>
      <c r="S340" s="15" t="n">
        <f aca="false">IF(G340="","",G340*R340)</f>
        <v>10.1938307692308</v>
      </c>
      <c r="T340" s="15" t="str">
        <f aca="false">IF(H340="","",H340*R340)</f>
        <v/>
      </c>
      <c r="U340" s="15" t="str">
        <f aca="false">IF(I340="","",I340*R340)</f>
        <v/>
      </c>
      <c r="V340" s="5" t="s">
        <v>321</v>
      </c>
      <c r="W340" s="5" t="s">
        <v>70</v>
      </c>
      <c r="X340" s="5" t="s">
        <v>198</v>
      </c>
    </row>
    <row r="341" customFormat="false" ht="15" hidden="false" customHeight="false" outlineLevel="0" collapsed="false">
      <c r="A341" s="5" t="s">
        <v>560</v>
      </c>
      <c r="B341" s="5" t="s">
        <v>64</v>
      </c>
      <c r="C341" s="5" t="s">
        <v>94</v>
      </c>
      <c r="D341" s="5" t="s">
        <v>413</v>
      </c>
      <c r="E341" s="5" t="s">
        <v>320</v>
      </c>
      <c r="F341" s="5" t="s">
        <v>206</v>
      </c>
      <c r="G341" s="15" t="n">
        <v>9.93633076923077</v>
      </c>
      <c r="H341" s="15"/>
      <c r="I341" s="15"/>
      <c r="J341" s="5" t="s">
        <v>321</v>
      </c>
      <c r="K341" s="5" t="n">
        <v>2040</v>
      </c>
      <c r="L341" s="5" t="str">
        <f aca="false">IF(AND(K341&gt;=Hypothèses!$B$9,K341&lt;=Hypothèses!$B$10),"actuel",IF(K341=2030,"2030",IF(K341=2050,"2050","autre")))</f>
        <v>autre</v>
      </c>
      <c r="M341" s="5"/>
      <c r="N341" s="5" t="s">
        <v>196</v>
      </c>
      <c r="O341" s="5"/>
      <c r="P341" s="5" t="s">
        <v>243</v>
      </c>
      <c r="Q341" s="5" t="s">
        <v>45</v>
      </c>
      <c r="R341" s="12" t="n">
        <f aca="false">INDEX(Hypothèses!$B$14:$B$17,MATCH(Q341,Hypothèses!$A$14:$A$17,0))</f>
        <v>1</v>
      </c>
      <c r="S341" s="15" t="n">
        <f aca="false">IF(G341="","",G341*R341)</f>
        <v>9.93633076923077</v>
      </c>
      <c r="T341" s="15" t="str">
        <f aca="false">IF(H341="","",H341*R341)</f>
        <v/>
      </c>
      <c r="U341" s="15" t="str">
        <f aca="false">IF(I341="","",I341*R341)</f>
        <v/>
      </c>
      <c r="V341" s="5" t="s">
        <v>321</v>
      </c>
      <c r="W341" s="5" t="s">
        <v>70</v>
      </c>
      <c r="X341" s="5" t="s">
        <v>198</v>
      </c>
    </row>
    <row r="342" customFormat="false" ht="15" hidden="false" customHeight="false" outlineLevel="0" collapsed="false">
      <c r="A342" s="5" t="s">
        <v>561</v>
      </c>
      <c r="B342" s="5" t="s">
        <v>64</v>
      </c>
      <c r="C342" s="5" t="s">
        <v>94</v>
      </c>
      <c r="D342" s="5" t="s">
        <v>413</v>
      </c>
      <c r="E342" s="5" t="s">
        <v>320</v>
      </c>
      <c r="F342" s="5" t="s">
        <v>206</v>
      </c>
      <c r="G342" s="15" t="n">
        <v>9.61441615384616</v>
      </c>
      <c r="H342" s="15"/>
      <c r="I342" s="15"/>
      <c r="J342" s="5" t="s">
        <v>321</v>
      </c>
      <c r="K342" s="5" t="n">
        <v>2045</v>
      </c>
      <c r="L342" s="5" t="str">
        <f aca="false">IF(AND(K342&gt;=Hypothèses!$B$9,K342&lt;=Hypothèses!$B$10),"actuel",IF(K342=2030,"2030",IF(K342=2050,"2050","autre")))</f>
        <v>autre</v>
      </c>
      <c r="M342" s="5"/>
      <c r="N342" s="5" t="s">
        <v>196</v>
      </c>
      <c r="O342" s="5"/>
      <c r="P342" s="5" t="s">
        <v>243</v>
      </c>
      <c r="Q342" s="5" t="s">
        <v>45</v>
      </c>
      <c r="R342" s="12" t="n">
        <f aca="false">INDEX(Hypothèses!$B$14:$B$17,MATCH(Q342,Hypothèses!$A$14:$A$17,0))</f>
        <v>1</v>
      </c>
      <c r="S342" s="15" t="n">
        <f aca="false">IF(G342="","",G342*R342)</f>
        <v>9.61441615384616</v>
      </c>
      <c r="T342" s="15" t="str">
        <f aca="false">IF(H342="","",H342*R342)</f>
        <v/>
      </c>
      <c r="U342" s="15" t="str">
        <f aca="false">IF(I342="","",I342*R342)</f>
        <v/>
      </c>
      <c r="V342" s="5" t="s">
        <v>321</v>
      </c>
      <c r="W342" s="5" t="s">
        <v>70</v>
      </c>
      <c r="X342" s="5" t="s">
        <v>198</v>
      </c>
    </row>
    <row r="343" customFormat="false" ht="15" hidden="false" customHeight="false" outlineLevel="0" collapsed="false">
      <c r="A343" s="5" t="s">
        <v>562</v>
      </c>
      <c r="B343" s="5" t="s">
        <v>64</v>
      </c>
      <c r="C343" s="5" t="s">
        <v>94</v>
      </c>
      <c r="D343" s="5" t="s">
        <v>413</v>
      </c>
      <c r="E343" s="5" t="s">
        <v>320</v>
      </c>
      <c r="F343" s="5" t="s">
        <v>206</v>
      </c>
      <c r="G343" s="15" t="n">
        <v>9.33542480769231</v>
      </c>
      <c r="H343" s="15"/>
      <c r="I343" s="15"/>
      <c r="J343" s="5" t="s">
        <v>321</v>
      </c>
      <c r="K343" s="5" t="n">
        <v>2050</v>
      </c>
      <c r="L343" s="5" t="str">
        <f aca="false">IF(AND(K343&gt;=Hypothèses!$B$9,K343&lt;=Hypothèses!$B$10),"actuel",IF(K343=2030,"2030",IF(K343=2050,"2050","autre")))</f>
        <v>2050</v>
      </c>
      <c r="M343" s="5"/>
      <c r="N343" s="5" t="s">
        <v>196</v>
      </c>
      <c r="O343" s="5"/>
      <c r="P343" s="5" t="s">
        <v>243</v>
      </c>
      <c r="Q343" s="5" t="s">
        <v>45</v>
      </c>
      <c r="R343" s="12" t="n">
        <f aca="false">INDEX(Hypothèses!$B$14:$B$17,MATCH(Q343,Hypothèses!$A$14:$A$17,0))</f>
        <v>1</v>
      </c>
      <c r="S343" s="15" t="n">
        <f aca="false">IF(G343="","",G343*R343)</f>
        <v>9.33542480769231</v>
      </c>
      <c r="T343" s="15" t="str">
        <f aca="false">IF(H343="","",H343*R343)</f>
        <v/>
      </c>
      <c r="U343" s="15" t="str">
        <f aca="false">IF(I343="","",I343*R343)</f>
        <v/>
      </c>
      <c r="V343" s="5" t="s">
        <v>321</v>
      </c>
      <c r="W343" s="5" t="s">
        <v>70</v>
      </c>
      <c r="X343" s="5" t="s">
        <v>198</v>
      </c>
    </row>
    <row r="344" customFormat="false" ht="15" hidden="false" customHeight="false" outlineLevel="0" collapsed="false">
      <c r="A344" s="5" t="s">
        <v>563</v>
      </c>
      <c r="B344" s="5" t="s">
        <v>64</v>
      </c>
      <c r="C344" s="5" t="s">
        <v>96</v>
      </c>
      <c r="D344" s="5" t="s">
        <v>413</v>
      </c>
      <c r="E344" s="5" t="s">
        <v>320</v>
      </c>
      <c r="F344" s="5" t="s">
        <v>206</v>
      </c>
      <c r="G344" s="15" t="n">
        <v>31.8967741935484</v>
      </c>
      <c r="H344" s="15" t="n">
        <v>35.5516129032258</v>
      </c>
      <c r="I344" s="15" t="n">
        <v>39.2064516129032</v>
      </c>
      <c r="J344" s="5" t="s">
        <v>321</v>
      </c>
      <c r="K344" s="5" t="n">
        <v>2020</v>
      </c>
      <c r="L344" s="5" t="str">
        <f aca="false">IF(AND(K344&gt;=Hypothèses!$B$9,K344&lt;=Hypothèses!$B$10),"actuel",IF(K344=2030,"2030",IF(K344=2050,"2050","autre")))</f>
        <v>actuel</v>
      </c>
      <c r="M344" s="5"/>
      <c r="N344" s="5" t="s">
        <v>196</v>
      </c>
      <c r="O344" s="5"/>
      <c r="P344" s="5" t="s">
        <v>251</v>
      </c>
      <c r="Q344" s="5" t="s">
        <v>45</v>
      </c>
      <c r="R344" s="12" t="n">
        <f aca="false">INDEX(Hypothèses!$B$14:$B$17,MATCH(Q344,Hypothèses!$A$14:$A$17,0))</f>
        <v>1</v>
      </c>
      <c r="S344" s="15" t="n">
        <f aca="false">IF(G344="","",G344*R344)</f>
        <v>31.8967741935484</v>
      </c>
      <c r="T344" s="15" t="n">
        <f aca="false">IF(H344="","",H344*R344)</f>
        <v>35.5516129032258</v>
      </c>
      <c r="U344" s="15" t="n">
        <f aca="false">IF(I344="","",I344*R344)</f>
        <v>39.2064516129032</v>
      </c>
      <c r="V344" s="5" t="s">
        <v>321</v>
      </c>
      <c r="W344" s="5" t="s">
        <v>70</v>
      </c>
      <c r="X344" s="5" t="s">
        <v>198</v>
      </c>
    </row>
    <row r="345" customFormat="false" ht="15" hidden="false" customHeight="false" outlineLevel="0" collapsed="false">
      <c r="A345" s="5" t="s">
        <v>564</v>
      </c>
      <c r="B345" s="5" t="s">
        <v>64</v>
      </c>
      <c r="C345" s="5" t="s">
        <v>96</v>
      </c>
      <c r="D345" s="5" t="s">
        <v>413</v>
      </c>
      <c r="E345" s="5" t="s">
        <v>320</v>
      </c>
      <c r="F345" s="5" t="s">
        <v>206</v>
      </c>
      <c r="G345" s="15" t="n">
        <v>12.6258064516129</v>
      </c>
      <c r="H345" s="15" t="n">
        <v>13.2903225806452</v>
      </c>
      <c r="I345" s="15" t="n">
        <v>13.9548387096774</v>
      </c>
      <c r="J345" s="5" t="s">
        <v>321</v>
      </c>
      <c r="K345" s="5" t="n">
        <v>2030</v>
      </c>
      <c r="L345" s="5" t="str">
        <f aca="false">IF(AND(K345&gt;=Hypothèses!$B$9,K345&lt;=Hypothèses!$B$10),"actuel",IF(K345=2030,"2030",IF(K345=2050,"2050","autre")))</f>
        <v>2030</v>
      </c>
      <c r="M345" s="5"/>
      <c r="N345" s="5" t="s">
        <v>196</v>
      </c>
      <c r="O345" s="5"/>
      <c r="P345" s="5" t="s">
        <v>251</v>
      </c>
      <c r="Q345" s="5" t="s">
        <v>45</v>
      </c>
      <c r="R345" s="12" t="n">
        <f aca="false">INDEX(Hypothèses!$B$14:$B$17,MATCH(Q345,Hypothèses!$A$14:$A$17,0))</f>
        <v>1</v>
      </c>
      <c r="S345" s="15" t="n">
        <f aca="false">IF(G345="","",G345*R345)</f>
        <v>12.6258064516129</v>
      </c>
      <c r="T345" s="15" t="n">
        <f aca="false">IF(H345="","",H345*R345)</f>
        <v>13.2903225806452</v>
      </c>
      <c r="U345" s="15" t="n">
        <f aca="false">IF(I345="","",I345*R345)</f>
        <v>13.9548387096774</v>
      </c>
      <c r="V345" s="5" t="s">
        <v>321</v>
      </c>
      <c r="W345" s="5" t="s">
        <v>70</v>
      </c>
      <c r="X345" s="5" t="s">
        <v>198</v>
      </c>
    </row>
    <row r="346" customFormat="false" ht="15" hidden="false" customHeight="false" outlineLevel="0" collapsed="false">
      <c r="A346" s="5" t="s">
        <v>565</v>
      </c>
      <c r="B346" s="5" t="s">
        <v>64</v>
      </c>
      <c r="C346" s="5" t="s">
        <v>96</v>
      </c>
      <c r="D346" s="5" t="s">
        <v>413</v>
      </c>
      <c r="E346" s="5" t="s">
        <v>320</v>
      </c>
      <c r="F346" s="5" t="s">
        <v>206</v>
      </c>
      <c r="G346" s="15" t="n">
        <v>7.9741935483871</v>
      </c>
      <c r="H346" s="15" t="n">
        <v>9.30322580645161</v>
      </c>
      <c r="I346" s="15" t="n">
        <v>10.6322580645161</v>
      </c>
      <c r="J346" s="5" t="s">
        <v>321</v>
      </c>
      <c r="K346" s="5" t="n">
        <v>2040</v>
      </c>
      <c r="L346" s="5" t="str">
        <f aca="false">IF(AND(K346&gt;=Hypothèses!$B$9,K346&lt;=Hypothèses!$B$10),"actuel",IF(K346=2030,"2030",IF(K346=2050,"2050","autre")))</f>
        <v>autre</v>
      </c>
      <c r="M346" s="5"/>
      <c r="N346" s="5" t="s">
        <v>196</v>
      </c>
      <c r="O346" s="5"/>
      <c r="P346" s="5" t="s">
        <v>251</v>
      </c>
      <c r="Q346" s="5" t="s">
        <v>45</v>
      </c>
      <c r="R346" s="12" t="n">
        <f aca="false">INDEX(Hypothèses!$B$14:$B$17,MATCH(Q346,Hypothèses!$A$14:$A$17,0))</f>
        <v>1</v>
      </c>
      <c r="S346" s="15" t="n">
        <f aca="false">IF(G346="","",G346*R346)</f>
        <v>7.9741935483871</v>
      </c>
      <c r="T346" s="15" t="n">
        <f aca="false">IF(H346="","",H346*R346)</f>
        <v>9.30322580645161</v>
      </c>
      <c r="U346" s="15" t="n">
        <f aca="false">IF(I346="","",I346*R346)</f>
        <v>10.6322580645161</v>
      </c>
      <c r="V346" s="5" t="s">
        <v>321</v>
      </c>
      <c r="W346" s="5" t="s">
        <v>70</v>
      </c>
      <c r="X346" s="5" t="s">
        <v>198</v>
      </c>
    </row>
    <row r="347" customFormat="false" ht="15" hidden="false" customHeight="false" outlineLevel="0" collapsed="false">
      <c r="A347" s="5" t="s">
        <v>566</v>
      </c>
      <c r="B347" s="5" t="s">
        <v>64</v>
      </c>
      <c r="C347" s="5" t="s">
        <v>96</v>
      </c>
      <c r="D347" s="5" t="s">
        <v>413</v>
      </c>
      <c r="E347" s="5" t="s">
        <v>320</v>
      </c>
      <c r="F347" s="5" t="s">
        <v>206</v>
      </c>
      <c r="G347" s="15" t="n">
        <v>6.64516129032258</v>
      </c>
      <c r="H347" s="15" t="n">
        <v>7.9741935483871</v>
      </c>
      <c r="I347" s="15" t="n">
        <v>9.30322580645161</v>
      </c>
      <c r="J347" s="5" t="s">
        <v>321</v>
      </c>
      <c r="K347" s="5" t="n">
        <v>2050</v>
      </c>
      <c r="L347" s="5" t="str">
        <f aca="false">IF(AND(K347&gt;=Hypothèses!$B$9,K347&lt;=Hypothèses!$B$10),"actuel",IF(K347=2030,"2030",IF(K347=2050,"2050","autre")))</f>
        <v>2050</v>
      </c>
      <c r="M347" s="5"/>
      <c r="N347" s="5" t="s">
        <v>196</v>
      </c>
      <c r="O347" s="5"/>
      <c r="P347" s="5" t="s">
        <v>251</v>
      </c>
      <c r="Q347" s="5" t="s">
        <v>45</v>
      </c>
      <c r="R347" s="12" t="n">
        <f aca="false">INDEX(Hypothèses!$B$14:$B$17,MATCH(Q347,Hypothèses!$A$14:$A$17,0))</f>
        <v>1</v>
      </c>
      <c r="S347" s="15" t="n">
        <f aca="false">IF(G347="","",G347*R347)</f>
        <v>6.64516129032258</v>
      </c>
      <c r="T347" s="15" t="n">
        <f aca="false">IF(H347="","",H347*R347)</f>
        <v>7.9741935483871</v>
      </c>
      <c r="U347" s="15" t="n">
        <f aca="false">IF(I347="","",I347*R347)</f>
        <v>9.30322580645161</v>
      </c>
      <c r="V347" s="5" t="s">
        <v>321</v>
      </c>
      <c r="W347" s="5" t="s">
        <v>70</v>
      </c>
      <c r="X347" s="5" t="s">
        <v>198</v>
      </c>
    </row>
    <row r="348" customFormat="false" ht="15" hidden="false" customHeight="false" outlineLevel="0" collapsed="false">
      <c r="A348" s="5" t="s">
        <v>567</v>
      </c>
      <c r="B348" s="5" t="s">
        <v>64</v>
      </c>
      <c r="C348" s="5" t="s">
        <v>100</v>
      </c>
      <c r="D348" s="5" t="s">
        <v>413</v>
      </c>
      <c r="E348" s="5" t="s">
        <v>320</v>
      </c>
      <c r="F348" s="5" t="s">
        <v>206</v>
      </c>
      <c r="G348" s="15"/>
      <c r="H348" s="15" t="n">
        <v>5.2186701</v>
      </c>
      <c r="I348" s="15"/>
      <c r="J348" s="5" t="s">
        <v>321</v>
      </c>
      <c r="K348" s="5" t="n">
        <v>2020</v>
      </c>
      <c r="L348" s="5" t="str">
        <f aca="false">IF(AND(K348&gt;=Hypothèses!$B$9,K348&lt;=Hypothèses!$B$10),"actuel",IF(K348=2030,"2030",IF(K348=2050,"2050","autre")))</f>
        <v>actuel</v>
      </c>
      <c r="M348" s="5"/>
      <c r="N348" s="5" t="s">
        <v>196</v>
      </c>
      <c r="O348" s="5"/>
      <c r="P348" s="5" t="s">
        <v>283</v>
      </c>
      <c r="Q348" s="5" t="s">
        <v>45</v>
      </c>
      <c r="R348" s="12" t="n">
        <f aca="false">INDEX(Hypothèses!$B$14:$B$17,MATCH(Q348,Hypothèses!$A$14:$A$17,0))</f>
        <v>1</v>
      </c>
      <c r="S348" s="15" t="str">
        <f aca="false">IF(G348="","",G348*R348)</f>
        <v/>
      </c>
      <c r="T348" s="15" t="n">
        <f aca="false">IF(H348="","",H348*R348)</f>
        <v>5.2186701</v>
      </c>
      <c r="U348" s="15" t="str">
        <f aca="false">IF(I348="","",I348*R348)</f>
        <v/>
      </c>
      <c r="V348" s="5" t="s">
        <v>321</v>
      </c>
      <c r="W348" s="5" t="s">
        <v>70</v>
      </c>
      <c r="X348" s="5" t="s">
        <v>198</v>
      </c>
    </row>
    <row r="349" customFormat="false" ht="15" hidden="false" customHeight="false" outlineLevel="0" collapsed="false">
      <c r="A349" s="5" t="s">
        <v>568</v>
      </c>
      <c r="B349" s="5" t="s">
        <v>64</v>
      </c>
      <c r="C349" s="5" t="s">
        <v>100</v>
      </c>
      <c r="D349" s="5" t="s">
        <v>413</v>
      </c>
      <c r="E349" s="5" t="s">
        <v>320</v>
      </c>
      <c r="F349" s="5" t="s">
        <v>206</v>
      </c>
      <c r="G349" s="15"/>
      <c r="H349" s="15" t="n">
        <v>2.8290701</v>
      </c>
      <c r="I349" s="15"/>
      <c r="J349" s="5" t="s">
        <v>321</v>
      </c>
      <c r="K349" s="5" t="n">
        <v>2030</v>
      </c>
      <c r="L349" s="5" t="str">
        <f aca="false">IF(AND(K349&gt;=Hypothèses!$B$9,K349&lt;=Hypothèses!$B$10),"actuel",IF(K349=2030,"2030",IF(K349=2050,"2050","autre")))</f>
        <v>2030</v>
      </c>
      <c r="M349" s="5"/>
      <c r="N349" s="5" t="s">
        <v>196</v>
      </c>
      <c r="O349" s="5"/>
      <c r="P349" s="5" t="s">
        <v>283</v>
      </c>
      <c r="Q349" s="5" t="s">
        <v>45</v>
      </c>
      <c r="R349" s="12" t="n">
        <f aca="false">INDEX(Hypothèses!$B$14:$B$17,MATCH(Q349,Hypothèses!$A$14:$A$17,0))</f>
        <v>1</v>
      </c>
      <c r="S349" s="15" t="str">
        <f aca="false">IF(G349="","",G349*R349)</f>
        <v/>
      </c>
      <c r="T349" s="15" t="n">
        <f aca="false">IF(H349="","",H349*R349)</f>
        <v>2.8290701</v>
      </c>
      <c r="U349" s="15" t="str">
        <f aca="false">IF(I349="","",I349*R349)</f>
        <v/>
      </c>
      <c r="V349" s="5" t="s">
        <v>321</v>
      </c>
      <c r="W349" s="5" t="s">
        <v>70</v>
      </c>
      <c r="X349" s="5" t="s">
        <v>198</v>
      </c>
    </row>
    <row r="350" customFormat="false" ht="15" hidden="false" customHeight="false" outlineLevel="0" collapsed="false">
      <c r="A350" s="5" t="s">
        <v>569</v>
      </c>
      <c r="B350" s="5" t="s">
        <v>64</v>
      </c>
      <c r="C350" s="5" t="s">
        <v>100</v>
      </c>
      <c r="D350" s="5" t="s">
        <v>413</v>
      </c>
      <c r="E350" s="5" t="s">
        <v>320</v>
      </c>
      <c r="F350" s="5" t="s">
        <v>206</v>
      </c>
      <c r="G350" s="15"/>
      <c r="H350" s="15" t="n">
        <v>1.2909299</v>
      </c>
      <c r="I350" s="15"/>
      <c r="J350" s="5" t="s">
        <v>321</v>
      </c>
      <c r="K350" s="5" t="n">
        <v>2050</v>
      </c>
      <c r="L350" s="5" t="str">
        <f aca="false">IF(AND(K350&gt;=Hypothèses!$B$9,K350&lt;=Hypothèses!$B$10),"actuel",IF(K350=2030,"2030",IF(K350=2050,"2050","autre")))</f>
        <v>2050</v>
      </c>
      <c r="M350" s="5"/>
      <c r="N350" s="5" t="s">
        <v>196</v>
      </c>
      <c r="O350" s="5"/>
      <c r="P350" s="5" t="s">
        <v>283</v>
      </c>
      <c r="Q350" s="5" t="s">
        <v>45</v>
      </c>
      <c r="R350" s="12" t="n">
        <f aca="false">INDEX(Hypothèses!$B$14:$B$17,MATCH(Q350,Hypothèses!$A$14:$A$17,0))</f>
        <v>1</v>
      </c>
      <c r="S350" s="15" t="str">
        <f aca="false">IF(G350="","",G350*R350)</f>
        <v/>
      </c>
      <c r="T350" s="15" t="n">
        <f aca="false">IF(H350="","",H350*R350)</f>
        <v>1.2909299</v>
      </c>
      <c r="U350" s="15" t="str">
        <f aca="false">IF(I350="","",I350*R350)</f>
        <v/>
      </c>
      <c r="V350" s="5" t="s">
        <v>321</v>
      </c>
      <c r="W350" s="5" t="s">
        <v>70</v>
      </c>
      <c r="X350" s="5" t="s">
        <v>198</v>
      </c>
    </row>
    <row r="351" customFormat="false" ht="15" hidden="false" customHeight="false" outlineLevel="0" collapsed="false">
      <c r="A351" s="5" t="s">
        <v>570</v>
      </c>
      <c r="B351" s="5" t="s">
        <v>64</v>
      </c>
      <c r="C351" s="5" t="s">
        <v>102</v>
      </c>
      <c r="D351" s="5" t="s">
        <v>413</v>
      </c>
      <c r="E351" s="5" t="s">
        <v>320</v>
      </c>
      <c r="F351" s="5" t="s">
        <v>206</v>
      </c>
      <c r="G351" s="15" t="n">
        <v>2.369</v>
      </c>
      <c r="H351" s="15" t="n">
        <v>3.1415</v>
      </c>
      <c r="I351" s="15" t="n">
        <v>3.914</v>
      </c>
      <c r="J351" s="5" t="s">
        <v>321</v>
      </c>
      <c r="K351" s="5" t="n">
        <v>2020</v>
      </c>
      <c r="L351" s="5" t="str">
        <f aca="false">IF(AND(K351&gt;=Hypothèses!$B$9,K351&lt;=Hypothèses!$B$10),"actuel",IF(K351=2030,"2030",IF(K351=2050,"2050","autre")))</f>
        <v>actuel</v>
      </c>
      <c r="M351" s="5"/>
      <c r="N351" s="5" t="s">
        <v>196</v>
      </c>
      <c r="O351" s="5"/>
      <c r="P351" s="5" t="s">
        <v>230</v>
      </c>
      <c r="Q351" s="5" t="s">
        <v>45</v>
      </c>
      <c r="R351" s="12" t="n">
        <f aca="false">INDEX(Hypothèses!$B$14:$B$17,MATCH(Q351,Hypothèses!$A$14:$A$17,0))</f>
        <v>1</v>
      </c>
      <c r="S351" s="15" t="n">
        <f aca="false">IF(G351="","",G351*R351)</f>
        <v>2.369</v>
      </c>
      <c r="T351" s="15" t="n">
        <f aca="false">IF(H351="","",H351*R351)</f>
        <v>3.1415</v>
      </c>
      <c r="U351" s="15" t="n">
        <f aca="false">IF(I351="","",I351*R351)</f>
        <v>3.914</v>
      </c>
      <c r="V351" s="5" t="s">
        <v>321</v>
      </c>
      <c r="W351" s="5" t="s">
        <v>70</v>
      </c>
      <c r="X351" s="5" t="s">
        <v>198</v>
      </c>
    </row>
    <row r="352" customFormat="false" ht="15" hidden="false" customHeight="false" outlineLevel="0" collapsed="false">
      <c r="A352" s="5" t="s">
        <v>571</v>
      </c>
      <c r="B352" s="5" t="s">
        <v>64</v>
      </c>
      <c r="C352" s="5" t="s">
        <v>102</v>
      </c>
      <c r="D352" s="5" t="s">
        <v>413</v>
      </c>
      <c r="E352" s="5" t="s">
        <v>320</v>
      </c>
      <c r="F352" s="5" t="s">
        <v>206</v>
      </c>
      <c r="G352" s="15" t="n">
        <v>1.442</v>
      </c>
      <c r="H352" s="15" t="n">
        <v>1.648</v>
      </c>
      <c r="I352" s="15" t="n">
        <v>1.854</v>
      </c>
      <c r="J352" s="5" t="s">
        <v>321</v>
      </c>
      <c r="K352" s="5" t="n">
        <v>2030</v>
      </c>
      <c r="L352" s="5" t="str">
        <f aca="false">IF(AND(K352&gt;=Hypothèses!$B$9,K352&lt;=Hypothèses!$B$10),"actuel",IF(K352=2030,"2030",IF(K352=2050,"2050","autre")))</f>
        <v>2030</v>
      </c>
      <c r="M352" s="5"/>
      <c r="N352" s="5" t="s">
        <v>196</v>
      </c>
      <c r="O352" s="5"/>
      <c r="P352" s="5" t="s">
        <v>230</v>
      </c>
      <c r="Q352" s="5" t="s">
        <v>45</v>
      </c>
      <c r="R352" s="12" t="n">
        <f aca="false">INDEX(Hypothèses!$B$14:$B$17,MATCH(Q352,Hypothèses!$A$14:$A$17,0))</f>
        <v>1</v>
      </c>
      <c r="S352" s="15" t="n">
        <f aca="false">IF(G352="","",G352*R352)</f>
        <v>1.442</v>
      </c>
      <c r="T352" s="15" t="n">
        <f aca="false">IF(H352="","",H352*R352)</f>
        <v>1.648</v>
      </c>
      <c r="U352" s="15" t="n">
        <f aca="false">IF(I352="","",I352*R352)</f>
        <v>1.854</v>
      </c>
      <c r="V352" s="5" t="s">
        <v>321</v>
      </c>
      <c r="W352" s="5" t="s">
        <v>70</v>
      </c>
      <c r="X352" s="5" t="s">
        <v>198</v>
      </c>
    </row>
    <row r="353" customFormat="false" ht="15" hidden="false" customHeight="false" outlineLevel="0" collapsed="false">
      <c r="A353" s="5" t="s">
        <v>572</v>
      </c>
      <c r="B353" s="5" t="s">
        <v>64</v>
      </c>
      <c r="C353" s="5" t="s">
        <v>102</v>
      </c>
      <c r="D353" s="5" t="s">
        <v>413</v>
      </c>
      <c r="E353" s="5" t="s">
        <v>320</v>
      </c>
      <c r="F353" s="5" t="s">
        <v>206</v>
      </c>
      <c r="G353" s="15" t="n">
        <v>0.721</v>
      </c>
      <c r="H353" s="15" t="n">
        <v>0.824</v>
      </c>
      <c r="I353" s="15" t="n">
        <v>0.927</v>
      </c>
      <c r="J353" s="5" t="s">
        <v>321</v>
      </c>
      <c r="K353" s="5" t="n">
        <v>2050</v>
      </c>
      <c r="L353" s="5" t="str">
        <f aca="false">IF(AND(K353&gt;=Hypothèses!$B$9,K353&lt;=Hypothèses!$B$10),"actuel",IF(K353=2030,"2030",IF(K353=2050,"2050","autre")))</f>
        <v>2050</v>
      </c>
      <c r="M353" s="5"/>
      <c r="N353" s="5" t="s">
        <v>196</v>
      </c>
      <c r="O353" s="5"/>
      <c r="P353" s="5" t="s">
        <v>230</v>
      </c>
      <c r="Q353" s="5" t="s">
        <v>45</v>
      </c>
      <c r="R353" s="12" t="n">
        <f aca="false">INDEX(Hypothèses!$B$14:$B$17,MATCH(Q353,Hypothèses!$A$14:$A$17,0))</f>
        <v>1</v>
      </c>
      <c r="S353" s="15" t="n">
        <f aca="false">IF(G353="","",G353*R353)</f>
        <v>0.721</v>
      </c>
      <c r="T353" s="15" t="n">
        <f aca="false">IF(H353="","",H353*R353)</f>
        <v>0.824</v>
      </c>
      <c r="U353" s="15" t="n">
        <f aca="false">IF(I353="","",I353*R353)</f>
        <v>0.927</v>
      </c>
      <c r="V353" s="5" t="s">
        <v>321</v>
      </c>
      <c r="W353" s="5" t="s">
        <v>70</v>
      </c>
      <c r="X353" s="5" t="s">
        <v>198</v>
      </c>
    </row>
    <row r="354" customFormat="false" ht="15" hidden="false" customHeight="false" outlineLevel="0" collapsed="false">
      <c r="A354" s="5" t="s">
        <v>573</v>
      </c>
      <c r="B354" s="5" t="s">
        <v>64</v>
      </c>
      <c r="C354" s="5" t="s">
        <v>120</v>
      </c>
      <c r="D354" s="5" t="s">
        <v>413</v>
      </c>
      <c r="E354" s="5" t="s">
        <v>320</v>
      </c>
      <c r="F354" s="5" t="s">
        <v>206</v>
      </c>
      <c r="G354" s="15" t="n">
        <v>2.7501</v>
      </c>
      <c r="H354" s="15" t="n">
        <v>5.05215</v>
      </c>
      <c r="I354" s="15" t="n">
        <v>7.4366</v>
      </c>
      <c r="J354" s="5" t="s">
        <v>321</v>
      </c>
      <c r="K354" s="5" t="n">
        <v>2019</v>
      </c>
      <c r="L354" s="5" t="str">
        <f aca="false">IF(AND(K354&gt;=Hypothèses!$B$9,K354&lt;=Hypothèses!$B$10),"actuel",IF(K354=2030,"2030",IF(K354=2050,"2050","autre")))</f>
        <v>autre</v>
      </c>
      <c r="M354" s="5"/>
      <c r="N354" s="5" t="s">
        <v>196</v>
      </c>
      <c r="O354" s="5"/>
      <c r="P354" s="5" t="s">
        <v>506</v>
      </c>
      <c r="Q354" s="5" t="s">
        <v>45</v>
      </c>
      <c r="R354" s="12" t="n">
        <f aca="false">INDEX(Hypothèses!$B$14:$B$17,MATCH(Q354,Hypothèses!$A$14:$A$17,0))</f>
        <v>1</v>
      </c>
      <c r="S354" s="15" t="n">
        <f aca="false">IF(G354="","",G354*R354)</f>
        <v>2.7501</v>
      </c>
      <c r="T354" s="15" t="n">
        <f aca="false">IF(H354="","",H354*R354)</f>
        <v>5.05215</v>
      </c>
      <c r="U354" s="15" t="n">
        <f aca="false">IF(I354="","",I354*R354)</f>
        <v>7.4366</v>
      </c>
      <c r="V354" s="5" t="s">
        <v>321</v>
      </c>
      <c r="W354" s="5" t="s">
        <v>70</v>
      </c>
      <c r="X354" s="5" t="s">
        <v>198</v>
      </c>
    </row>
    <row r="355" customFormat="false" ht="15" hidden="false" customHeight="false" outlineLevel="0" collapsed="false">
      <c r="A355" s="5" t="s">
        <v>574</v>
      </c>
      <c r="B355" s="5" t="s">
        <v>64</v>
      </c>
      <c r="C355" s="5" t="s">
        <v>120</v>
      </c>
      <c r="D355" s="5" t="s">
        <v>413</v>
      </c>
      <c r="E355" s="5" t="s">
        <v>320</v>
      </c>
      <c r="F355" s="5" t="s">
        <v>206</v>
      </c>
      <c r="G355" s="15" t="n">
        <v>2.2248</v>
      </c>
      <c r="H355" s="15" t="n">
        <v>4.6144</v>
      </c>
      <c r="I355" s="15" t="n">
        <v>6.3242</v>
      </c>
      <c r="J355" s="5" t="s">
        <v>321</v>
      </c>
      <c r="K355" s="5" t="n">
        <v>2035</v>
      </c>
      <c r="L355" s="5" t="str">
        <f aca="false">IF(AND(K355&gt;=Hypothèses!$B$9,K355&lt;=Hypothèses!$B$10),"actuel",IF(K355=2030,"2030",IF(K355=2050,"2050","autre")))</f>
        <v>autre</v>
      </c>
      <c r="M355" s="5"/>
      <c r="N355" s="5" t="s">
        <v>196</v>
      </c>
      <c r="O355" s="5"/>
      <c r="P355" s="5" t="s">
        <v>506</v>
      </c>
      <c r="Q355" s="5" t="s">
        <v>45</v>
      </c>
      <c r="R355" s="12" t="n">
        <f aca="false">INDEX(Hypothèses!$B$14:$B$17,MATCH(Q355,Hypothèses!$A$14:$A$17,0))</f>
        <v>1</v>
      </c>
      <c r="S355" s="15" t="n">
        <f aca="false">IF(G355="","",G355*R355)</f>
        <v>2.2248</v>
      </c>
      <c r="T355" s="15" t="n">
        <f aca="false">IF(H355="","",H355*R355)</f>
        <v>4.6144</v>
      </c>
      <c r="U355" s="15" t="n">
        <f aca="false">IF(I355="","",I355*R355)</f>
        <v>6.3242</v>
      </c>
      <c r="V355" s="5" t="s">
        <v>321</v>
      </c>
      <c r="W355" s="5" t="s">
        <v>70</v>
      </c>
      <c r="X355" s="5" t="s">
        <v>198</v>
      </c>
    </row>
    <row r="356" customFormat="false" ht="15" hidden="false" customHeight="false" outlineLevel="0" collapsed="false">
      <c r="A356" s="5" t="s">
        <v>575</v>
      </c>
      <c r="B356" s="5" t="s">
        <v>64</v>
      </c>
      <c r="C356" s="5" t="s">
        <v>124</v>
      </c>
      <c r="D356" s="5" t="s">
        <v>413</v>
      </c>
      <c r="E356" s="5" t="s">
        <v>320</v>
      </c>
      <c r="F356" s="5" t="s">
        <v>206</v>
      </c>
      <c r="G356" s="15"/>
      <c r="H356" s="15" t="n">
        <v>10.698404</v>
      </c>
      <c r="I356" s="15"/>
      <c r="J356" s="5" t="s">
        <v>321</v>
      </c>
      <c r="K356" s="5" t="n">
        <v>2020</v>
      </c>
      <c r="L356" s="5" t="str">
        <f aca="false">IF(AND(K356&gt;=Hypothèses!$B$9,K356&lt;=Hypothèses!$B$10),"actuel",IF(K356=2030,"2030",IF(K356=2050,"2050","autre")))</f>
        <v>actuel</v>
      </c>
      <c r="M356" s="5"/>
      <c r="N356" s="5" t="s">
        <v>196</v>
      </c>
      <c r="O356" s="5"/>
      <c r="P356" s="5" t="s">
        <v>207</v>
      </c>
      <c r="Q356" s="5" t="s">
        <v>45</v>
      </c>
      <c r="R356" s="12" t="n">
        <f aca="false">INDEX(Hypothèses!$B$14:$B$17,MATCH(Q356,Hypothèses!$A$14:$A$17,0))</f>
        <v>1</v>
      </c>
      <c r="S356" s="15" t="str">
        <f aca="false">IF(G356="","",G356*R356)</f>
        <v/>
      </c>
      <c r="T356" s="15" t="n">
        <f aca="false">IF(H356="","",H356*R356)</f>
        <v>10.698404</v>
      </c>
      <c r="U356" s="15" t="str">
        <f aca="false">IF(I356="","",I356*R356)</f>
        <v/>
      </c>
      <c r="V356" s="5" t="s">
        <v>321</v>
      </c>
      <c r="W356" s="5" t="s">
        <v>70</v>
      </c>
      <c r="X356" s="5" t="s">
        <v>198</v>
      </c>
    </row>
    <row r="357" customFormat="false" ht="15" hidden="false" customHeight="false" outlineLevel="0" collapsed="false">
      <c r="A357" s="5" t="s">
        <v>576</v>
      </c>
      <c r="B357" s="5" t="s">
        <v>64</v>
      </c>
      <c r="C357" s="5" t="s">
        <v>124</v>
      </c>
      <c r="D357" s="5" t="s">
        <v>413</v>
      </c>
      <c r="E357" s="5" t="s">
        <v>320</v>
      </c>
      <c r="F357" s="5" t="s">
        <v>206</v>
      </c>
      <c r="G357" s="15"/>
      <c r="H357" s="15" t="n">
        <v>9.211702</v>
      </c>
      <c r="I357" s="15"/>
      <c r="J357" s="5" t="s">
        <v>321</v>
      </c>
      <c r="K357" s="5" t="n">
        <v>2025</v>
      </c>
      <c r="L357" s="5" t="str">
        <f aca="false">IF(AND(K357&gt;=Hypothèses!$B$9,K357&lt;=Hypothèses!$B$10),"actuel",IF(K357=2030,"2030",IF(K357=2050,"2050","autre")))</f>
        <v>actuel</v>
      </c>
      <c r="M357" s="5"/>
      <c r="N357" s="5" t="s">
        <v>196</v>
      </c>
      <c r="O357" s="5"/>
      <c r="P357" s="5" t="s">
        <v>207</v>
      </c>
      <c r="Q357" s="5" t="s">
        <v>45</v>
      </c>
      <c r="R357" s="12" t="n">
        <f aca="false">INDEX(Hypothèses!$B$14:$B$17,MATCH(Q357,Hypothèses!$A$14:$A$17,0))</f>
        <v>1</v>
      </c>
      <c r="S357" s="15" t="str">
        <f aca="false">IF(G357="","",G357*R357)</f>
        <v/>
      </c>
      <c r="T357" s="15" t="n">
        <f aca="false">IF(H357="","",H357*R357)</f>
        <v>9.211702</v>
      </c>
      <c r="U357" s="15" t="str">
        <f aca="false">IF(I357="","",I357*R357)</f>
        <v/>
      </c>
      <c r="V357" s="5" t="s">
        <v>321</v>
      </c>
      <c r="W357" s="5" t="s">
        <v>70</v>
      </c>
      <c r="X357" s="5" t="s">
        <v>198</v>
      </c>
    </row>
    <row r="358" customFormat="false" ht="15" hidden="false" customHeight="false" outlineLevel="0" collapsed="false">
      <c r="A358" s="5" t="s">
        <v>577</v>
      </c>
      <c r="B358" s="5" t="s">
        <v>64</v>
      </c>
      <c r="C358" s="5" t="s">
        <v>124</v>
      </c>
      <c r="D358" s="5" t="s">
        <v>413</v>
      </c>
      <c r="E358" s="5" t="s">
        <v>320</v>
      </c>
      <c r="F358" s="5" t="s">
        <v>206</v>
      </c>
      <c r="G358" s="15"/>
      <c r="H358" s="15" t="n">
        <v>7.8999043</v>
      </c>
      <c r="I358" s="15"/>
      <c r="J358" s="5" t="s">
        <v>321</v>
      </c>
      <c r="K358" s="5" t="n">
        <v>2030</v>
      </c>
      <c r="L358" s="5" t="str">
        <f aca="false">IF(AND(K358&gt;=Hypothèses!$B$9,K358&lt;=Hypothèses!$B$10),"actuel",IF(K358=2030,"2030",IF(K358=2050,"2050","autre")))</f>
        <v>2030</v>
      </c>
      <c r="M358" s="5"/>
      <c r="N358" s="5" t="s">
        <v>196</v>
      </c>
      <c r="O358" s="5"/>
      <c r="P358" s="5" t="s">
        <v>207</v>
      </c>
      <c r="Q358" s="5" t="s">
        <v>45</v>
      </c>
      <c r="R358" s="12" t="n">
        <f aca="false">INDEX(Hypothèses!$B$14:$B$17,MATCH(Q358,Hypothèses!$A$14:$A$17,0))</f>
        <v>1</v>
      </c>
      <c r="S358" s="15" t="str">
        <f aca="false">IF(G358="","",G358*R358)</f>
        <v/>
      </c>
      <c r="T358" s="15" t="n">
        <f aca="false">IF(H358="","",H358*R358)</f>
        <v>7.8999043</v>
      </c>
      <c r="U358" s="15" t="str">
        <f aca="false">IF(I358="","",I358*R358)</f>
        <v/>
      </c>
      <c r="V358" s="5" t="s">
        <v>321</v>
      </c>
      <c r="W358" s="5" t="s">
        <v>70</v>
      </c>
      <c r="X358" s="5" t="s">
        <v>198</v>
      </c>
    </row>
    <row r="359" customFormat="false" ht="15" hidden="false" customHeight="false" outlineLevel="0" collapsed="false">
      <c r="A359" s="5" t="s">
        <v>578</v>
      </c>
      <c r="B359" s="5" t="s">
        <v>64</v>
      </c>
      <c r="C359" s="5" t="s">
        <v>124</v>
      </c>
      <c r="D359" s="5" t="s">
        <v>413</v>
      </c>
      <c r="E359" s="5" t="s">
        <v>320</v>
      </c>
      <c r="F359" s="5" t="s">
        <v>206</v>
      </c>
      <c r="G359" s="15"/>
      <c r="H359" s="15" t="n">
        <v>7.4334894</v>
      </c>
      <c r="I359" s="15"/>
      <c r="J359" s="5" t="s">
        <v>321</v>
      </c>
      <c r="K359" s="5" t="n">
        <v>2035</v>
      </c>
      <c r="L359" s="5" t="str">
        <f aca="false">IF(AND(K359&gt;=Hypothèses!$B$9,K359&lt;=Hypothèses!$B$10),"actuel",IF(K359=2030,"2030",IF(K359=2050,"2050","autre")))</f>
        <v>autre</v>
      </c>
      <c r="M359" s="5"/>
      <c r="N359" s="5" t="s">
        <v>196</v>
      </c>
      <c r="O359" s="5"/>
      <c r="P359" s="5" t="s">
        <v>207</v>
      </c>
      <c r="Q359" s="5" t="s">
        <v>45</v>
      </c>
      <c r="R359" s="12" t="n">
        <f aca="false">INDEX(Hypothèses!$B$14:$B$17,MATCH(Q359,Hypothèses!$A$14:$A$17,0))</f>
        <v>1</v>
      </c>
      <c r="S359" s="15" t="str">
        <f aca="false">IF(G359="","",G359*R359)</f>
        <v/>
      </c>
      <c r="T359" s="15" t="n">
        <f aca="false">IF(H359="","",H359*R359)</f>
        <v>7.4334894</v>
      </c>
      <c r="U359" s="15" t="str">
        <f aca="false">IF(I359="","",I359*R359)</f>
        <v/>
      </c>
      <c r="V359" s="5" t="s">
        <v>321</v>
      </c>
      <c r="W359" s="5" t="s">
        <v>70</v>
      </c>
      <c r="X359" s="5" t="s">
        <v>198</v>
      </c>
    </row>
    <row r="360" customFormat="false" ht="15" hidden="false" customHeight="false" outlineLevel="0" collapsed="false">
      <c r="A360" s="5" t="s">
        <v>579</v>
      </c>
      <c r="B360" s="5" t="s">
        <v>64</v>
      </c>
      <c r="C360" s="5" t="s">
        <v>124</v>
      </c>
      <c r="D360" s="5" t="s">
        <v>413</v>
      </c>
      <c r="E360" s="5" t="s">
        <v>320</v>
      </c>
      <c r="F360" s="5" t="s">
        <v>206</v>
      </c>
      <c r="G360" s="15"/>
      <c r="H360" s="15" t="n">
        <v>6.9379255</v>
      </c>
      <c r="I360" s="15"/>
      <c r="J360" s="5" t="s">
        <v>321</v>
      </c>
      <c r="K360" s="5" t="n">
        <v>2040</v>
      </c>
      <c r="L360" s="5" t="str">
        <f aca="false">IF(AND(K360&gt;=Hypothèses!$B$9,K360&lt;=Hypothèses!$B$10),"actuel",IF(K360=2030,"2030",IF(K360=2050,"2050","autre")))</f>
        <v>autre</v>
      </c>
      <c r="M360" s="5"/>
      <c r="N360" s="5" t="s">
        <v>196</v>
      </c>
      <c r="O360" s="5"/>
      <c r="P360" s="5" t="s">
        <v>207</v>
      </c>
      <c r="Q360" s="5" t="s">
        <v>45</v>
      </c>
      <c r="R360" s="12" t="n">
        <f aca="false">INDEX(Hypothèses!$B$14:$B$17,MATCH(Q360,Hypothèses!$A$14:$A$17,0))</f>
        <v>1</v>
      </c>
      <c r="S360" s="15" t="str">
        <f aca="false">IF(G360="","",G360*R360)</f>
        <v/>
      </c>
      <c r="T360" s="15" t="n">
        <f aca="false">IF(H360="","",H360*R360)</f>
        <v>6.9379255</v>
      </c>
      <c r="U360" s="15" t="str">
        <f aca="false">IF(I360="","",I360*R360)</f>
        <v/>
      </c>
      <c r="V360" s="5" t="s">
        <v>321</v>
      </c>
      <c r="W360" s="5" t="s">
        <v>70</v>
      </c>
      <c r="X360" s="5" t="s">
        <v>198</v>
      </c>
    </row>
    <row r="361" customFormat="false" ht="15" hidden="false" customHeight="false" outlineLevel="0" collapsed="false">
      <c r="A361" s="5" t="s">
        <v>580</v>
      </c>
      <c r="B361" s="5" t="s">
        <v>64</v>
      </c>
      <c r="C361" s="5" t="s">
        <v>126</v>
      </c>
      <c r="D361" s="5" t="s">
        <v>413</v>
      </c>
      <c r="E361" s="5" t="s">
        <v>320</v>
      </c>
      <c r="F361" s="5" t="s">
        <v>206</v>
      </c>
      <c r="G361" s="15"/>
      <c r="H361" s="15" t="n">
        <v>10.931596</v>
      </c>
      <c r="I361" s="15"/>
      <c r="J361" s="5" t="s">
        <v>321</v>
      </c>
      <c r="K361" s="5" t="n">
        <v>2020</v>
      </c>
      <c r="L361" s="5" t="str">
        <f aca="false">IF(AND(K361&gt;=Hypothèses!$B$9,K361&lt;=Hypothèses!$B$10),"actuel",IF(K361=2030,"2030",IF(K361=2050,"2050","autre")))</f>
        <v>actuel</v>
      </c>
      <c r="M361" s="5"/>
      <c r="N361" s="5" t="s">
        <v>196</v>
      </c>
      <c r="O361" s="5"/>
      <c r="P361" s="5" t="s">
        <v>316</v>
      </c>
      <c r="Q361" s="5" t="s">
        <v>45</v>
      </c>
      <c r="R361" s="12" t="n">
        <f aca="false">INDEX(Hypothèses!$B$14:$B$17,MATCH(Q361,Hypothèses!$A$14:$A$17,0))</f>
        <v>1</v>
      </c>
      <c r="S361" s="15" t="str">
        <f aca="false">IF(G361="","",G361*R361)</f>
        <v/>
      </c>
      <c r="T361" s="15" t="n">
        <f aca="false">IF(H361="","",H361*R361)</f>
        <v>10.931596</v>
      </c>
      <c r="U361" s="15" t="str">
        <f aca="false">IF(I361="","",I361*R361)</f>
        <v/>
      </c>
      <c r="V361" s="5" t="s">
        <v>321</v>
      </c>
      <c r="W361" s="5" t="s">
        <v>70</v>
      </c>
      <c r="X361" s="5" t="s">
        <v>198</v>
      </c>
    </row>
    <row r="362" customFormat="false" ht="15" hidden="false" customHeight="false" outlineLevel="0" collapsed="false">
      <c r="A362" s="5" t="s">
        <v>581</v>
      </c>
      <c r="B362" s="5" t="s">
        <v>64</v>
      </c>
      <c r="C362" s="5" t="s">
        <v>126</v>
      </c>
      <c r="D362" s="5" t="s">
        <v>413</v>
      </c>
      <c r="E362" s="5" t="s">
        <v>320</v>
      </c>
      <c r="F362" s="5" t="s">
        <v>206</v>
      </c>
      <c r="G362" s="15"/>
      <c r="H362" s="15" t="n">
        <v>9.5323616</v>
      </c>
      <c r="I362" s="15"/>
      <c r="J362" s="5" t="s">
        <v>321</v>
      </c>
      <c r="K362" s="5" t="n">
        <v>2025</v>
      </c>
      <c r="L362" s="5" t="str">
        <f aca="false">IF(AND(K362&gt;=Hypothèses!$B$9,K362&lt;=Hypothèses!$B$10),"actuel",IF(K362=2030,"2030",IF(K362=2050,"2050","autre")))</f>
        <v>actuel</v>
      </c>
      <c r="M362" s="5"/>
      <c r="N362" s="5" t="s">
        <v>196</v>
      </c>
      <c r="O362" s="5"/>
      <c r="P362" s="5" t="s">
        <v>316</v>
      </c>
      <c r="Q362" s="5" t="s">
        <v>45</v>
      </c>
      <c r="R362" s="12" t="n">
        <f aca="false">INDEX(Hypothèses!$B$14:$B$17,MATCH(Q362,Hypothèses!$A$14:$A$17,0))</f>
        <v>1</v>
      </c>
      <c r="S362" s="15" t="str">
        <f aca="false">IF(G362="","",G362*R362)</f>
        <v/>
      </c>
      <c r="T362" s="15" t="n">
        <f aca="false">IF(H362="","",H362*R362)</f>
        <v>9.5323616</v>
      </c>
      <c r="U362" s="15" t="str">
        <f aca="false">IF(I362="","",I362*R362)</f>
        <v/>
      </c>
      <c r="V362" s="5" t="s">
        <v>321</v>
      </c>
      <c r="W362" s="5" t="s">
        <v>70</v>
      </c>
      <c r="X362" s="5" t="s">
        <v>198</v>
      </c>
    </row>
    <row r="363" customFormat="false" ht="15" hidden="false" customHeight="false" outlineLevel="0" collapsed="false">
      <c r="A363" s="5" t="s">
        <v>582</v>
      </c>
      <c r="B363" s="5" t="s">
        <v>64</v>
      </c>
      <c r="C363" s="5" t="s">
        <v>126</v>
      </c>
      <c r="D363" s="5" t="s">
        <v>413</v>
      </c>
      <c r="E363" s="5" t="s">
        <v>320</v>
      </c>
      <c r="F363" s="5" t="s">
        <v>206</v>
      </c>
      <c r="G363" s="15"/>
      <c r="H363" s="15" t="n">
        <v>8.1331169</v>
      </c>
      <c r="I363" s="15"/>
      <c r="J363" s="5" t="s">
        <v>321</v>
      </c>
      <c r="K363" s="5" t="n">
        <v>2030</v>
      </c>
      <c r="L363" s="5" t="str">
        <f aca="false">IF(AND(K363&gt;=Hypothèses!$B$9,K363&lt;=Hypothèses!$B$10),"actuel",IF(K363=2030,"2030",IF(K363=2050,"2050","autre")))</f>
        <v>2030</v>
      </c>
      <c r="M363" s="5"/>
      <c r="N363" s="5" t="s">
        <v>196</v>
      </c>
      <c r="O363" s="5"/>
      <c r="P363" s="5" t="s">
        <v>316</v>
      </c>
      <c r="Q363" s="5" t="s">
        <v>45</v>
      </c>
      <c r="R363" s="12" t="n">
        <f aca="false">INDEX(Hypothèses!$B$14:$B$17,MATCH(Q363,Hypothèses!$A$14:$A$17,0))</f>
        <v>1</v>
      </c>
      <c r="S363" s="15" t="str">
        <f aca="false">IF(G363="","",G363*R363)</f>
        <v/>
      </c>
      <c r="T363" s="15" t="n">
        <f aca="false">IF(H363="","",H363*R363)</f>
        <v>8.1331169</v>
      </c>
      <c r="U363" s="15" t="str">
        <f aca="false">IF(I363="","",I363*R363)</f>
        <v/>
      </c>
      <c r="V363" s="5" t="s">
        <v>321</v>
      </c>
      <c r="W363" s="5" t="s">
        <v>70</v>
      </c>
      <c r="X363" s="5" t="s">
        <v>198</v>
      </c>
    </row>
    <row r="364" customFormat="false" ht="15" hidden="false" customHeight="false" outlineLevel="0" collapsed="false">
      <c r="A364" s="5" t="s">
        <v>583</v>
      </c>
      <c r="B364" s="5" t="s">
        <v>64</v>
      </c>
      <c r="C364" s="5" t="s">
        <v>126</v>
      </c>
      <c r="D364" s="5" t="s">
        <v>413</v>
      </c>
      <c r="E364" s="5" t="s">
        <v>320</v>
      </c>
      <c r="F364" s="5" t="s">
        <v>206</v>
      </c>
      <c r="G364" s="15"/>
      <c r="H364" s="15" t="n">
        <v>7.666702</v>
      </c>
      <c r="I364" s="15"/>
      <c r="J364" s="5" t="s">
        <v>321</v>
      </c>
      <c r="K364" s="5" t="n">
        <v>2035</v>
      </c>
      <c r="L364" s="5" t="str">
        <f aca="false">IF(AND(K364&gt;=Hypothèses!$B$9,K364&lt;=Hypothèses!$B$10),"actuel",IF(K364=2030,"2030",IF(K364=2050,"2050","autre")))</f>
        <v>autre</v>
      </c>
      <c r="M364" s="5"/>
      <c r="N364" s="5" t="s">
        <v>196</v>
      </c>
      <c r="O364" s="5"/>
      <c r="P364" s="5" t="s">
        <v>316</v>
      </c>
      <c r="Q364" s="5" t="s">
        <v>45</v>
      </c>
      <c r="R364" s="12" t="n">
        <f aca="false">INDEX(Hypothèses!$B$14:$B$17,MATCH(Q364,Hypothèses!$A$14:$A$17,0))</f>
        <v>1</v>
      </c>
      <c r="S364" s="15" t="str">
        <f aca="false">IF(G364="","",G364*R364)</f>
        <v/>
      </c>
      <c r="T364" s="15" t="n">
        <f aca="false">IF(H364="","",H364*R364)</f>
        <v>7.666702</v>
      </c>
      <c r="U364" s="15" t="str">
        <f aca="false">IF(I364="","",I364*R364)</f>
        <v/>
      </c>
      <c r="V364" s="5" t="s">
        <v>321</v>
      </c>
      <c r="W364" s="5" t="s">
        <v>70</v>
      </c>
      <c r="X364" s="5" t="s">
        <v>198</v>
      </c>
    </row>
    <row r="365" customFormat="false" ht="15" hidden="false" customHeight="false" outlineLevel="0" collapsed="false">
      <c r="A365" s="5" t="s">
        <v>584</v>
      </c>
      <c r="B365" s="5" t="s">
        <v>64</v>
      </c>
      <c r="C365" s="5" t="s">
        <v>126</v>
      </c>
      <c r="D365" s="5" t="s">
        <v>413</v>
      </c>
      <c r="E365" s="5" t="s">
        <v>320</v>
      </c>
      <c r="F365" s="5" t="s">
        <v>206</v>
      </c>
      <c r="G365" s="15"/>
      <c r="H365" s="15" t="n">
        <v>7.1419788</v>
      </c>
      <c r="I365" s="15"/>
      <c r="J365" s="5" t="s">
        <v>321</v>
      </c>
      <c r="K365" s="5" t="n">
        <v>2040</v>
      </c>
      <c r="L365" s="5" t="str">
        <f aca="false">IF(AND(K365&gt;=Hypothèses!$B$9,K365&lt;=Hypothèses!$B$10),"actuel",IF(K365=2030,"2030",IF(K365=2050,"2050","autre")))</f>
        <v>autre</v>
      </c>
      <c r="M365" s="5"/>
      <c r="N365" s="5" t="s">
        <v>196</v>
      </c>
      <c r="O365" s="5"/>
      <c r="P365" s="5" t="s">
        <v>316</v>
      </c>
      <c r="Q365" s="5" t="s">
        <v>45</v>
      </c>
      <c r="R365" s="12" t="n">
        <f aca="false">INDEX(Hypothèses!$B$14:$B$17,MATCH(Q365,Hypothèses!$A$14:$A$17,0))</f>
        <v>1</v>
      </c>
      <c r="S365" s="15" t="str">
        <f aca="false">IF(G365="","",G365*R365)</f>
        <v/>
      </c>
      <c r="T365" s="15" t="n">
        <f aca="false">IF(H365="","",H365*R365)</f>
        <v>7.1419788</v>
      </c>
      <c r="U365" s="15" t="str">
        <f aca="false">IF(I365="","",I365*R365)</f>
        <v/>
      </c>
      <c r="V365" s="5" t="s">
        <v>321</v>
      </c>
      <c r="W365" s="5" t="s">
        <v>70</v>
      </c>
      <c r="X365" s="5" t="s">
        <v>198</v>
      </c>
    </row>
    <row r="366" customFormat="false" ht="15" hidden="false" customHeight="false" outlineLevel="0" collapsed="false">
      <c r="A366" s="5" t="s">
        <v>585</v>
      </c>
      <c r="B366" s="5" t="s">
        <v>64</v>
      </c>
      <c r="C366" s="5" t="s">
        <v>128</v>
      </c>
      <c r="D366" s="5" t="s">
        <v>413</v>
      </c>
      <c r="E366" s="5" t="s">
        <v>320</v>
      </c>
      <c r="F366" s="5" t="s">
        <v>206</v>
      </c>
      <c r="G366" s="15"/>
      <c r="H366" s="15" t="n">
        <v>11.3781319</v>
      </c>
      <c r="I366" s="15"/>
      <c r="J366" s="5" t="s">
        <v>321</v>
      </c>
      <c r="K366" s="5" t="n">
        <v>2020</v>
      </c>
      <c r="L366" s="5" t="str">
        <f aca="false">IF(AND(K366&gt;=Hypothèses!$B$9,K366&lt;=Hypothèses!$B$10),"actuel",IF(K366=2030,"2030",IF(K366=2050,"2050","autre")))</f>
        <v>actuel</v>
      </c>
      <c r="M366" s="5"/>
      <c r="N366" s="5" t="s">
        <v>196</v>
      </c>
      <c r="O366" s="5"/>
      <c r="P366" s="5" t="s">
        <v>586</v>
      </c>
      <c r="Q366" s="5" t="s">
        <v>45</v>
      </c>
      <c r="R366" s="12" t="n">
        <f aca="false">INDEX(Hypothèses!$B$14:$B$17,MATCH(Q366,Hypothèses!$A$14:$A$17,0))</f>
        <v>1</v>
      </c>
      <c r="S366" s="15" t="str">
        <f aca="false">IF(G366="","",G366*R366)</f>
        <v/>
      </c>
      <c r="T366" s="15" t="n">
        <f aca="false">IF(H366="","",H366*R366)</f>
        <v>11.3781319</v>
      </c>
      <c r="U366" s="15" t="str">
        <f aca="false">IF(I366="","",I366*R366)</f>
        <v/>
      </c>
      <c r="V366" s="5" t="s">
        <v>321</v>
      </c>
      <c r="W366" s="5" t="s">
        <v>70</v>
      </c>
      <c r="X366" s="5" t="s">
        <v>198</v>
      </c>
    </row>
    <row r="367" customFormat="false" ht="15" hidden="false" customHeight="false" outlineLevel="0" collapsed="false">
      <c r="A367" s="5" t="s">
        <v>587</v>
      </c>
      <c r="B367" s="5" t="s">
        <v>64</v>
      </c>
      <c r="C367" s="5" t="s">
        <v>128</v>
      </c>
      <c r="D367" s="5" t="s">
        <v>413</v>
      </c>
      <c r="E367" s="5" t="s">
        <v>320</v>
      </c>
      <c r="F367" s="5" t="s">
        <v>206</v>
      </c>
      <c r="G367" s="15"/>
      <c r="H367" s="15" t="n">
        <v>9.5299102</v>
      </c>
      <c r="I367" s="15"/>
      <c r="J367" s="5" t="s">
        <v>321</v>
      </c>
      <c r="K367" s="5" t="n">
        <v>2025</v>
      </c>
      <c r="L367" s="5" t="str">
        <f aca="false">IF(AND(K367&gt;=Hypothèses!$B$9,K367&lt;=Hypothèses!$B$10),"actuel",IF(K367=2030,"2030",IF(K367=2050,"2050","autre")))</f>
        <v>actuel</v>
      </c>
      <c r="M367" s="5"/>
      <c r="N367" s="5" t="s">
        <v>196</v>
      </c>
      <c r="O367" s="5"/>
      <c r="P367" s="5" t="s">
        <v>586</v>
      </c>
      <c r="Q367" s="5" t="s">
        <v>45</v>
      </c>
      <c r="R367" s="12" t="n">
        <f aca="false">INDEX(Hypothèses!$B$14:$B$17,MATCH(Q367,Hypothèses!$A$14:$A$17,0))</f>
        <v>1</v>
      </c>
      <c r="S367" s="15" t="str">
        <f aca="false">IF(G367="","",G367*R367)</f>
        <v/>
      </c>
      <c r="T367" s="15" t="n">
        <f aca="false">IF(H367="","",H367*R367)</f>
        <v>9.5299102</v>
      </c>
      <c r="U367" s="15" t="str">
        <f aca="false">IF(I367="","",I367*R367)</f>
        <v/>
      </c>
      <c r="V367" s="5" t="s">
        <v>321</v>
      </c>
      <c r="W367" s="5" t="s">
        <v>70</v>
      </c>
      <c r="X367" s="5" t="s">
        <v>198</v>
      </c>
    </row>
    <row r="368" customFormat="false" ht="15" hidden="false" customHeight="false" outlineLevel="0" collapsed="false">
      <c r="A368" s="5" t="s">
        <v>588</v>
      </c>
      <c r="B368" s="5" t="s">
        <v>64</v>
      </c>
      <c r="C368" s="5" t="s">
        <v>128</v>
      </c>
      <c r="D368" s="5" t="s">
        <v>413</v>
      </c>
      <c r="E368" s="5" t="s">
        <v>320</v>
      </c>
      <c r="F368" s="5" t="s">
        <v>206</v>
      </c>
      <c r="G368" s="15"/>
      <c r="H368" s="15" t="n">
        <v>7.5950449</v>
      </c>
      <c r="I368" s="15"/>
      <c r="J368" s="5" t="s">
        <v>321</v>
      </c>
      <c r="K368" s="5" t="n">
        <v>2030</v>
      </c>
      <c r="L368" s="5" t="str">
        <f aca="false">IF(AND(K368&gt;=Hypothèses!$B$9,K368&lt;=Hypothèses!$B$10),"actuel",IF(K368=2030,"2030",IF(K368=2050,"2050","autre")))</f>
        <v>2030</v>
      </c>
      <c r="M368" s="5"/>
      <c r="N368" s="5" t="s">
        <v>196</v>
      </c>
      <c r="O368" s="5"/>
      <c r="P368" s="5" t="s">
        <v>586</v>
      </c>
      <c r="Q368" s="5" t="s">
        <v>45</v>
      </c>
      <c r="R368" s="12" t="n">
        <f aca="false">INDEX(Hypothèses!$B$14:$B$17,MATCH(Q368,Hypothèses!$A$14:$A$17,0))</f>
        <v>1</v>
      </c>
      <c r="S368" s="15" t="str">
        <f aca="false">IF(G368="","",G368*R368)</f>
        <v/>
      </c>
      <c r="T368" s="15" t="n">
        <f aca="false">IF(H368="","",H368*R368)</f>
        <v>7.5950449</v>
      </c>
      <c r="U368" s="15" t="str">
        <f aca="false">IF(I368="","",I368*R368)</f>
        <v/>
      </c>
      <c r="V368" s="5" t="s">
        <v>321</v>
      </c>
      <c r="W368" s="5" t="s">
        <v>70</v>
      </c>
      <c r="X368" s="5" t="s">
        <v>198</v>
      </c>
    </row>
    <row r="369" customFormat="false" ht="15" hidden="false" customHeight="false" outlineLevel="0" collapsed="false">
      <c r="A369" s="5" t="s">
        <v>589</v>
      </c>
      <c r="B369" s="5" t="s">
        <v>64</v>
      </c>
      <c r="C369" s="5" t="s">
        <v>128</v>
      </c>
      <c r="D369" s="5" t="s">
        <v>413</v>
      </c>
      <c r="E369" s="5" t="s">
        <v>320</v>
      </c>
      <c r="F369" s="5" t="s">
        <v>206</v>
      </c>
      <c r="G369" s="15"/>
      <c r="H369" s="15" t="n">
        <v>6.901</v>
      </c>
      <c r="I369" s="15"/>
      <c r="J369" s="5" t="s">
        <v>321</v>
      </c>
      <c r="K369" s="5" t="n">
        <v>2035</v>
      </c>
      <c r="L369" s="5" t="str">
        <f aca="false">IF(AND(K369&gt;=Hypothèses!$B$9,K369&lt;=Hypothèses!$B$10),"actuel",IF(K369=2030,"2030",IF(K369=2050,"2050","autre")))</f>
        <v>autre</v>
      </c>
      <c r="M369" s="5"/>
      <c r="N369" s="5" t="s">
        <v>196</v>
      </c>
      <c r="O369" s="5"/>
      <c r="P369" s="5" t="s">
        <v>586</v>
      </c>
      <c r="Q369" s="5" t="s">
        <v>45</v>
      </c>
      <c r="R369" s="12" t="n">
        <f aca="false">INDEX(Hypothèses!$B$14:$B$17,MATCH(Q369,Hypothèses!$A$14:$A$17,0))</f>
        <v>1</v>
      </c>
      <c r="S369" s="15" t="str">
        <f aca="false">IF(G369="","",G369*R369)</f>
        <v/>
      </c>
      <c r="T369" s="15" t="n">
        <f aca="false">IF(H369="","",H369*R369)</f>
        <v>6.901</v>
      </c>
      <c r="U369" s="15" t="str">
        <f aca="false">IF(I369="","",I369*R369)</f>
        <v/>
      </c>
      <c r="V369" s="5" t="s">
        <v>321</v>
      </c>
      <c r="W369" s="5" t="s">
        <v>70</v>
      </c>
      <c r="X369" s="5" t="s">
        <v>198</v>
      </c>
    </row>
    <row r="370" customFormat="false" ht="15" hidden="false" customHeight="false" outlineLevel="0" collapsed="false">
      <c r="A370" s="5" t="s">
        <v>590</v>
      </c>
      <c r="B370" s="5" t="s">
        <v>64</v>
      </c>
      <c r="C370" s="5" t="s">
        <v>128</v>
      </c>
      <c r="D370" s="5" t="s">
        <v>413</v>
      </c>
      <c r="E370" s="5" t="s">
        <v>320</v>
      </c>
      <c r="F370" s="5" t="s">
        <v>206</v>
      </c>
      <c r="G370" s="15"/>
      <c r="H370" s="15" t="n">
        <v>6.18</v>
      </c>
      <c r="I370" s="15"/>
      <c r="J370" s="5" t="s">
        <v>321</v>
      </c>
      <c r="K370" s="5" t="n">
        <v>2040</v>
      </c>
      <c r="L370" s="5" t="str">
        <f aca="false">IF(AND(K370&gt;=Hypothèses!$B$9,K370&lt;=Hypothèses!$B$10),"actuel",IF(K370=2030,"2030",IF(K370=2050,"2050","autre")))</f>
        <v>autre</v>
      </c>
      <c r="M370" s="5"/>
      <c r="N370" s="5" t="s">
        <v>196</v>
      </c>
      <c r="O370" s="5"/>
      <c r="P370" s="5" t="s">
        <v>586</v>
      </c>
      <c r="Q370" s="5" t="s">
        <v>45</v>
      </c>
      <c r="R370" s="12" t="n">
        <f aca="false">INDEX(Hypothèses!$B$14:$B$17,MATCH(Q370,Hypothèses!$A$14:$A$17,0))</f>
        <v>1</v>
      </c>
      <c r="S370" s="15" t="str">
        <f aca="false">IF(G370="","",G370*R370)</f>
        <v/>
      </c>
      <c r="T370" s="15" t="n">
        <f aca="false">IF(H370="","",H370*R370)</f>
        <v>6.18</v>
      </c>
      <c r="U370" s="15" t="str">
        <f aca="false">IF(I370="","",I370*R370)</f>
        <v/>
      </c>
      <c r="V370" s="5" t="s">
        <v>321</v>
      </c>
      <c r="W370" s="5" t="s">
        <v>70</v>
      </c>
      <c r="X370" s="5" t="s">
        <v>198</v>
      </c>
    </row>
    <row r="371" customFormat="false" ht="15" hidden="false" customHeight="false" outlineLevel="0" collapsed="false">
      <c r="A371" s="5" t="s">
        <v>591</v>
      </c>
      <c r="B371" s="5" t="s">
        <v>64</v>
      </c>
      <c r="C371" s="5" t="s">
        <v>130</v>
      </c>
      <c r="D371" s="5" t="s">
        <v>413</v>
      </c>
      <c r="E371" s="5" t="s">
        <v>320</v>
      </c>
      <c r="F371" s="5" t="s">
        <v>206</v>
      </c>
      <c r="G371" s="15"/>
      <c r="H371" s="15" t="n">
        <v>4.5351539218</v>
      </c>
      <c r="I371" s="15"/>
      <c r="J371" s="5" t="s">
        <v>321</v>
      </c>
      <c r="K371" s="5" t="n">
        <v>2025</v>
      </c>
      <c r="L371" s="5" t="str">
        <f aca="false">IF(AND(K371&gt;=Hypothèses!$B$9,K371&lt;=Hypothèses!$B$10),"actuel",IF(K371=2030,"2030",IF(K371=2050,"2050","autre")))</f>
        <v>actuel</v>
      </c>
      <c r="M371" s="5"/>
      <c r="N371" s="5" t="s">
        <v>196</v>
      </c>
      <c r="O371" s="5"/>
      <c r="P371" s="5" t="s">
        <v>308</v>
      </c>
      <c r="Q371" s="5" t="s">
        <v>45</v>
      </c>
      <c r="R371" s="12" t="n">
        <f aca="false">INDEX(Hypothèses!$B$14:$B$17,MATCH(Q371,Hypothèses!$A$14:$A$17,0))</f>
        <v>1</v>
      </c>
      <c r="S371" s="15" t="str">
        <f aca="false">IF(G371="","",G371*R371)</f>
        <v/>
      </c>
      <c r="T371" s="15" t="n">
        <f aca="false">IF(H371="","",H371*R371)</f>
        <v>4.5351539218</v>
      </c>
      <c r="U371" s="15" t="str">
        <f aca="false">IF(I371="","",I371*R371)</f>
        <v/>
      </c>
      <c r="V371" s="5" t="s">
        <v>321</v>
      </c>
      <c r="W371" s="5" t="s">
        <v>70</v>
      </c>
      <c r="X371" s="5" t="s">
        <v>198</v>
      </c>
    </row>
    <row r="372" customFormat="false" ht="15" hidden="false" customHeight="false" outlineLevel="0" collapsed="false">
      <c r="A372" s="5" t="s">
        <v>592</v>
      </c>
      <c r="B372" s="5" t="s">
        <v>64</v>
      </c>
      <c r="C372" s="5" t="s">
        <v>130</v>
      </c>
      <c r="D372" s="5" t="s">
        <v>413</v>
      </c>
      <c r="E372" s="5" t="s">
        <v>320</v>
      </c>
      <c r="F372" s="5" t="s">
        <v>206</v>
      </c>
      <c r="G372" s="15"/>
      <c r="H372" s="15" t="n">
        <v>3.55167214861</v>
      </c>
      <c r="I372" s="15"/>
      <c r="J372" s="5" t="s">
        <v>321</v>
      </c>
      <c r="K372" s="5" t="n">
        <v>2030</v>
      </c>
      <c r="L372" s="5" t="str">
        <f aca="false">IF(AND(K372&gt;=Hypothèses!$B$9,K372&lt;=Hypothèses!$B$10),"actuel",IF(K372=2030,"2030",IF(K372=2050,"2050","autre")))</f>
        <v>2030</v>
      </c>
      <c r="M372" s="5"/>
      <c r="N372" s="5" t="s">
        <v>196</v>
      </c>
      <c r="O372" s="5"/>
      <c r="P372" s="5" t="s">
        <v>308</v>
      </c>
      <c r="Q372" s="5" t="s">
        <v>45</v>
      </c>
      <c r="R372" s="12" t="n">
        <f aca="false">INDEX(Hypothèses!$B$14:$B$17,MATCH(Q372,Hypothèses!$A$14:$A$17,0))</f>
        <v>1</v>
      </c>
      <c r="S372" s="15" t="str">
        <f aca="false">IF(G372="","",G372*R372)</f>
        <v/>
      </c>
      <c r="T372" s="15" t="n">
        <f aca="false">IF(H372="","",H372*R372)</f>
        <v>3.55167214861</v>
      </c>
      <c r="U372" s="15" t="str">
        <f aca="false">IF(I372="","",I372*R372)</f>
        <v/>
      </c>
      <c r="V372" s="5" t="s">
        <v>321</v>
      </c>
      <c r="W372" s="5" t="s">
        <v>70</v>
      </c>
      <c r="X372" s="5" t="s">
        <v>198</v>
      </c>
    </row>
    <row r="373" customFormat="false" ht="15" hidden="false" customHeight="false" outlineLevel="0" collapsed="false">
      <c r="A373" s="5" t="s">
        <v>593</v>
      </c>
      <c r="B373" s="5" t="s">
        <v>64</v>
      </c>
      <c r="C373" s="5" t="s">
        <v>130</v>
      </c>
      <c r="D373" s="5" t="s">
        <v>413</v>
      </c>
      <c r="E373" s="5" t="s">
        <v>320</v>
      </c>
      <c r="F373" s="5" t="s">
        <v>206</v>
      </c>
      <c r="G373" s="15"/>
      <c r="H373" s="15" t="n">
        <v>3.21114834147</v>
      </c>
      <c r="I373" s="15"/>
      <c r="J373" s="5" t="s">
        <v>321</v>
      </c>
      <c r="K373" s="5" t="n">
        <v>2035</v>
      </c>
      <c r="L373" s="5" t="str">
        <f aca="false">IF(AND(K373&gt;=Hypothèses!$B$9,K373&lt;=Hypothèses!$B$10),"actuel",IF(K373=2030,"2030",IF(K373=2050,"2050","autre")))</f>
        <v>autre</v>
      </c>
      <c r="M373" s="5"/>
      <c r="N373" s="5" t="s">
        <v>196</v>
      </c>
      <c r="O373" s="5"/>
      <c r="P373" s="5" t="s">
        <v>308</v>
      </c>
      <c r="Q373" s="5" t="s">
        <v>45</v>
      </c>
      <c r="R373" s="12" t="n">
        <f aca="false">INDEX(Hypothèses!$B$14:$B$17,MATCH(Q373,Hypothèses!$A$14:$A$17,0))</f>
        <v>1</v>
      </c>
      <c r="S373" s="15" t="str">
        <f aca="false">IF(G373="","",G373*R373)</f>
        <v/>
      </c>
      <c r="T373" s="15" t="n">
        <f aca="false">IF(H373="","",H373*R373)</f>
        <v>3.21114834147</v>
      </c>
      <c r="U373" s="15" t="str">
        <f aca="false">IF(I373="","",I373*R373)</f>
        <v/>
      </c>
      <c r="V373" s="5" t="s">
        <v>321</v>
      </c>
      <c r="W373" s="5" t="s">
        <v>70</v>
      </c>
      <c r="X373" s="5" t="s">
        <v>198</v>
      </c>
    </row>
    <row r="374" customFormat="false" ht="15" hidden="false" customHeight="false" outlineLevel="0" collapsed="false">
      <c r="A374" s="5" t="s">
        <v>594</v>
      </c>
      <c r="B374" s="5" t="s">
        <v>64</v>
      </c>
      <c r="C374" s="5" t="s">
        <v>130</v>
      </c>
      <c r="D374" s="5" t="s">
        <v>413</v>
      </c>
      <c r="E374" s="5" t="s">
        <v>320</v>
      </c>
      <c r="F374" s="5" t="s">
        <v>206</v>
      </c>
      <c r="G374" s="15"/>
      <c r="H374" s="15" t="n">
        <v>2.93185264022</v>
      </c>
      <c r="I374" s="15"/>
      <c r="J374" s="5" t="s">
        <v>321</v>
      </c>
      <c r="K374" s="5" t="n">
        <v>2040</v>
      </c>
      <c r="L374" s="5" t="str">
        <f aca="false">IF(AND(K374&gt;=Hypothèses!$B$9,K374&lt;=Hypothèses!$B$10),"actuel",IF(K374=2030,"2030",IF(K374=2050,"2050","autre")))</f>
        <v>autre</v>
      </c>
      <c r="M374" s="5"/>
      <c r="N374" s="5" t="s">
        <v>196</v>
      </c>
      <c r="O374" s="5"/>
      <c r="P374" s="5" t="s">
        <v>308</v>
      </c>
      <c r="Q374" s="5" t="s">
        <v>45</v>
      </c>
      <c r="R374" s="12" t="n">
        <f aca="false">INDEX(Hypothèses!$B$14:$B$17,MATCH(Q374,Hypothèses!$A$14:$A$17,0))</f>
        <v>1</v>
      </c>
      <c r="S374" s="15" t="str">
        <f aca="false">IF(G374="","",G374*R374)</f>
        <v/>
      </c>
      <c r="T374" s="15" t="n">
        <f aca="false">IF(H374="","",H374*R374)</f>
        <v>2.93185264022</v>
      </c>
      <c r="U374" s="15" t="str">
        <f aca="false">IF(I374="","",I374*R374)</f>
        <v/>
      </c>
      <c r="V374" s="5" t="s">
        <v>321</v>
      </c>
      <c r="W374" s="5" t="s">
        <v>70</v>
      </c>
      <c r="X374" s="5" t="s">
        <v>198</v>
      </c>
    </row>
    <row r="375" customFormat="false" ht="15" hidden="false" customHeight="false" outlineLevel="0" collapsed="false">
      <c r="A375" s="5" t="s">
        <v>595</v>
      </c>
      <c r="B375" s="5" t="s">
        <v>64</v>
      </c>
      <c r="C375" s="5" t="s">
        <v>130</v>
      </c>
      <c r="D375" s="5" t="s">
        <v>413</v>
      </c>
      <c r="E375" s="5" t="s">
        <v>320</v>
      </c>
      <c r="F375" s="5" t="s">
        <v>206</v>
      </c>
      <c r="G375" s="15"/>
      <c r="H375" s="15" t="n">
        <v>2.9089737096</v>
      </c>
      <c r="I375" s="15"/>
      <c r="J375" s="5" t="s">
        <v>321</v>
      </c>
      <c r="K375" s="5" t="n">
        <v>2045</v>
      </c>
      <c r="L375" s="5" t="str">
        <f aca="false">IF(AND(K375&gt;=Hypothèses!$B$9,K375&lt;=Hypothèses!$B$10),"actuel",IF(K375=2030,"2030",IF(K375=2050,"2050","autre")))</f>
        <v>autre</v>
      </c>
      <c r="M375" s="5"/>
      <c r="N375" s="5" t="s">
        <v>196</v>
      </c>
      <c r="O375" s="5"/>
      <c r="P375" s="5" t="s">
        <v>308</v>
      </c>
      <c r="Q375" s="5" t="s">
        <v>45</v>
      </c>
      <c r="R375" s="12" t="n">
        <f aca="false">INDEX(Hypothèses!$B$14:$B$17,MATCH(Q375,Hypothèses!$A$14:$A$17,0))</f>
        <v>1</v>
      </c>
      <c r="S375" s="15" t="str">
        <f aca="false">IF(G375="","",G375*R375)</f>
        <v/>
      </c>
      <c r="T375" s="15" t="n">
        <f aca="false">IF(H375="","",H375*R375)</f>
        <v>2.9089737096</v>
      </c>
      <c r="U375" s="15" t="str">
        <f aca="false">IF(I375="","",I375*R375)</f>
        <v/>
      </c>
      <c r="V375" s="5" t="s">
        <v>321</v>
      </c>
      <c r="W375" s="5" t="s">
        <v>70</v>
      </c>
      <c r="X375" s="5" t="s">
        <v>198</v>
      </c>
    </row>
    <row r="376" customFormat="false" ht="15" hidden="false" customHeight="false" outlineLevel="0" collapsed="false">
      <c r="A376" s="5" t="s">
        <v>596</v>
      </c>
      <c r="B376" s="5" t="s">
        <v>64</v>
      </c>
      <c r="C376" s="5" t="s">
        <v>130</v>
      </c>
      <c r="D376" s="5" t="s">
        <v>413</v>
      </c>
      <c r="E376" s="5" t="s">
        <v>320</v>
      </c>
      <c r="F376" s="5" t="s">
        <v>206</v>
      </c>
      <c r="G376" s="15"/>
      <c r="H376" s="15" t="n">
        <v>2.88609072387</v>
      </c>
      <c r="I376" s="15"/>
      <c r="J376" s="5" t="s">
        <v>321</v>
      </c>
      <c r="K376" s="5" t="n">
        <v>2050</v>
      </c>
      <c r="L376" s="5" t="str">
        <f aca="false">IF(AND(K376&gt;=Hypothèses!$B$9,K376&lt;=Hypothèses!$B$10),"actuel",IF(K376=2030,"2030",IF(K376=2050,"2050","autre")))</f>
        <v>2050</v>
      </c>
      <c r="M376" s="5"/>
      <c r="N376" s="5" t="s">
        <v>196</v>
      </c>
      <c r="O376" s="5"/>
      <c r="P376" s="5" t="s">
        <v>308</v>
      </c>
      <c r="Q376" s="5" t="s">
        <v>45</v>
      </c>
      <c r="R376" s="12" t="n">
        <f aca="false">INDEX(Hypothèses!$B$14:$B$17,MATCH(Q376,Hypothèses!$A$14:$A$17,0))</f>
        <v>1</v>
      </c>
      <c r="S376" s="15" t="str">
        <f aca="false">IF(G376="","",G376*R376)</f>
        <v/>
      </c>
      <c r="T376" s="15" t="n">
        <f aca="false">IF(H376="","",H376*R376)</f>
        <v>2.88609072387</v>
      </c>
      <c r="U376" s="15" t="str">
        <f aca="false">IF(I376="","",I376*R376)</f>
        <v/>
      </c>
      <c r="V376" s="5" t="s">
        <v>321</v>
      </c>
      <c r="W376" s="5" t="s">
        <v>70</v>
      </c>
      <c r="X376" s="5" t="s">
        <v>198</v>
      </c>
    </row>
    <row r="377" customFormat="false" ht="15" hidden="false" customHeight="false" outlineLevel="0" collapsed="false">
      <c r="A377" s="5" t="s">
        <v>597</v>
      </c>
      <c r="B377" s="5" t="s">
        <v>139</v>
      </c>
      <c r="C377" s="5" t="s">
        <v>138</v>
      </c>
      <c r="D377" s="5" t="s">
        <v>192</v>
      </c>
      <c r="E377" s="5" t="s">
        <v>193</v>
      </c>
      <c r="F377" s="5" t="s">
        <v>598</v>
      </c>
      <c r="G377" s="15"/>
      <c r="H377" s="15" t="n">
        <v>1830.42130044136</v>
      </c>
      <c r="I377" s="15"/>
      <c r="J377" s="5" t="s">
        <v>599</v>
      </c>
      <c r="K377" s="5" t="n">
        <v>2003</v>
      </c>
      <c r="L377" s="5" t="str">
        <f aca="false">IF(AND(K377&gt;=Hypothèses!$B$9,K377&lt;=Hypothèses!$B$10),"actuel",IF(K377=2030,"2030",IF(K377=2050,"2050","autre")))</f>
        <v>autre</v>
      </c>
      <c r="M377" s="5"/>
      <c r="N377" s="5" t="s">
        <v>600</v>
      </c>
      <c r="O377" s="5"/>
      <c r="P377" s="5" t="s">
        <v>230</v>
      </c>
      <c r="Q377" s="5" t="s">
        <v>47</v>
      </c>
      <c r="R377" s="12" t="n">
        <f aca="false">INDEX(Hypothèses!$B$14:$B$17,MATCH(Q377,Hypothèses!$A$14:$A$17,0))</f>
        <v>1.3525</v>
      </c>
      <c r="S377" s="15" t="str">
        <f aca="false">IF(G377="","",G377*R377)</f>
        <v/>
      </c>
      <c r="T377" s="15" t="n">
        <f aca="false">IF(H377="","",H377*R377)</f>
        <v>2475.64480884695</v>
      </c>
      <c r="U377" s="15" t="str">
        <f aca="false">IF(I377="","",I377*R377)</f>
        <v/>
      </c>
      <c r="V377" s="5" t="s">
        <v>195</v>
      </c>
      <c r="W377" s="5" t="s">
        <v>70</v>
      </c>
      <c r="X377" s="5" t="s">
        <v>601</v>
      </c>
    </row>
    <row r="378" customFormat="false" ht="15" hidden="false" customHeight="false" outlineLevel="0" collapsed="false">
      <c r="A378" s="5" t="s">
        <v>602</v>
      </c>
      <c r="B378" s="5" t="s">
        <v>139</v>
      </c>
      <c r="C378" s="5" t="s">
        <v>138</v>
      </c>
      <c r="D378" s="5" t="s">
        <v>192</v>
      </c>
      <c r="E378" s="5" t="s">
        <v>193</v>
      </c>
      <c r="F378" s="5" t="s">
        <v>598</v>
      </c>
      <c r="G378" s="15"/>
      <c r="H378" s="15" t="n">
        <v>1131.44322618602</v>
      </c>
      <c r="I378" s="15"/>
      <c r="J378" s="5" t="s">
        <v>599</v>
      </c>
      <c r="K378" s="5" t="n">
        <v>2004</v>
      </c>
      <c r="L378" s="5" t="str">
        <f aca="false">IF(AND(K378&gt;=Hypothèses!$B$9,K378&lt;=Hypothèses!$B$10),"actuel",IF(K378=2030,"2030",IF(K378=2050,"2050","autre")))</f>
        <v>autre</v>
      </c>
      <c r="M378" s="5"/>
      <c r="N378" s="5" t="s">
        <v>600</v>
      </c>
      <c r="O378" s="5"/>
      <c r="P378" s="5" t="s">
        <v>230</v>
      </c>
      <c r="Q378" s="5" t="s">
        <v>47</v>
      </c>
      <c r="R378" s="12" t="n">
        <f aca="false">INDEX(Hypothèses!$B$14:$B$17,MATCH(Q378,Hypothèses!$A$14:$A$17,0))</f>
        <v>1.3525</v>
      </c>
      <c r="S378" s="15" t="str">
        <f aca="false">IF(G378="","",G378*R378)</f>
        <v/>
      </c>
      <c r="T378" s="15" t="n">
        <f aca="false">IF(H378="","",H378*R378)</f>
        <v>1530.27696341659</v>
      </c>
      <c r="U378" s="15" t="str">
        <f aca="false">IF(I378="","",I378*R378)</f>
        <v/>
      </c>
      <c r="V378" s="5" t="s">
        <v>195</v>
      </c>
      <c r="W378" s="5" t="s">
        <v>70</v>
      </c>
      <c r="X378" s="5" t="s">
        <v>601</v>
      </c>
    </row>
    <row r="379" customFormat="false" ht="15" hidden="false" customHeight="false" outlineLevel="0" collapsed="false">
      <c r="A379" s="5" t="s">
        <v>603</v>
      </c>
      <c r="B379" s="5" t="s">
        <v>139</v>
      </c>
      <c r="C379" s="5" t="s">
        <v>138</v>
      </c>
      <c r="D379" s="5" t="s">
        <v>192</v>
      </c>
      <c r="E379" s="5" t="s">
        <v>193</v>
      </c>
      <c r="F379" s="5" t="s">
        <v>598</v>
      </c>
      <c r="G379" s="15"/>
      <c r="H379" s="15" t="n">
        <v>1475.06173703268</v>
      </c>
      <c r="I379" s="15"/>
      <c r="J379" s="5" t="s">
        <v>599</v>
      </c>
      <c r="K379" s="5" t="n">
        <v>2005</v>
      </c>
      <c r="L379" s="5" t="str">
        <f aca="false">IF(AND(K379&gt;=Hypothèses!$B$9,K379&lt;=Hypothèses!$B$10),"actuel",IF(K379=2030,"2030",IF(K379=2050,"2050","autre")))</f>
        <v>autre</v>
      </c>
      <c r="M379" s="5"/>
      <c r="N379" s="5" t="s">
        <v>600</v>
      </c>
      <c r="O379" s="5"/>
      <c r="P379" s="5" t="s">
        <v>230</v>
      </c>
      <c r="Q379" s="5" t="s">
        <v>47</v>
      </c>
      <c r="R379" s="12" t="n">
        <f aca="false">INDEX(Hypothèses!$B$14:$B$17,MATCH(Q379,Hypothèses!$A$14:$A$17,0))</f>
        <v>1.3525</v>
      </c>
      <c r="S379" s="15" t="str">
        <f aca="false">IF(G379="","",G379*R379)</f>
        <v/>
      </c>
      <c r="T379" s="15" t="n">
        <f aca="false">IF(H379="","",H379*R379)</f>
        <v>1995.0209993367</v>
      </c>
      <c r="U379" s="15" t="str">
        <f aca="false">IF(I379="","",I379*R379)</f>
        <v/>
      </c>
      <c r="V379" s="5" t="s">
        <v>195</v>
      </c>
      <c r="W379" s="5" t="s">
        <v>70</v>
      </c>
      <c r="X379" s="5" t="s">
        <v>601</v>
      </c>
    </row>
    <row r="380" customFormat="false" ht="15" hidden="false" customHeight="false" outlineLevel="0" collapsed="false">
      <c r="A380" s="5" t="s">
        <v>604</v>
      </c>
      <c r="B380" s="5" t="s">
        <v>139</v>
      </c>
      <c r="C380" s="5" t="s">
        <v>138</v>
      </c>
      <c r="D380" s="5" t="s">
        <v>192</v>
      </c>
      <c r="E380" s="5" t="s">
        <v>193</v>
      </c>
      <c r="F380" s="5" t="s">
        <v>598</v>
      </c>
      <c r="G380" s="15"/>
      <c r="H380" s="15" t="n">
        <v>1215.92729797065</v>
      </c>
      <c r="I380" s="15"/>
      <c r="J380" s="5" t="s">
        <v>599</v>
      </c>
      <c r="K380" s="5" t="n">
        <v>2007</v>
      </c>
      <c r="L380" s="5" t="str">
        <f aca="false">IF(AND(K380&gt;=Hypothèses!$B$9,K380&lt;=Hypothèses!$B$10),"actuel",IF(K380=2030,"2030",IF(K380=2050,"2050","autre")))</f>
        <v>autre</v>
      </c>
      <c r="M380" s="5"/>
      <c r="N380" s="5" t="s">
        <v>600</v>
      </c>
      <c r="O380" s="5"/>
      <c r="P380" s="5" t="s">
        <v>230</v>
      </c>
      <c r="Q380" s="5" t="s">
        <v>47</v>
      </c>
      <c r="R380" s="12" t="n">
        <f aca="false">INDEX(Hypothèses!$B$14:$B$17,MATCH(Q380,Hypothèses!$A$14:$A$17,0))</f>
        <v>1.3525</v>
      </c>
      <c r="S380" s="15" t="str">
        <f aca="false">IF(G380="","",G380*R380)</f>
        <v/>
      </c>
      <c r="T380" s="15" t="n">
        <f aca="false">IF(H380="","",H380*R380)</f>
        <v>1644.5416705053</v>
      </c>
      <c r="U380" s="15" t="str">
        <f aca="false">IF(I380="","",I380*R380)</f>
        <v/>
      </c>
      <c r="V380" s="5" t="s">
        <v>195</v>
      </c>
      <c r="W380" s="5" t="s">
        <v>70</v>
      </c>
      <c r="X380" s="5" t="s">
        <v>601</v>
      </c>
    </row>
    <row r="381" customFormat="false" ht="15" hidden="false" customHeight="false" outlineLevel="0" collapsed="false">
      <c r="A381" s="5" t="s">
        <v>605</v>
      </c>
      <c r="B381" s="5" t="s">
        <v>139</v>
      </c>
      <c r="C381" s="5" t="s">
        <v>138</v>
      </c>
      <c r="D381" s="5" t="s">
        <v>192</v>
      </c>
      <c r="E381" s="5" t="s">
        <v>193</v>
      </c>
      <c r="F381" s="5" t="s">
        <v>598</v>
      </c>
      <c r="G381" s="15"/>
      <c r="H381" s="15" t="n">
        <v>1051.84200755826</v>
      </c>
      <c r="I381" s="15"/>
      <c r="J381" s="5" t="s">
        <v>599</v>
      </c>
      <c r="K381" s="5" t="n">
        <v>2008</v>
      </c>
      <c r="L381" s="5" t="str">
        <f aca="false">IF(AND(K381&gt;=Hypothèses!$B$9,K381&lt;=Hypothèses!$B$10),"actuel",IF(K381=2030,"2030",IF(K381=2050,"2050","autre")))</f>
        <v>autre</v>
      </c>
      <c r="M381" s="5"/>
      <c r="N381" s="5" t="s">
        <v>600</v>
      </c>
      <c r="O381" s="5"/>
      <c r="P381" s="5" t="s">
        <v>230</v>
      </c>
      <c r="Q381" s="5" t="s">
        <v>47</v>
      </c>
      <c r="R381" s="12" t="n">
        <f aca="false">INDEX(Hypothèses!$B$14:$B$17,MATCH(Q381,Hypothèses!$A$14:$A$17,0))</f>
        <v>1.3525</v>
      </c>
      <c r="S381" s="15" t="str">
        <f aca="false">IF(G381="","",G381*R381)</f>
        <v/>
      </c>
      <c r="T381" s="15" t="n">
        <f aca="false">IF(H381="","",H381*R381)</f>
        <v>1422.61631522254</v>
      </c>
      <c r="U381" s="15" t="str">
        <f aca="false">IF(I381="","",I381*R381)</f>
        <v/>
      </c>
      <c r="V381" s="5" t="s">
        <v>195</v>
      </c>
      <c r="W381" s="5" t="s">
        <v>70</v>
      </c>
      <c r="X381" s="5" t="s">
        <v>601</v>
      </c>
    </row>
    <row r="382" customFormat="false" ht="15" hidden="false" customHeight="false" outlineLevel="0" collapsed="false">
      <c r="A382" s="5" t="s">
        <v>606</v>
      </c>
      <c r="B382" s="5" t="s">
        <v>139</v>
      </c>
      <c r="C382" s="5" t="s">
        <v>138</v>
      </c>
      <c r="D382" s="5" t="s">
        <v>192</v>
      </c>
      <c r="E382" s="5" t="s">
        <v>193</v>
      </c>
      <c r="F382" s="5" t="s">
        <v>598</v>
      </c>
      <c r="G382" s="15"/>
      <c r="H382" s="15" t="n">
        <v>1414.53469341732</v>
      </c>
      <c r="I382" s="15"/>
      <c r="J382" s="5" t="s">
        <v>599</v>
      </c>
      <c r="K382" s="5" t="n">
        <v>2009</v>
      </c>
      <c r="L382" s="5" t="str">
        <f aca="false">IF(AND(K382&gt;=Hypothèses!$B$9,K382&lt;=Hypothèses!$B$10),"actuel",IF(K382=2030,"2030",IF(K382=2050,"2050","autre")))</f>
        <v>autre</v>
      </c>
      <c r="M382" s="5"/>
      <c r="N382" s="5" t="s">
        <v>600</v>
      </c>
      <c r="O382" s="5"/>
      <c r="P382" s="5" t="s">
        <v>230</v>
      </c>
      <c r="Q382" s="5" t="s">
        <v>47</v>
      </c>
      <c r="R382" s="12" t="n">
        <f aca="false">INDEX(Hypothèses!$B$14:$B$17,MATCH(Q382,Hypothèses!$A$14:$A$17,0))</f>
        <v>1.3525</v>
      </c>
      <c r="S382" s="15" t="str">
        <f aca="false">IF(G382="","",G382*R382)</f>
        <v/>
      </c>
      <c r="T382" s="15" t="n">
        <f aca="false">IF(H382="","",H382*R382)</f>
        <v>1913.15817284692</v>
      </c>
      <c r="U382" s="15" t="str">
        <f aca="false">IF(I382="","",I382*R382)</f>
        <v/>
      </c>
      <c r="V382" s="5" t="s">
        <v>195</v>
      </c>
      <c r="W382" s="5" t="s">
        <v>70</v>
      </c>
      <c r="X382" s="5" t="s">
        <v>601</v>
      </c>
    </row>
    <row r="383" customFormat="false" ht="15" hidden="false" customHeight="false" outlineLevel="0" collapsed="false">
      <c r="A383" s="5" t="s">
        <v>607</v>
      </c>
      <c r="B383" s="5" t="s">
        <v>139</v>
      </c>
      <c r="C383" s="5" t="s">
        <v>138</v>
      </c>
      <c r="D383" s="5" t="s">
        <v>192</v>
      </c>
      <c r="E383" s="5" t="s">
        <v>193</v>
      </c>
      <c r="F383" s="5" t="s">
        <v>598</v>
      </c>
      <c r="G383" s="15"/>
      <c r="H383" s="15" t="n">
        <v>959.986544053144</v>
      </c>
      <c r="I383" s="15"/>
      <c r="J383" s="5" t="s">
        <v>599</v>
      </c>
      <c r="K383" s="5" t="n">
        <v>2010</v>
      </c>
      <c r="L383" s="5" t="str">
        <f aca="false">IF(AND(K383&gt;=Hypothèses!$B$9,K383&lt;=Hypothèses!$B$10),"actuel",IF(K383=2030,"2030",IF(K383=2050,"2050","autre")))</f>
        <v>autre</v>
      </c>
      <c r="M383" s="5"/>
      <c r="N383" s="5" t="s">
        <v>600</v>
      </c>
      <c r="O383" s="5"/>
      <c r="P383" s="5" t="s">
        <v>230</v>
      </c>
      <c r="Q383" s="5" t="s">
        <v>47</v>
      </c>
      <c r="R383" s="12" t="n">
        <f aca="false">INDEX(Hypothèses!$B$14:$B$17,MATCH(Q383,Hypothèses!$A$14:$A$17,0))</f>
        <v>1.3525</v>
      </c>
      <c r="S383" s="15" t="str">
        <f aca="false">IF(G383="","",G383*R383)</f>
        <v/>
      </c>
      <c r="T383" s="15" t="n">
        <f aca="false">IF(H383="","",H383*R383)</f>
        <v>1298.38180083188</v>
      </c>
      <c r="U383" s="15" t="str">
        <f aca="false">IF(I383="","",I383*R383)</f>
        <v/>
      </c>
      <c r="V383" s="5" t="s">
        <v>195</v>
      </c>
      <c r="W383" s="5" t="s">
        <v>70</v>
      </c>
      <c r="X383" s="5" t="s">
        <v>601</v>
      </c>
    </row>
    <row r="384" customFormat="false" ht="15" hidden="false" customHeight="false" outlineLevel="0" collapsed="false">
      <c r="A384" s="5" t="s">
        <v>608</v>
      </c>
      <c r="B384" s="5" t="s">
        <v>139</v>
      </c>
      <c r="C384" s="5" t="s">
        <v>138</v>
      </c>
      <c r="D384" s="5" t="s">
        <v>192</v>
      </c>
      <c r="E384" s="5" t="s">
        <v>193</v>
      </c>
      <c r="F384" s="5" t="s">
        <v>598</v>
      </c>
      <c r="G384" s="15"/>
      <c r="H384" s="15" t="n">
        <v>1178.63870153571</v>
      </c>
      <c r="I384" s="15"/>
      <c r="J384" s="5" t="s">
        <v>599</v>
      </c>
      <c r="K384" s="5" t="n">
        <v>2011</v>
      </c>
      <c r="L384" s="5" t="str">
        <f aca="false">IF(AND(K384&gt;=Hypothèses!$B$9,K384&lt;=Hypothèses!$B$10),"actuel",IF(K384=2030,"2030",IF(K384=2050,"2050","autre")))</f>
        <v>autre</v>
      </c>
      <c r="M384" s="5"/>
      <c r="N384" s="5" t="s">
        <v>600</v>
      </c>
      <c r="O384" s="5"/>
      <c r="P384" s="5" t="s">
        <v>230</v>
      </c>
      <c r="Q384" s="5" t="s">
        <v>47</v>
      </c>
      <c r="R384" s="12" t="n">
        <f aca="false">INDEX(Hypothèses!$B$14:$B$17,MATCH(Q384,Hypothèses!$A$14:$A$17,0))</f>
        <v>1.3525</v>
      </c>
      <c r="S384" s="15" t="str">
        <f aca="false">IF(G384="","",G384*R384)</f>
        <v/>
      </c>
      <c r="T384" s="15" t="n">
        <f aca="false">IF(H384="","",H384*R384)</f>
        <v>1594.10884382705</v>
      </c>
      <c r="U384" s="15" t="str">
        <f aca="false">IF(I384="","",I384*R384)</f>
        <v/>
      </c>
      <c r="V384" s="5" t="s">
        <v>195</v>
      </c>
      <c r="W384" s="5" t="s">
        <v>70</v>
      </c>
      <c r="X384" s="5" t="s">
        <v>601</v>
      </c>
    </row>
    <row r="385" customFormat="false" ht="15" hidden="false" customHeight="false" outlineLevel="0" collapsed="false">
      <c r="A385" s="5" t="s">
        <v>609</v>
      </c>
      <c r="B385" s="5" t="s">
        <v>139</v>
      </c>
      <c r="C385" s="5" t="s">
        <v>138</v>
      </c>
      <c r="D385" s="5" t="s">
        <v>192</v>
      </c>
      <c r="E385" s="5" t="s">
        <v>193</v>
      </c>
      <c r="F385" s="5" t="s">
        <v>598</v>
      </c>
      <c r="G385" s="15"/>
      <c r="H385" s="15" t="n">
        <v>1214.72097476166</v>
      </c>
      <c r="I385" s="15"/>
      <c r="J385" s="5" t="s">
        <v>599</v>
      </c>
      <c r="K385" s="5" t="n">
        <v>2013</v>
      </c>
      <c r="L385" s="5" t="str">
        <f aca="false">IF(AND(K385&gt;=Hypothèses!$B$9,K385&lt;=Hypothèses!$B$10),"actuel",IF(K385=2030,"2030",IF(K385=2050,"2050","autre")))</f>
        <v>autre</v>
      </c>
      <c r="M385" s="5"/>
      <c r="N385" s="5" t="s">
        <v>600</v>
      </c>
      <c r="O385" s="5"/>
      <c r="P385" s="5" t="s">
        <v>230</v>
      </c>
      <c r="Q385" s="5" t="s">
        <v>47</v>
      </c>
      <c r="R385" s="12" t="n">
        <f aca="false">INDEX(Hypothèses!$B$14:$B$17,MATCH(Q385,Hypothèses!$A$14:$A$17,0))</f>
        <v>1.3525</v>
      </c>
      <c r="S385" s="15" t="str">
        <f aca="false">IF(G385="","",G385*R385)</f>
        <v/>
      </c>
      <c r="T385" s="15" t="n">
        <f aca="false">IF(H385="","",H385*R385)</f>
        <v>1642.91011836515</v>
      </c>
      <c r="U385" s="15" t="str">
        <f aca="false">IF(I385="","",I385*R385)</f>
        <v/>
      </c>
      <c r="V385" s="5" t="s">
        <v>195</v>
      </c>
      <c r="W385" s="5" t="s">
        <v>70</v>
      </c>
      <c r="X385" s="5" t="s">
        <v>601</v>
      </c>
    </row>
    <row r="386" customFormat="false" ht="15" hidden="false" customHeight="false" outlineLevel="0" collapsed="false">
      <c r="A386" s="5" t="s">
        <v>610</v>
      </c>
      <c r="B386" s="5" t="s">
        <v>139</v>
      </c>
      <c r="C386" s="5" t="s">
        <v>138</v>
      </c>
      <c r="D386" s="5" t="s">
        <v>192</v>
      </c>
      <c r="E386" s="5" t="s">
        <v>193</v>
      </c>
      <c r="F386" s="5" t="s">
        <v>598</v>
      </c>
      <c r="G386" s="15"/>
      <c r="H386" s="15" t="n">
        <v>1138.93305677962</v>
      </c>
      <c r="I386" s="15"/>
      <c r="J386" s="5" t="s">
        <v>599</v>
      </c>
      <c r="K386" s="5" t="n">
        <v>2014</v>
      </c>
      <c r="L386" s="5" t="str">
        <f aca="false">IF(AND(K386&gt;=Hypothèses!$B$9,K386&lt;=Hypothèses!$B$10),"actuel",IF(K386=2030,"2030",IF(K386=2050,"2050","autre")))</f>
        <v>autre</v>
      </c>
      <c r="M386" s="5"/>
      <c r="N386" s="5" t="s">
        <v>600</v>
      </c>
      <c r="O386" s="5"/>
      <c r="P386" s="5" t="s">
        <v>230</v>
      </c>
      <c r="Q386" s="5" t="s">
        <v>47</v>
      </c>
      <c r="R386" s="12" t="n">
        <f aca="false">INDEX(Hypothèses!$B$14:$B$17,MATCH(Q386,Hypothèses!$A$14:$A$17,0))</f>
        <v>1.3525</v>
      </c>
      <c r="S386" s="15" t="str">
        <f aca="false">IF(G386="","",G386*R386)</f>
        <v/>
      </c>
      <c r="T386" s="15" t="n">
        <f aca="false">IF(H386="","",H386*R386)</f>
        <v>1540.40695929444</v>
      </c>
      <c r="U386" s="15" t="str">
        <f aca="false">IF(I386="","",I386*R386)</f>
        <v/>
      </c>
      <c r="V386" s="5" t="s">
        <v>195</v>
      </c>
      <c r="W386" s="5" t="s">
        <v>70</v>
      </c>
      <c r="X386" s="5" t="s">
        <v>601</v>
      </c>
    </row>
    <row r="387" customFormat="false" ht="15" hidden="false" customHeight="false" outlineLevel="0" collapsed="false">
      <c r="A387" s="5" t="s">
        <v>611</v>
      </c>
      <c r="B387" s="5" t="s">
        <v>139</v>
      </c>
      <c r="C387" s="5" t="s">
        <v>138</v>
      </c>
      <c r="D387" s="5" t="s">
        <v>192</v>
      </c>
      <c r="E387" s="5" t="s">
        <v>193</v>
      </c>
      <c r="F387" s="5" t="s">
        <v>598</v>
      </c>
      <c r="G387" s="15"/>
      <c r="H387" s="15" t="n">
        <v>1156.77800958726</v>
      </c>
      <c r="I387" s="15"/>
      <c r="J387" s="5" t="s">
        <v>599</v>
      </c>
      <c r="K387" s="5" t="n">
        <v>2015</v>
      </c>
      <c r="L387" s="5" t="str">
        <f aca="false">IF(AND(K387&gt;=Hypothèses!$B$9,K387&lt;=Hypothèses!$B$10),"actuel",IF(K387=2030,"2030",IF(K387=2050,"2050","autre")))</f>
        <v>autre</v>
      </c>
      <c r="M387" s="5"/>
      <c r="N387" s="5" t="s">
        <v>600</v>
      </c>
      <c r="O387" s="5"/>
      <c r="P387" s="5" t="s">
        <v>230</v>
      </c>
      <c r="Q387" s="5" t="s">
        <v>47</v>
      </c>
      <c r="R387" s="12" t="n">
        <f aca="false">INDEX(Hypothèses!$B$14:$B$17,MATCH(Q387,Hypothèses!$A$14:$A$17,0))</f>
        <v>1.3525</v>
      </c>
      <c r="S387" s="15" t="str">
        <f aca="false">IF(G387="","",G387*R387)</f>
        <v/>
      </c>
      <c r="T387" s="15" t="n">
        <f aca="false">IF(H387="","",H387*R387)</f>
        <v>1564.54225796677</v>
      </c>
      <c r="U387" s="15" t="str">
        <f aca="false">IF(I387="","",I387*R387)</f>
        <v/>
      </c>
      <c r="V387" s="5" t="s">
        <v>195</v>
      </c>
      <c r="W387" s="5" t="s">
        <v>70</v>
      </c>
      <c r="X387" s="5" t="s">
        <v>601</v>
      </c>
    </row>
    <row r="388" customFormat="false" ht="15" hidden="false" customHeight="false" outlineLevel="0" collapsed="false">
      <c r="A388" s="5" t="s">
        <v>612</v>
      </c>
      <c r="B388" s="5" t="s">
        <v>139</v>
      </c>
      <c r="C388" s="5" t="s">
        <v>138</v>
      </c>
      <c r="D388" s="5" t="s">
        <v>192</v>
      </c>
      <c r="E388" s="5" t="s">
        <v>193</v>
      </c>
      <c r="F388" s="5" t="s">
        <v>598</v>
      </c>
      <c r="G388" s="15"/>
      <c r="H388" s="15" t="n">
        <v>1012.26747896805</v>
      </c>
      <c r="I388" s="15"/>
      <c r="J388" s="5" t="s">
        <v>599</v>
      </c>
      <c r="K388" s="5" t="n">
        <v>2016</v>
      </c>
      <c r="L388" s="5" t="str">
        <f aca="false">IF(AND(K388&gt;=Hypothèses!$B$9,K388&lt;=Hypothèses!$B$10),"actuel",IF(K388=2030,"2030",IF(K388=2050,"2050","autre")))</f>
        <v>autre</v>
      </c>
      <c r="M388" s="5"/>
      <c r="N388" s="5" t="s">
        <v>600</v>
      </c>
      <c r="O388" s="5"/>
      <c r="P388" s="5" t="s">
        <v>230</v>
      </c>
      <c r="Q388" s="5" t="s">
        <v>47</v>
      </c>
      <c r="R388" s="12" t="n">
        <f aca="false">INDEX(Hypothèses!$B$14:$B$17,MATCH(Q388,Hypothèses!$A$14:$A$17,0))</f>
        <v>1.3525</v>
      </c>
      <c r="S388" s="15" t="str">
        <f aca="false">IF(G388="","",G388*R388)</f>
        <v/>
      </c>
      <c r="T388" s="15" t="n">
        <f aca="false">IF(H388="","",H388*R388)</f>
        <v>1369.09176530429</v>
      </c>
      <c r="U388" s="15" t="str">
        <f aca="false">IF(I388="","",I388*R388)</f>
        <v/>
      </c>
      <c r="V388" s="5" t="s">
        <v>195</v>
      </c>
      <c r="W388" s="5" t="s">
        <v>70</v>
      </c>
      <c r="X388" s="5" t="s">
        <v>601</v>
      </c>
    </row>
    <row r="389" customFormat="false" ht="15" hidden="false" customHeight="false" outlineLevel="0" collapsed="false">
      <c r="A389" s="5" t="s">
        <v>613</v>
      </c>
      <c r="B389" s="5" t="s">
        <v>139</v>
      </c>
      <c r="C389" s="5" t="s">
        <v>138</v>
      </c>
      <c r="D389" s="5" t="s">
        <v>192</v>
      </c>
      <c r="E389" s="5" t="s">
        <v>193</v>
      </c>
      <c r="F389" s="5" t="s">
        <v>598</v>
      </c>
      <c r="G389" s="15"/>
      <c r="H389" s="15" t="n">
        <v>987.5</v>
      </c>
      <c r="I389" s="15"/>
      <c r="J389" s="5" t="s">
        <v>599</v>
      </c>
      <c r="K389" s="5" t="n">
        <v>2017</v>
      </c>
      <c r="L389" s="5" t="str">
        <f aca="false">IF(AND(K389&gt;=Hypothèses!$B$9,K389&lt;=Hypothèses!$B$10),"actuel",IF(K389=2030,"2030",IF(K389=2050,"2050","autre")))</f>
        <v>autre</v>
      </c>
      <c r="M389" s="5"/>
      <c r="N389" s="5" t="s">
        <v>600</v>
      </c>
      <c r="O389" s="5"/>
      <c r="P389" s="5" t="s">
        <v>230</v>
      </c>
      <c r="Q389" s="5" t="s">
        <v>47</v>
      </c>
      <c r="R389" s="12" t="n">
        <f aca="false">INDEX(Hypothèses!$B$14:$B$17,MATCH(Q389,Hypothèses!$A$14:$A$17,0))</f>
        <v>1.3525</v>
      </c>
      <c r="S389" s="15" t="str">
        <f aca="false">IF(G389="","",G389*R389)</f>
        <v/>
      </c>
      <c r="T389" s="15" t="n">
        <f aca="false">IF(H389="","",H389*R389)</f>
        <v>1335.59375</v>
      </c>
      <c r="U389" s="15" t="str">
        <f aca="false">IF(I389="","",I389*R389)</f>
        <v/>
      </c>
      <c r="V389" s="5" t="s">
        <v>195</v>
      </c>
      <c r="W389" s="5" t="s">
        <v>70</v>
      </c>
      <c r="X389" s="5" t="s">
        <v>601</v>
      </c>
    </row>
    <row r="390" customFormat="false" ht="15" hidden="false" customHeight="false" outlineLevel="0" collapsed="false">
      <c r="A390" s="5" t="s">
        <v>614</v>
      </c>
      <c r="B390" s="5" t="s">
        <v>139</v>
      </c>
      <c r="C390" s="5" t="s">
        <v>138</v>
      </c>
      <c r="D390" s="5" t="s">
        <v>192</v>
      </c>
      <c r="E390" s="5" t="s">
        <v>193</v>
      </c>
      <c r="F390" s="5" t="s">
        <v>598</v>
      </c>
      <c r="G390" s="15"/>
      <c r="H390" s="15" t="n">
        <v>800</v>
      </c>
      <c r="I390" s="15"/>
      <c r="J390" s="5" t="s">
        <v>599</v>
      </c>
      <c r="K390" s="5" t="n">
        <v>2018</v>
      </c>
      <c r="L390" s="5" t="str">
        <f aca="false">IF(AND(K390&gt;=Hypothèses!$B$9,K390&lt;=Hypothèses!$B$10),"actuel",IF(K390=2030,"2030",IF(K390=2050,"2050","autre")))</f>
        <v>autre</v>
      </c>
      <c r="M390" s="5"/>
      <c r="N390" s="5" t="s">
        <v>600</v>
      </c>
      <c r="O390" s="5"/>
      <c r="P390" s="5" t="s">
        <v>230</v>
      </c>
      <c r="Q390" s="5" t="s">
        <v>47</v>
      </c>
      <c r="R390" s="12" t="n">
        <f aca="false">INDEX(Hypothèses!$B$14:$B$17,MATCH(Q390,Hypothèses!$A$14:$A$17,0))</f>
        <v>1.3525</v>
      </c>
      <c r="S390" s="15" t="str">
        <f aca="false">IF(G390="","",G390*R390)</f>
        <v/>
      </c>
      <c r="T390" s="15" t="n">
        <f aca="false">IF(H390="","",H390*R390)</f>
        <v>1082</v>
      </c>
      <c r="U390" s="15" t="str">
        <f aca="false">IF(I390="","",I390*R390)</f>
        <v/>
      </c>
      <c r="V390" s="5" t="s">
        <v>195</v>
      </c>
      <c r="W390" s="5" t="s">
        <v>70</v>
      </c>
      <c r="X390" s="5" t="s">
        <v>601</v>
      </c>
    </row>
    <row r="391" customFormat="false" ht="15" hidden="false" customHeight="false" outlineLevel="0" collapsed="false">
      <c r="A391" s="5" t="s">
        <v>615</v>
      </c>
      <c r="B391" s="5" t="s">
        <v>139</v>
      </c>
      <c r="C391" s="5" t="s">
        <v>149</v>
      </c>
      <c r="D391" s="5" t="s">
        <v>192</v>
      </c>
      <c r="E391" s="5" t="s">
        <v>193</v>
      </c>
      <c r="F391" s="5" t="s">
        <v>598</v>
      </c>
      <c r="G391" s="15"/>
      <c r="H391" s="15" t="n">
        <v>986.748</v>
      </c>
      <c r="I391" s="15"/>
      <c r="J391" s="5" t="s">
        <v>599</v>
      </c>
      <c r="K391" s="5" t="n">
        <v>2020</v>
      </c>
      <c r="L391" s="5" t="str">
        <f aca="false">IF(AND(K391&gt;=Hypothèses!$B$9,K391&lt;=Hypothèses!$B$10),"actuel",IF(K391=2030,"2030",IF(K391=2050,"2050","autre")))</f>
        <v>actuel</v>
      </c>
      <c r="M391" s="5"/>
      <c r="N391" s="5" t="s">
        <v>600</v>
      </c>
      <c r="O391" s="5"/>
      <c r="P391" s="5" t="s">
        <v>230</v>
      </c>
      <c r="Q391" s="5" t="s">
        <v>47</v>
      </c>
      <c r="R391" s="12" t="n">
        <f aca="false">INDEX(Hypothèses!$B$14:$B$17,MATCH(Q391,Hypothèses!$A$14:$A$17,0))</f>
        <v>1.3525</v>
      </c>
      <c r="S391" s="15" t="str">
        <f aca="false">IF(G391="","",G391*R391)</f>
        <v/>
      </c>
      <c r="T391" s="15" t="n">
        <f aca="false">IF(H391="","",H391*R391)</f>
        <v>1334.57667</v>
      </c>
      <c r="U391" s="15" t="str">
        <f aca="false">IF(I391="","",I391*R391)</f>
        <v/>
      </c>
      <c r="V391" s="5" t="s">
        <v>195</v>
      </c>
      <c r="W391" s="5" t="s">
        <v>70</v>
      </c>
      <c r="X391" s="5" t="s">
        <v>601</v>
      </c>
    </row>
    <row r="392" customFormat="false" ht="15" hidden="false" customHeight="false" outlineLevel="0" collapsed="false">
      <c r="A392" s="5" t="s">
        <v>616</v>
      </c>
      <c r="B392" s="5" t="s">
        <v>139</v>
      </c>
      <c r="C392" s="5" t="s">
        <v>151</v>
      </c>
      <c r="D392" s="5" t="s">
        <v>192</v>
      </c>
      <c r="E392" s="5" t="s">
        <v>193</v>
      </c>
      <c r="F392" s="5" t="s">
        <v>598</v>
      </c>
      <c r="G392" s="15"/>
      <c r="H392" s="15" t="n">
        <v>1134.546</v>
      </c>
      <c r="I392" s="15"/>
      <c r="J392" s="5" t="s">
        <v>599</v>
      </c>
      <c r="K392" s="5" t="n">
        <v>2021</v>
      </c>
      <c r="L392" s="5" t="str">
        <f aca="false">IF(AND(K392&gt;=Hypothèses!$B$9,K392&lt;=Hypothèses!$B$10),"actuel",IF(K392=2030,"2030",IF(K392=2050,"2050","autre")))</f>
        <v>actuel</v>
      </c>
      <c r="M392" s="5"/>
      <c r="N392" s="5" t="s">
        <v>600</v>
      </c>
      <c r="O392" s="5"/>
      <c r="P392" s="5" t="s">
        <v>230</v>
      </c>
      <c r="Q392" s="5" t="s">
        <v>47</v>
      </c>
      <c r="R392" s="12" t="n">
        <f aca="false">INDEX(Hypothèses!$B$14:$B$17,MATCH(Q392,Hypothèses!$A$14:$A$17,0))</f>
        <v>1.3525</v>
      </c>
      <c r="S392" s="15" t="str">
        <f aca="false">IF(G392="","",G392*R392)</f>
        <v/>
      </c>
      <c r="T392" s="15" t="n">
        <f aca="false">IF(H392="","",H392*R392)</f>
        <v>1534.473465</v>
      </c>
      <c r="U392" s="15" t="str">
        <f aca="false">IF(I392="","",I392*R392)</f>
        <v/>
      </c>
      <c r="V392" s="5" t="s">
        <v>195</v>
      </c>
      <c r="W392" s="5" t="s">
        <v>70</v>
      </c>
      <c r="X392" s="5" t="s">
        <v>601</v>
      </c>
    </row>
    <row r="393" customFormat="false" ht="15" hidden="false" customHeight="false" outlineLevel="0" collapsed="false">
      <c r="A393" s="5" t="s">
        <v>617</v>
      </c>
      <c r="B393" s="5" t="s">
        <v>139</v>
      </c>
      <c r="C393" s="5" t="s">
        <v>153</v>
      </c>
      <c r="D393" s="5" t="s">
        <v>192</v>
      </c>
      <c r="E393" s="5" t="s">
        <v>193</v>
      </c>
      <c r="F393" s="5" t="s">
        <v>598</v>
      </c>
      <c r="G393" s="15"/>
      <c r="H393" s="15" t="n">
        <v>1320.2965</v>
      </c>
      <c r="I393" s="15"/>
      <c r="J393" s="5" t="s">
        <v>599</v>
      </c>
      <c r="K393" s="5" t="n">
        <v>2022</v>
      </c>
      <c r="L393" s="5" t="str">
        <f aca="false">IF(AND(K393&gt;=Hypothèses!$B$9,K393&lt;=Hypothèses!$B$10),"actuel",IF(K393=2030,"2030",IF(K393=2050,"2050","autre")))</f>
        <v>actuel</v>
      </c>
      <c r="M393" s="5"/>
      <c r="N393" s="5" t="s">
        <v>600</v>
      </c>
      <c r="O393" s="5"/>
      <c r="P393" s="5" t="s">
        <v>230</v>
      </c>
      <c r="Q393" s="5" t="s">
        <v>47</v>
      </c>
      <c r="R393" s="12" t="n">
        <f aca="false">INDEX(Hypothèses!$B$14:$B$17,MATCH(Q393,Hypothèses!$A$14:$A$17,0))</f>
        <v>1.3525</v>
      </c>
      <c r="S393" s="15" t="str">
        <f aca="false">IF(G393="","",G393*R393)</f>
        <v/>
      </c>
      <c r="T393" s="15" t="n">
        <f aca="false">IF(H393="","",H393*R393)</f>
        <v>1785.70101625</v>
      </c>
      <c r="U393" s="15" t="str">
        <f aca="false">IF(I393="","",I393*R393)</f>
        <v/>
      </c>
      <c r="V393" s="5" t="s">
        <v>195</v>
      </c>
      <c r="W393" s="5" t="s">
        <v>70</v>
      </c>
      <c r="X393" s="5" t="s">
        <v>601</v>
      </c>
    </row>
    <row r="394" customFormat="false" ht="15" hidden="false" customHeight="false" outlineLevel="0" collapsed="false">
      <c r="A394" s="5" t="s">
        <v>618</v>
      </c>
      <c r="B394" s="5" t="s">
        <v>139</v>
      </c>
      <c r="C394" s="5" t="s">
        <v>155</v>
      </c>
      <c r="D394" s="5" t="s">
        <v>192</v>
      </c>
      <c r="E394" s="5" t="s">
        <v>193</v>
      </c>
      <c r="F394" s="5" t="s">
        <v>598</v>
      </c>
      <c r="G394" s="15"/>
      <c r="H394" s="15" t="n">
        <v>1586.78</v>
      </c>
      <c r="I394" s="15"/>
      <c r="J394" s="5" t="s">
        <v>599</v>
      </c>
      <c r="K394" s="5" t="n">
        <v>2023</v>
      </c>
      <c r="L394" s="5" t="str">
        <f aca="false">IF(AND(K394&gt;=Hypothèses!$B$9,K394&lt;=Hypothèses!$B$10),"actuel",IF(K394=2030,"2030",IF(K394=2050,"2050","autre")))</f>
        <v>actuel</v>
      </c>
      <c r="M394" s="5"/>
      <c r="N394" s="5" t="s">
        <v>600</v>
      </c>
      <c r="O394" s="5"/>
      <c r="P394" s="5" t="s">
        <v>230</v>
      </c>
      <c r="Q394" s="5" t="s">
        <v>47</v>
      </c>
      <c r="R394" s="12" t="n">
        <f aca="false">INDEX(Hypothèses!$B$14:$B$17,MATCH(Q394,Hypothèses!$A$14:$A$17,0))</f>
        <v>1.3525</v>
      </c>
      <c r="S394" s="15" t="str">
        <f aca="false">IF(G394="","",G394*R394)</f>
        <v/>
      </c>
      <c r="T394" s="15" t="n">
        <f aca="false">IF(H394="","",H394*R394)</f>
        <v>2146.11995</v>
      </c>
      <c r="U394" s="15" t="str">
        <f aca="false">IF(I394="","",I394*R394)</f>
        <v/>
      </c>
      <c r="V394" s="5" t="s">
        <v>195</v>
      </c>
      <c r="W394" s="5" t="s">
        <v>70</v>
      </c>
      <c r="X394" s="5" t="s">
        <v>601</v>
      </c>
    </row>
    <row r="395" customFormat="false" ht="15" hidden="false" customHeight="false" outlineLevel="0" collapsed="false">
      <c r="A395" s="5" t="s">
        <v>619</v>
      </c>
      <c r="B395" s="5" t="s">
        <v>139</v>
      </c>
      <c r="C395" s="5" t="s">
        <v>145</v>
      </c>
      <c r="D395" s="5" t="s">
        <v>192</v>
      </c>
      <c r="E395" s="5" t="s">
        <v>193</v>
      </c>
      <c r="F395" s="5" t="s">
        <v>598</v>
      </c>
      <c r="G395" s="15"/>
      <c r="H395" s="15" t="n">
        <v>779.2375</v>
      </c>
      <c r="I395" s="15"/>
      <c r="J395" s="5" t="s">
        <v>599</v>
      </c>
      <c r="K395" s="5" t="n">
        <v>2019</v>
      </c>
      <c r="L395" s="5" t="str">
        <f aca="false">IF(AND(K395&gt;=Hypothèses!$B$9,K395&lt;=Hypothèses!$B$10),"actuel",IF(K395=2030,"2030",IF(K395=2050,"2050","autre")))</f>
        <v>autre</v>
      </c>
      <c r="M395" s="5"/>
      <c r="N395" s="5" t="s">
        <v>600</v>
      </c>
      <c r="O395" s="5"/>
      <c r="P395" s="5" t="s">
        <v>230</v>
      </c>
      <c r="Q395" s="5" t="s">
        <v>47</v>
      </c>
      <c r="R395" s="12" t="n">
        <f aca="false">INDEX(Hypothèses!$B$14:$B$17,MATCH(Q395,Hypothèses!$A$14:$A$17,0))</f>
        <v>1.3525</v>
      </c>
      <c r="S395" s="15" t="str">
        <f aca="false">IF(G395="","",G395*R395)</f>
        <v/>
      </c>
      <c r="T395" s="15" t="n">
        <f aca="false">IF(H395="","",H395*R395)</f>
        <v>1053.91871875</v>
      </c>
      <c r="U395" s="15" t="str">
        <f aca="false">IF(I395="","",I395*R395)</f>
        <v/>
      </c>
      <c r="V395" s="5" t="s">
        <v>195</v>
      </c>
      <c r="W395" s="5" t="s">
        <v>70</v>
      </c>
      <c r="X395" s="5" t="s">
        <v>601</v>
      </c>
    </row>
    <row r="396" customFormat="false" ht="15" hidden="false" customHeight="false" outlineLevel="0" collapsed="false">
      <c r="A396" s="5" t="s">
        <v>620</v>
      </c>
      <c r="B396" s="5" t="s">
        <v>139</v>
      </c>
      <c r="C396" s="5" t="s">
        <v>138</v>
      </c>
      <c r="D396" s="5" t="s">
        <v>413</v>
      </c>
      <c r="E396" s="5" t="s">
        <v>193</v>
      </c>
      <c r="F396" s="5" t="s">
        <v>598</v>
      </c>
      <c r="G396" s="15"/>
      <c r="H396" s="15" t="n">
        <v>3368.87355909453</v>
      </c>
      <c r="I396" s="15"/>
      <c r="J396" s="5" t="s">
        <v>599</v>
      </c>
      <c r="K396" s="5" t="n">
        <v>2003</v>
      </c>
      <c r="L396" s="5" t="str">
        <f aca="false">IF(AND(K396&gt;=Hypothèses!$B$9,K396&lt;=Hypothèses!$B$10),"actuel",IF(K396=2030,"2030",IF(K396=2050,"2050","autre")))</f>
        <v>autre</v>
      </c>
      <c r="M396" s="5"/>
      <c r="N396" s="5" t="s">
        <v>600</v>
      </c>
      <c r="O396" s="5"/>
      <c r="P396" s="5" t="s">
        <v>230</v>
      </c>
      <c r="Q396" s="5" t="s">
        <v>47</v>
      </c>
      <c r="R396" s="12" t="n">
        <f aca="false">INDEX(Hypothèses!$B$14:$B$17,MATCH(Q396,Hypothèses!$A$14:$A$17,0))</f>
        <v>1.3525</v>
      </c>
      <c r="S396" s="15" t="str">
        <f aca="false">IF(G396="","",G396*R396)</f>
        <v/>
      </c>
      <c r="T396" s="15" t="n">
        <f aca="false">IF(H396="","",H396*R396)</f>
        <v>4556.40148867536</v>
      </c>
      <c r="U396" s="15" t="str">
        <f aca="false">IF(I396="","",I396*R396)</f>
        <v/>
      </c>
      <c r="V396" s="5" t="s">
        <v>195</v>
      </c>
      <c r="W396" s="5" t="s">
        <v>70</v>
      </c>
      <c r="X396" s="5" t="s">
        <v>601</v>
      </c>
    </row>
    <row r="397" customFormat="false" ht="15" hidden="false" customHeight="false" outlineLevel="0" collapsed="false">
      <c r="A397" s="5" t="s">
        <v>621</v>
      </c>
      <c r="B397" s="5" t="s">
        <v>139</v>
      </c>
      <c r="C397" s="5" t="s">
        <v>138</v>
      </c>
      <c r="D397" s="5" t="s">
        <v>413</v>
      </c>
      <c r="E397" s="5" t="s">
        <v>193</v>
      </c>
      <c r="F397" s="5" t="s">
        <v>598</v>
      </c>
      <c r="G397" s="15"/>
      <c r="H397" s="15" t="n">
        <v>4795.90565155882</v>
      </c>
      <c r="I397" s="15"/>
      <c r="J397" s="5" t="s">
        <v>599</v>
      </c>
      <c r="K397" s="5" t="n">
        <v>2004</v>
      </c>
      <c r="L397" s="5" t="str">
        <f aca="false">IF(AND(K397&gt;=Hypothèses!$B$9,K397&lt;=Hypothèses!$B$10),"actuel",IF(K397=2030,"2030",IF(K397=2050,"2050","autre")))</f>
        <v>autre</v>
      </c>
      <c r="M397" s="5"/>
      <c r="N397" s="5" t="s">
        <v>600</v>
      </c>
      <c r="O397" s="5"/>
      <c r="P397" s="5" t="s">
        <v>230</v>
      </c>
      <c r="Q397" s="5" t="s">
        <v>47</v>
      </c>
      <c r="R397" s="12" t="n">
        <f aca="false">INDEX(Hypothèses!$B$14:$B$17,MATCH(Q397,Hypothèses!$A$14:$A$17,0))</f>
        <v>1.3525</v>
      </c>
      <c r="S397" s="15" t="str">
        <f aca="false">IF(G397="","",G397*R397)</f>
        <v/>
      </c>
      <c r="T397" s="15" t="n">
        <f aca="false">IF(H397="","",H397*R397)</f>
        <v>6486.4623937333</v>
      </c>
      <c r="U397" s="15" t="str">
        <f aca="false">IF(I397="","",I397*R397)</f>
        <v/>
      </c>
      <c r="V397" s="5" t="s">
        <v>195</v>
      </c>
      <c r="W397" s="5" t="s">
        <v>70</v>
      </c>
      <c r="X397" s="5" t="s">
        <v>601</v>
      </c>
    </row>
    <row r="398" customFormat="false" ht="15" hidden="false" customHeight="false" outlineLevel="0" collapsed="false">
      <c r="A398" s="5" t="s">
        <v>622</v>
      </c>
      <c r="B398" s="5" t="s">
        <v>139</v>
      </c>
      <c r="C398" s="5" t="s">
        <v>138</v>
      </c>
      <c r="D398" s="5" t="s">
        <v>413</v>
      </c>
      <c r="E398" s="5" t="s">
        <v>193</v>
      </c>
      <c r="F398" s="5" t="s">
        <v>598</v>
      </c>
      <c r="G398" s="15"/>
      <c r="H398" s="15" t="n">
        <v>2440.33349929535</v>
      </c>
      <c r="I398" s="15"/>
      <c r="J398" s="5" t="s">
        <v>599</v>
      </c>
      <c r="K398" s="5" t="n">
        <v>2005</v>
      </c>
      <c r="L398" s="5" t="str">
        <f aca="false">IF(AND(K398&gt;=Hypothèses!$B$9,K398&lt;=Hypothèses!$B$10),"actuel",IF(K398=2030,"2030",IF(K398=2050,"2050","autre")))</f>
        <v>autre</v>
      </c>
      <c r="M398" s="5"/>
      <c r="N398" s="5" t="s">
        <v>600</v>
      </c>
      <c r="O398" s="5"/>
      <c r="P398" s="5" t="s">
        <v>230</v>
      </c>
      <c r="Q398" s="5" t="s">
        <v>47</v>
      </c>
      <c r="R398" s="12" t="n">
        <f aca="false">INDEX(Hypothèses!$B$14:$B$17,MATCH(Q398,Hypothèses!$A$14:$A$17,0))</f>
        <v>1.3525</v>
      </c>
      <c r="S398" s="15" t="str">
        <f aca="false">IF(G398="","",G398*R398)</f>
        <v/>
      </c>
      <c r="T398" s="15" t="n">
        <f aca="false">IF(H398="","",H398*R398)</f>
        <v>3300.55105779696</v>
      </c>
      <c r="U398" s="15" t="str">
        <f aca="false">IF(I398="","",I398*R398)</f>
        <v/>
      </c>
      <c r="V398" s="5" t="s">
        <v>195</v>
      </c>
      <c r="W398" s="5" t="s">
        <v>70</v>
      </c>
      <c r="X398" s="5" t="s">
        <v>601</v>
      </c>
    </row>
    <row r="399" customFormat="false" ht="15" hidden="false" customHeight="false" outlineLevel="0" collapsed="false">
      <c r="A399" s="5" t="s">
        <v>623</v>
      </c>
      <c r="B399" s="5" t="s">
        <v>139</v>
      </c>
      <c r="C399" s="5" t="s">
        <v>138</v>
      </c>
      <c r="D399" s="5" t="s">
        <v>413</v>
      </c>
      <c r="E399" s="5" t="s">
        <v>193</v>
      </c>
      <c r="F399" s="5" t="s">
        <v>598</v>
      </c>
      <c r="G399" s="15"/>
      <c r="H399" s="15" t="n">
        <v>3446.87159036261</v>
      </c>
      <c r="I399" s="15"/>
      <c r="J399" s="5" t="s">
        <v>599</v>
      </c>
      <c r="K399" s="5" t="n">
        <v>2008</v>
      </c>
      <c r="L399" s="5" t="str">
        <f aca="false">IF(AND(K399&gt;=Hypothèses!$B$9,K399&lt;=Hypothèses!$B$10),"actuel",IF(K399=2030,"2030",IF(K399=2050,"2050","autre")))</f>
        <v>autre</v>
      </c>
      <c r="M399" s="5"/>
      <c r="N399" s="5" t="s">
        <v>600</v>
      </c>
      <c r="O399" s="5"/>
      <c r="P399" s="5" t="s">
        <v>230</v>
      </c>
      <c r="Q399" s="5" t="s">
        <v>47</v>
      </c>
      <c r="R399" s="12" t="n">
        <f aca="false">INDEX(Hypothèses!$B$14:$B$17,MATCH(Q399,Hypothèses!$A$14:$A$17,0))</f>
        <v>1.3525</v>
      </c>
      <c r="S399" s="15" t="str">
        <f aca="false">IF(G399="","",G399*R399)</f>
        <v/>
      </c>
      <c r="T399" s="15" t="n">
        <f aca="false">IF(H399="","",H399*R399)</f>
        <v>4661.89382596543</v>
      </c>
      <c r="U399" s="15" t="str">
        <f aca="false">IF(I399="","",I399*R399)</f>
        <v/>
      </c>
      <c r="V399" s="5" t="s">
        <v>195</v>
      </c>
      <c r="W399" s="5" t="s">
        <v>70</v>
      </c>
      <c r="X399" s="5" t="s">
        <v>601</v>
      </c>
    </row>
    <row r="400" customFormat="false" ht="15" hidden="false" customHeight="false" outlineLevel="0" collapsed="false">
      <c r="A400" s="5" t="s">
        <v>624</v>
      </c>
      <c r="B400" s="5" t="s">
        <v>139</v>
      </c>
      <c r="C400" s="5" t="s">
        <v>138</v>
      </c>
      <c r="D400" s="5" t="s">
        <v>413</v>
      </c>
      <c r="E400" s="5" t="s">
        <v>193</v>
      </c>
      <c r="F400" s="5" t="s">
        <v>598</v>
      </c>
      <c r="G400" s="15"/>
      <c r="H400" s="15" t="n">
        <v>2153.84041631872</v>
      </c>
      <c r="I400" s="15"/>
      <c r="J400" s="5" t="s">
        <v>599</v>
      </c>
      <c r="K400" s="5" t="n">
        <v>2009</v>
      </c>
      <c r="L400" s="5" t="str">
        <f aca="false">IF(AND(K400&gt;=Hypothèses!$B$9,K400&lt;=Hypothèses!$B$10),"actuel",IF(K400=2030,"2030",IF(K400=2050,"2050","autre")))</f>
        <v>autre</v>
      </c>
      <c r="M400" s="5"/>
      <c r="N400" s="5" t="s">
        <v>600</v>
      </c>
      <c r="O400" s="5"/>
      <c r="P400" s="5" t="s">
        <v>230</v>
      </c>
      <c r="Q400" s="5" t="s">
        <v>47</v>
      </c>
      <c r="R400" s="12" t="n">
        <f aca="false">INDEX(Hypothèses!$B$14:$B$17,MATCH(Q400,Hypothèses!$A$14:$A$17,0))</f>
        <v>1.3525</v>
      </c>
      <c r="S400" s="15" t="str">
        <f aca="false">IF(G400="","",G400*R400)</f>
        <v/>
      </c>
      <c r="T400" s="15" t="n">
        <f aca="false">IF(H400="","",H400*R400)</f>
        <v>2913.06916307107</v>
      </c>
      <c r="U400" s="15" t="str">
        <f aca="false">IF(I400="","",I400*R400)</f>
        <v/>
      </c>
      <c r="V400" s="5" t="s">
        <v>195</v>
      </c>
      <c r="W400" s="5" t="s">
        <v>70</v>
      </c>
      <c r="X400" s="5" t="s">
        <v>601</v>
      </c>
    </row>
    <row r="401" customFormat="false" ht="15" hidden="false" customHeight="false" outlineLevel="0" collapsed="false">
      <c r="A401" s="5" t="s">
        <v>625</v>
      </c>
      <c r="B401" s="5" t="s">
        <v>139</v>
      </c>
      <c r="C401" s="5" t="s">
        <v>138</v>
      </c>
      <c r="D401" s="5" t="s">
        <v>413</v>
      </c>
      <c r="E401" s="5" t="s">
        <v>193</v>
      </c>
      <c r="F401" s="5" t="s">
        <v>598</v>
      </c>
      <c r="G401" s="15"/>
      <c r="H401" s="15" t="n">
        <v>2049.57127155346</v>
      </c>
      <c r="I401" s="15"/>
      <c r="J401" s="5" t="s">
        <v>599</v>
      </c>
      <c r="K401" s="5" t="n">
        <v>2010</v>
      </c>
      <c r="L401" s="5" t="str">
        <f aca="false">IF(AND(K401&gt;=Hypothèses!$B$9,K401&lt;=Hypothèses!$B$10),"actuel",IF(K401=2030,"2030",IF(K401=2050,"2050","autre")))</f>
        <v>autre</v>
      </c>
      <c r="M401" s="5"/>
      <c r="N401" s="5" t="s">
        <v>600</v>
      </c>
      <c r="O401" s="5"/>
      <c r="P401" s="5" t="s">
        <v>230</v>
      </c>
      <c r="Q401" s="5" t="s">
        <v>47</v>
      </c>
      <c r="R401" s="12" t="n">
        <f aca="false">INDEX(Hypothèses!$B$14:$B$17,MATCH(Q401,Hypothèses!$A$14:$A$17,0))</f>
        <v>1.3525</v>
      </c>
      <c r="S401" s="15" t="str">
        <f aca="false">IF(G401="","",G401*R401)</f>
        <v/>
      </c>
      <c r="T401" s="15" t="n">
        <f aca="false">IF(H401="","",H401*R401)</f>
        <v>2772.04514477606</v>
      </c>
      <c r="U401" s="15" t="str">
        <f aca="false">IF(I401="","",I401*R401)</f>
        <v/>
      </c>
      <c r="V401" s="5" t="s">
        <v>195</v>
      </c>
      <c r="W401" s="5" t="s">
        <v>70</v>
      </c>
      <c r="X401" s="5" t="s">
        <v>601</v>
      </c>
    </row>
    <row r="402" customFormat="false" ht="15" hidden="false" customHeight="false" outlineLevel="0" collapsed="false">
      <c r="A402" s="5" t="s">
        <v>626</v>
      </c>
      <c r="B402" s="5" t="s">
        <v>139</v>
      </c>
      <c r="C402" s="5" t="s">
        <v>138</v>
      </c>
      <c r="D402" s="5" t="s">
        <v>413</v>
      </c>
      <c r="E402" s="5" t="s">
        <v>193</v>
      </c>
      <c r="F402" s="5" t="s">
        <v>598</v>
      </c>
      <c r="G402" s="15"/>
      <c r="H402" s="15" t="n">
        <v>2367.9284793614</v>
      </c>
      <c r="I402" s="15"/>
      <c r="J402" s="5" t="s">
        <v>599</v>
      </c>
      <c r="K402" s="5" t="n">
        <v>2013</v>
      </c>
      <c r="L402" s="5" t="str">
        <f aca="false">IF(AND(K402&gt;=Hypothèses!$B$9,K402&lt;=Hypothèses!$B$10),"actuel",IF(K402=2030,"2030",IF(K402=2050,"2050","autre")))</f>
        <v>autre</v>
      </c>
      <c r="M402" s="5"/>
      <c r="N402" s="5" t="s">
        <v>600</v>
      </c>
      <c r="O402" s="5"/>
      <c r="P402" s="5" t="s">
        <v>230</v>
      </c>
      <c r="Q402" s="5" t="s">
        <v>47</v>
      </c>
      <c r="R402" s="12" t="n">
        <f aca="false">INDEX(Hypothèses!$B$14:$B$17,MATCH(Q402,Hypothèses!$A$14:$A$17,0))</f>
        <v>1.3525</v>
      </c>
      <c r="S402" s="15" t="str">
        <f aca="false">IF(G402="","",G402*R402)</f>
        <v/>
      </c>
      <c r="T402" s="15" t="n">
        <f aca="false">IF(H402="","",H402*R402)</f>
        <v>3202.62326833629</v>
      </c>
      <c r="U402" s="15" t="str">
        <f aca="false">IF(I402="","",I402*R402)</f>
        <v/>
      </c>
      <c r="V402" s="5" t="s">
        <v>195</v>
      </c>
      <c r="W402" s="5" t="s">
        <v>70</v>
      </c>
      <c r="X402" s="5" t="s">
        <v>601</v>
      </c>
    </row>
    <row r="403" customFormat="false" ht="15" hidden="false" customHeight="false" outlineLevel="0" collapsed="false">
      <c r="A403" s="5" t="s">
        <v>627</v>
      </c>
      <c r="B403" s="5" t="s">
        <v>139</v>
      </c>
      <c r="C403" s="5" t="s">
        <v>138</v>
      </c>
      <c r="D403" s="5" t="s">
        <v>413</v>
      </c>
      <c r="E403" s="5" t="s">
        <v>193</v>
      </c>
      <c r="F403" s="5" t="s">
        <v>598</v>
      </c>
      <c r="G403" s="15"/>
      <c r="H403" s="15" t="n">
        <v>2062.82986875287</v>
      </c>
      <c r="I403" s="15"/>
      <c r="J403" s="5" t="s">
        <v>599</v>
      </c>
      <c r="K403" s="5" t="n">
        <v>2014</v>
      </c>
      <c r="L403" s="5" t="str">
        <f aca="false">IF(AND(K403&gt;=Hypothèses!$B$9,K403&lt;=Hypothèses!$B$10),"actuel",IF(K403=2030,"2030",IF(K403=2050,"2050","autre")))</f>
        <v>autre</v>
      </c>
      <c r="M403" s="5"/>
      <c r="N403" s="5" t="s">
        <v>600</v>
      </c>
      <c r="O403" s="5"/>
      <c r="P403" s="5" t="s">
        <v>230</v>
      </c>
      <c r="Q403" s="5" t="s">
        <v>47</v>
      </c>
      <c r="R403" s="12" t="n">
        <f aca="false">INDEX(Hypothèses!$B$14:$B$17,MATCH(Q403,Hypothèses!$A$14:$A$17,0))</f>
        <v>1.3525</v>
      </c>
      <c r="S403" s="15" t="str">
        <f aca="false">IF(G403="","",G403*R403)</f>
        <v/>
      </c>
      <c r="T403" s="15" t="n">
        <f aca="false">IF(H403="","",H403*R403)</f>
        <v>2789.97739748825</v>
      </c>
      <c r="U403" s="15" t="str">
        <f aca="false">IF(I403="","",I403*R403)</f>
        <v/>
      </c>
      <c r="V403" s="5" t="s">
        <v>195</v>
      </c>
      <c r="W403" s="5" t="s">
        <v>70</v>
      </c>
      <c r="X403" s="5" t="s">
        <v>601</v>
      </c>
    </row>
    <row r="404" customFormat="false" ht="15" hidden="false" customHeight="false" outlineLevel="0" collapsed="false">
      <c r="A404" s="5" t="s">
        <v>628</v>
      </c>
      <c r="B404" s="5" t="s">
        <v>139</v>
      </c>
      <c r="C404" s="5" t="s">
        <v>138</v>
      </c>
      <c r="D404" s="5" t="s">
        <v>413</v>
      </c>
      <c r="E404" s="5" t="s">
        <v>193</v>
      </c>
      <c r="F404" s="5" t="s">
        <v>598</v>
      </c>
      <c r="G404" s="15"/>
      <c r="H404" s="15" t="n">
        <v>2011.78784276045</v>
      </c>
      <c r="I404" s="15"/>
      <c r="J404" s="5" t="s">
        <v>599</v>
      </c>
      <c r="K404" s="5" t="n">
        <v>2015</v>
      </c>
      <c r="L404" s="5" t="str">
        <f aca="false">IF(AND(K404&gt;=Hypothèses!$B$9,K404&lt;=Hypothèses!$B$10),"actuel",IF(K404=2030,"2030",IF(K404=2050,"2050","autre")))</f>
        <v>autre</v>
      </c>
      <c r="M404" s="5"/>
      <c r="N404" s="5" t="s">
        <v>600</v>
      </c>
      <c r="O404" s="5"/>
      <c r="P404" s="5" t="s">
        <v>230</v>
      </c>
      <c r="Q404" s="5" t="s">
        <v>47</v>
      </c>
      <c r="R404" s="12" t="n">
        <f aca="false">INDEX(Hypothèses!$B$14:$B$17,MATCH(Q404,Hypothèses!$A$14:$A$17,0))</f>
        <v>1.3525</v>
      </c>
      <c r="S404" s="15" t="str">
        <f aca="false">IF(G404="","",G404*R404)</f>
        <v/>
      </c>
      <c r="T404" s="15" t="n">
        <f aca="false">IF(H404="","",H404*R404)</f>
        <v>2720.94305733351</v>
      </c>
      <c r="U404" s="15" t="str">
        <f aca="false">IF(I404="","",I404*R404)</f>
        <v/>
      </c>
      <c r="V404" s="5" t="s">
        <v>195</v>
      </c>
      <c r="W404" s="5" t="s">
        <v>70</v>
      </c>
      <c r="X404" s="5" t="s">
        <v>601</v>
      </c>
    </row>
    <row r="405" customFormat="false" ht="15" hidden="false" customHeight="false" outlineLevel="0" collapsed="false">
      <c r="A405" s="5" t="s">
        <v>629</v>
      </c>
      <c r="B405" s="5" t="s">
        <v>139</v>
      </c>
      <c r="C405" s="5" t="s">
        <v>138</v>
      </c>
      <c r="D405" s="5" t="s">
        <v>413</v>
      </c>
      <c r="E405" s="5" t="s">
        <v>193</v>
      </c>
      <c r="F405" s="5" t="s">
        <v>598</v>
      </c>
      <c r="G405" s="15"/>
      <c r="H405" s="15" t="n">
        <v>1900</v>
      </c>
      <c r="I405" s="15"/>
      <c r="J405" s="5" t="s">
        <v>599</v>
      </c>
      <c r="K405" s="5" t="n">
        <v>2016</v>
      </c>
      <c r="L405" s="5" t="str">
        <f aca="false">IF(AND(K405&gt;=Hypothèses!$B$9,K405&lt;=Hypothèses!$B$10),"actuel",IF(K405=2030,"2030",IF(K405=2050,"2050","autre")))</f>
        <v>autre</v>
      </c>
      <c r="M405" s="5"/>
      <c r="N405" s="5" t="s">
        <v>600</v>
      </c>
      <c r="O405" s="5"/>
      <c r="P405" s="5" t="s">
        <v>230</v>
      </c>
      <c r="Q405" s="5" t="s">
        <v>47</v>
      </c>
      <c r="R405" s="12" t="n">
        <f aca="false">INDEX(Hypothèses!$B$14:$B$17,MATCH(Q405,Hypothèses!$A$14:$A$17,0))</f>
        <v>1.3525</v>
      </c>
      <c r="S405" s="15" t="str">
        <f aca="false">IF(G405="","",G405*R405)</f>
        <v/>
      </c>
      <c r="T405" s="15" t="n">
        <f aca="false">IF(H405="","",H405*R405)</f>
        <v>2569.75</v>
      </c>
      <c r="U405" s="15" t="str">
        <f aca="false">IF(I405="","",I405*R405)</f>
        <v/>
      </c>
      <c r="V405" s="5" t="s">
        <v>195</v>
      </c>
      <c r="W405" s="5" t="s">
        <v>70</v>
      </c>
      <c r="X405" s="5" t="s">
        <v>601</v>
      </c>
    </row>
    <row r="406" customFormat="false" ht="15" hidden="false" customHeight="false" outlineLevel="0" collapsed="false">
      <c r="A406" s="5" t="s">
        <v>630</v>
      </c>
      <c r="B406" s="5" t="s">
        <v>139</v>
      </c>
      <c r="C406" s="5" t="s">
        <v>138</v>
      </c>
      <c r="D406" s="5" t="s">
        <v>413</v>
      </c>
      <c r="E406" s="5" t="s">
        <v>193</v>
      </c>
      <c r="F406" s="5" t="s">
        <v>598</v>
      </c>
      <c r="G406" s="15"/>
      <c r="H406" s="15" t="n">
        <v>1303.63852210877</v>
      </c>
      <c r="I406" s="15"/>
      <c r="J406" s="5" t="s">
        <v>599</v>
      </c>
      <c r="K406" s="5" t="n">
        <v>2017</v>
      </c>
      <c r="L406" s="5" t="str">
        <f aca="false">IF(AND(K406&gt;=Hypothèses!$B$9,K406&lt;=Hypothèses!$B$10),"actuel",IF(K406=2030,"2030",IF(K406=2050,"2050","autre")))</f>
        <v>autre</v>
      </c>
      <c r="M406" s="5"/>
      <c r="N406" s="5" t="s">
        <v>600</v>
      </c>
      <c r="O406" s="5"/>
      <c r="P406" s="5" t="s">
        <v>230</v>
      </c>
      <c r="Q406" s="5" t="s">
        <v>47</v>
      </c>
      <c r="R406" s="12" t="n">
        <f aca="false">INDEX(Hypothèses!$B$14:$B$17,MATCH(Q406,Hypothèses!$A$14:$A$17,0))</f>
        <v>1.3525</v>
      </c>
      <c r="S406" s="15" t="str">
        <f aca="false">IF(G406="","",G406*R406)</f>
        <v/>
      </c>
      <c r="T406" s="15" t="n">
        <f aca="false">IF(H406="","",H406*R406)</f>
        <v>1763.17110115211</v>
      </c>
      <c r="U406" s="15" t="str">
        <f aca="false">IF(I406="","",I406*R406)</f>
        <v/>
      </c>
      <c r="V406" s="5" t="s">
        <v>195</v>
      </c>
      <c r="W406" s="5" t="s">
        <v>70</v>
      </c>
      <c r="X406" s="5" t="s">
        <v>601</v>
      </c>
    </row>
    <row r="407" customFormat="false" ht="15" hidden="false" customHeight="false" outlineLevel="0" collapsed="false">
      <c r="A407" s="5" t="s">
        <v>631</v>
      </c>
      <c r="B407" s="5" t="s">
        <v>139</v>
      </c>
      <c r="C407" s="5" t="s">
        <v>138</v>
      </c>
      <c r="D407" s="5" t="s">
        <v>413</v>
      </c>
      <c r="E407" s="5" t="s">
        <v>193</v>
      </c>
      <c r="F407" s="5" t="s">
        <v>598</v>
      </c>
      <c r="G407" s="15"/>
      <c r="H407" s="15" t="n">
        <v>1000</v>
      </c>
      <c r="I407" s="15"/>
      <c r="J407" s="5" t="s">
        <v>599</v>
      </c>
      <c r="K407" s="5" t="n">
        <v>2018</v>
      </c>
      <c r="L407" s="5" t="str">
        <f aca="false">IF(AND(K407&gt;=Hypothèses!$B$9,K407&lt;=Hypothèses!$B$10),"actuel",IF(K407=2030,"2030",IF(K407=2050,"2050","autre")))</f>
        <v>autre</v>
      </c>
      <c r="M407" s="5"/>
      <c r="N407" s="5" t="s">
        <v>600</v>
      </c>
      <c r="O407" s="5"/>
      <c r="P407" s="5" t="s">
        <v>230</v>
      </c>
      <c r="Q407" s="5" t="s">
        <v>47</v>
      </c>
      <c r="R407" s="12" t="n">
        <f aca="false">INDEX(Hypothèses!$B$14:$B$17,MATCH(Q407,Hypothèses!$A$14:$A$17,0))</f>
        <v>1.3525</v>
      </c>
      <c r="S407" s="15" t="str">
        <f aca="false">IF(G407="","",G407*R407)</f>
        <v/>
      </c>
      <c r="T407" s="15" t="n">
        <f aca="false">IF(H407="","",H407*R407)</f>
        <v>1352.5</v>
      </c>
      <c r="U407" s="15" t="str">
        <f aca="false">IF(I407="","",I407*R407)</f>
        <v/>
      </c>
      <c r="V407" s="5" t="s">
        <v>195</v>
      </c>
      <c r="W407" s="5" t="s">
        <v>70</v>
      </c>
      <c r="X407" s="5" t="s">
        <v>601</v>
      </c>
    </row>
    <row r="408" customFormat="false" ht="15" hidden="false" customHeight="false" outlineLevel="0" collapsed="false">
      <c r="A408" s="5" t="s">
        <v>632</v>
      </c>
      <c r="B408" s="5" t="s">
        <v>139</v>
      </c>
      <c r="C408" s="5" t="s">
        <v>149</v>
      </c>
      <c r="D408" s="5" t="s">
        <v>413</v>
      </c>
      <c r="E408" s="5" t="s">
        <v>193</v>
      </c>
      <c r="F408" s="5" t="s">
        <v>598</v>
      </c>
      <c r="G408" s="15"/>
      <c r="H408" s="15" t="n">
        <v>1439.0075</v>
      </c>
      <c r="I408" s="15"/>
      <c r="J408" s="5" t="s">
        <v>599</v>
      </c>
      <c r="K408" s="5" t="n">
        <v>2020</v>
      </c>
      <c r="L408" s="5" t="str">
        <f aca="false">IF(AND(K408&gt;=Hypothèses!$B$9,K408&lt;=Hypothèses!$B$10),"actuel",IF(K408=2030,"2030",IF(K408=2050,"2050","autre")))</f>
        <v>actuel</v>
      </c>
      <c r="M408" s="5"/>
      <c r="N408" s="5" t="s">
        <v>600</v>
      </c>
      <c r="O408" s="5"/>
      <c r="P408" s="5" t="s">
        <v>230</v>
      </c>
      <c r="Q408" s="5" t="s">
        <v>47</v>
      </c>
      <c r="R408" s="12" t="n">
        <f aca="false">INDEX(Hypothèses!$B$14:$B$17,MATCH(Q408,Hypothèses!$A$14:$A$17,0))</f>
        <v>1.3525</v>
      </c>
      <c r="S408" s="15" t="str">
        <f aca="false">IF(G408="","",G408*R408)</f>
        <v/>
      </c>
      <c r="T408" s="15" t="n">
        <f aca="false">IF(H408="","",H408*R408)</f>
        <v>1946.25764375</v>
      </c>
      <c r="U408" s="15" t="str">
        <f aca="false">IF(I408="","",I408*R408)</f>
        <v/>
      </c>
      <c r="V408" s="5" t="s">
        <v>195</v>
      </c>
      <c r="W408" s="5" t="s">
        <v>70</v>
      </c>
      <c r="X408" s="5" t="s">
        <v>601</v>
      </c>
    </row>
    <row r="409" customFormat="false" ht="15" hidden="false" customHeight="false" outlineLevel="0" collapsed="false">
      <c r="A409" s="5" t="s">
        <v>633</v>
      </c>
      <c r="B409" s="5" t="s">
        <v>139</v>
      </c>
      <c r="C409" s="5" t="s">
        <v>151</v>
      </c>
      <c r="D409" s="5" t="s">
        <v>413</v>
      </c>
      <c r="E409" s="5" t="s">
        <v>193</v>
      </c>
      <c r="F409" s="5" t="s">
        <v>598</v>
      </c>
      <c r="G409" s="15"/>
      <c r="H409" s="15" t="n">
        <v>1434.3903</v>
      </c>
      <c r="I409" s="15"/>
      <c r="J409" s="5" t="s">
        <v>599</v>
      </c>
      <c r="K409" s="5" t="n">
        <v>2021</v>
      </c>
      <c r="L409" s="5" t="str">
        <f aca="false">IF(AND(K409&gt;=Hypothèses!$B$9,K409&lt;=Hypothèses!$B$10),"actuel",IF(K409=2030,"2030",IF(K409=2050,"2050","autre")))</f>
        <v>actuel</v>
      </c>
      <c r="M409" s="5"/>
      <c r="N409" s="5" t="s">
        <v>600</v>
      </c>
      <c r="O409" s="5"/>
      <c r="P409" s="5" t="s">
        <v>230</v>
      </c>
      <c r="Q409" s="5" t="s">
        <v>47</v>
      </c>
      <c r="R409" s="12" t="n">
        <f aca="false">INDEX(Hypothèses!$B$14:$B$17,MATCH(Q409,Hypothèses!$A$14:$A$17,0))</f>
        <v>1.3525</v>
      </c>
      <c r="S409" s="15" t="str">
        <f aca="false">IF(G409="","",G409*R409)</f>
        <v/>
      </c>
      <c r="T409" s="15" t="n">
        <f aca="false">IF(H409="","",H409*R409)</f>
        <v>1940.01288075</v>
      </c>
      <c r="U409" s="15" t="str">
        <f aca="false">IF(I409="","",I409*R409)</f>
        <v/>
      </c>
      <c r="V409" s="5" t="s">
        <v>195</v>
      </c>
      <c r="W409" s="5" t="s">
        <v>70</v>
      </c>
      <c r="X409" s="5" t="s">
        <v>601</v>
      </c>
    </row>
    <row r="410" customFormat="false" ht="15" hidden="false" customHeight="false" outlineLevel="0" collapsed="false">
      <c r="A410" s="5" t="s">
        <v>634</v>
      </c>
      <c r="B410" s="5" t="s">
        <v>139</v>
      </c>
      <c r="C410" s="5" t="s">
        <v>153</v>
      </c>
      <c r="D410" s="5" t="s">
        <v>413</v>
      </c>
      <c r="E410" s="5" t="s">
        <v>193</v>
      </c>
      <c r="F410" s="5" t="s">
        <v>598</v>
      </c>
      <c r="G410" s="15"/>
      <c r="H410" s="15" t="n">
        <v>1553.29</v>
      </c>
      <c r="I410" s="15"/>
      <c r="J410" s="5" t="s">
        <v>599</v>
      </c>
      <c r="K410" s="5" t="n">
        <v>2022</v>
      </c>
      <c r="L410" s="5" t="str">
        <f aca="false">IF(AND(K410&gt;=Hypothèses!$B$9,K410&lt;=Hypothèses!$B$10),"actuel",IF(K410=2030,"2030",IF(K410=2050,"2050","autre")))</f>
        <v>actuel</v>
      </c>
      <c r="M410" s="5"/>
      <c r="N410" s="5" t="s">
        <v>600</v>
      </c>
      <c r="O410" s="5"/>
      <c r="P410" s="5" t="s">
        <v>230</v>
      </c>
      <c r="Q410" s="5" t="s">
        <v>47</v>
      </c>
      <c r="R410" s="12" t="n">
        <f aca="false">INDEX(Hypothèses!$B$14:$B$17,MATCH(Q410,Hypothèses!$A$14:$A$17,0))</f>
        <v>1.3525</v>
      </c>
      <c r="S410" s="15" t="str">
        <f aca="false">IF(G410="","",G410*R410)</f>
        <v/>
      </c>
      <c r="T410" s="15" t="n">
        <f aca="false">IF(H410="","",H410*R410)</f>
        <v>2100.824725</v>
      </c>
      <c r="U410" s="15" t="str">
        <f aca="false">IF(I410="","",I410*R410)</f>
        <v/>
      </c>
      <c r="V410" s="5" t="s">
        <v>195</v>
      </c>
      <c r="W410" s="5" t="s">
        <v>70</v>
      </c>
      <c r="X410" s="5" t="s">
        <v>601</v>
      </c>
    </row>
    <row r="411" customFormat="false" ht="15" hidden="false" customHeight="false" outlineLevel="0" collapsed="false">
      <c r="A411" s="5" t="s">
        <v>635</v>
      </c>
      <c r="B411" s="5" t="s">
        <v>139</v>
      </c>
      <c r="C411" s="5" t="s">
        <v>155</v>
      </c>
      <c r="D411" s="5" t="s">
        <v>413</v>
      </c>
      <c r="E411" s="5" t="s">
        <v>193</v>
      </c>
      <c r="F411" s="5" t="s">
        <v>598</v>
      </c>
      <c r="G411" s="15"/>
      <c r="H411" s="15" t="n">
        <v>1943.8055</v>
      </c>
      <c r="I411" s="15"/>
      <c r="J411" s="5" t="s">
        <v>599</v>
      </c>
      <c r="K411" s="5" t="n">
        <v>2023</v>
      </c>
      <c r="L411" s="5" t="str">
        <f aca="false">IF(AND(K411&gt;=Hypothèses!$B$9,K411&lt;=Hypothèses!$B$10),"actuel",IF(K411=2030,"2030",IF(K411=2050,"2050","autre")))</f>
        <v>actuel</v>
      </c>
      <c r="M411" s="5"/>
      <c r="N411" s="5" t="s">
        <v>600</v>
      </c>
      <c r="O411" s="5"/>
      <c r="P411" s="5" t="s">
        <v>230</v>
      </c>
      <c r="Q411" s="5" t="s">
        <v>47</v>
      </c>
      <c r="R411" s="12" t="n">
        <f aca="false">INDEX(Hypothèses!$B$14:$B$17,MATCH(Q411,Hypothèses!$A$14:$A$17,0))</f>
        <v>1.3525</v>
      </c>
      <c r="S411" s="15" t="str">
        <f aca="false">IF(G411="","",G411*R411)</f>
        <v/>
      </c>
      <c r="T411" s="15" t="n">
        <f aca="false">IF(H411="","",H411*R411)</f>
        <v>2628.99693875</v>
      </c>
      <c r="U411" s="15" t="str">
        <f aca="false">IF(I411="","",I411*R411)</f>
        <v/>
      </c>
      <c r="V411" s="5" t="s">
        <v>195</v>
      </c>
      <c r="W411" s="5" t="s">
        <v>70</v>
      </c>
      <c r="X411" s="5" t="s">
        <v>601</v>
      </c>
    </row>
    <row r="412" customFormat="false" ht="15" hidden="false" customHeight="false" outlineLevel="0" collapsed="false">
      <c r="A412" s="5" t="s">
        <v>636</v>
      </c>
      <c r="B412" s="5" t="s">
        <v>139</v>
      </c>
      <c r="C412" s="5" t="s">
        <v>145</v>
      </c>
      <c r="D412" s="5" t="s">
        <v>413</v>
      </c>
      <c r="E412" s="5" t="s">
        <v>193</v>
      </c>
      <c r="F412" s="5" t="s">
        <v>598</v>
      </c>
      <c r="G412" s="15"/>
      <c r="H412" s="15" t="n">
        <v>1189.3625</v>
      </c>
      <c r="I412" s="15"/>
      <c r="J412" s="5" t="s">
        <v>599</v>
      </c>
      <c r="K412" s="5" t="n">
        <v>2019</v>
      </c>
      <c r="L412" s="5" t="str">
        <f aca="false">IF(AND(K412&gt;=Hypothèses!$B$9,K412&lt;=Hypothèses!$B$10),"actuel",IF(K412=2030,"2030",IF(K412=2050,"2050","autre")))</f>
        <v>autre</v>
      </c>
      <c r="M412" s="5"/>
      <c r="N412" s="5" t="s">
        <v>600</v>
      </c>
      <c r="O412" s="5"/>
      <c r="P412" s="5" t="s">
        <v>230</v>
      </c>
      <c r="Q412" s="5" t="s">
        <v>47</v>
      </c>
      <c r="R412" s="12" t="n">
        <f aca="false">INDEX(Hypothèses!$B$14:$B$17,MATCH(Q412,Hypothèses!$A$14:$A$17,0))</f>
        <v>1.3525</v>
      </c>
      <c r="S412" s="15" t="str">
        <f aca="false">IF(G412="","",G412*R412)</f>
        <v/>
      </c>
      <c r="T412" s="15" t="n">
        <f aca="false">IF(H412="","",H412*R412)</f>
        <v>1608.61278125</v>
      </c>
      <c r="U412" s="15" t="str">
        <f aca="false">IF(I412="","",I412*R412)</f>
        <v/>
      </c>
      <c r="V412" s="5" t="s">
        <v>195</v>
      </c>
      <c r="W412" s="5" t="s">
        <v>70</v>
      </c>
      <c r="X412" s="5" t="s">
        <v>601</v>
      </c>
    </row>
    <row r="413" customFormat="false" ht="15" hidden="false" customHeight="false" outlineLevel="0" collapsed="false">
      <c r="A413" s="5" t="s">
        <v>637</v>
      </c>
      <c r="B413" s="5" t="s">
        <v>158</v>
      </c>
      <c r="C413" s="5" t="s">
        <v>157</v>
      </c>
      <c r="D413" s="5" t="s">
        <v>413</v>
      </c>
      <c r="E413" s="5" t="s">
        <v>193</v>
      </c>
      <c r="F413" s="5" t="s">
        <v>638</v>
      </c>
      <c r="G413" s="15"/>
      <c r="H413" s="15" t="n">
        <v>1188</v>
      </c>
      <c r="I413" s="15"/>
      <c r="J413" s="5" t="s">
        <v>639</v>
      </c>
      <c r="K413" s="5" t="n">
        <v>2024</v>
      </c>
      <c r="L413" s="5" t="str">
        <f aca="false">IF(AND(K413&gt;=Hypothèses!$B$9,K413&lt;=Hypothèses!$B$10),"actuel",IF(K413=2030,"2030",IF(K413=2050,"2050","autre")))</f>
        <v>actuel</v>
      </c>
      <c r="M413" s="5" t="s">
        <v>640</v>
      </c>
      <c r="N413" s="5" t="s">
        <v>641</v>
      </c>
      <c r="O413" s="5"/>
      <c r="P413" s="5" t="s">
        <v>642</v>
      </c>
      <c r="Q413" s="5" t="s">
        <v>49</v>
      </c>
      <c r="R413" s="12" t="n">
        <f aca="false">INDEX(Hypothèses!$B$14:$B$17,MATCH(Q413,Hypothèses!$A$14:$A$17,0))</f>
        <v>1.082</v>
      </c>
      <c r="S413" s="15" t="str">
        <f aca="false">IF(G413="","",G413*R413)</f>
        <v/>
      </c>
      <c r="T413" s="15" t="n">
        <f aca="false">IF(H413="","",H413*R413)</f>
        <v>1285.416</v>
      </c>
      <c r="U413" s="15" t="str">
        <f aca="false">IF(I413="","",I413*R413)</f>
        <v/>
      </c>
      <c r="V413" s="5" t="s">
        <v>195</v>
      </c>
      <c r="W413" s="5" t="s">
        <v>70</v>
      </c>
      <c r="X413" s="5" t="s">
        <v>643</v>
      </c>
    </row>
    <row r="414" customFormat="false" ht="15" hidden="false" customHeight="false" outlineLevel="0" collapsed="false">
      <c r="A414" s="5" t="s">
        <v>644</v>
      </c>
      <c r="B414" s="5" t="s">
        <v>158</v>
      </c>
      <c r="C414" s="5" t="s">
        <v>157</v>
      </c>
      <c r="D414" s="5" t="s">
        <v>413</v>
      </c>
      <c r="E414" s="5" t="s">
        <v>645</v>
      </c>
      <c r="F414" s="5" t="s">
        <v>638</v>
      </c>
      <c r="G414" s="15"/>
      <c r="H414" s="15" t="n">
        <v>5</v>
      </c>
      <c r="I414" s="15"/>
      <c r="J414" s="5" t="s">
        <v>646</v>
      </c>
      <c r="K414" s="5" t="n">
        <v>2024</v>
      </c>
      <c r="L414" s="5" t="str">
        <f aca="false">IF(AND(K414&gt;=Hypothèses!$B$9,K414&lt;=Hypothèses!$B$10),"actuel",IF(K414=2030,"2030",IF(K414=2050,"2050","autre")))</f>
        <v>actuel</v>
      </c>
      <c r="M414" s="5" t="s">
        <v>640</v>
      </c>
      <c r="N414" s="5" t="s">
        <v>641</v>
      </c>
      <c r="O414" s="5"/>
      <c r="P414" s="5" t="s">
        <v>642</v>
      </c>
      <c r="Q414" s="5" t="s">
        <v>51</v>
      </c>
      <c r="R414" s="12" t="n">
        <f aca="false">INDEX(Hypothèses!$B$14:$B$17,MATCH(Q414,Hypothèses!$A$14:$A$17,0))</f>
        <v>1</v>
      </c>
      <c r="S414" s="15" t="str">
        <f aca="false">IF(G414="","",G414*R414)</f>
        <v/>
      </c>
      <c r="T414" s="15" t="n">
        <f aca="false">IF(H414="","",H414*R414)</f>
        <v>5</v>
      </c>
      <c r="U414" s="15" t="str">
        <f aca="false">IF(I414="","",I414*R414)</f>
        <v/>
      </c>
      <c r="V414" s="5" t="s">
        <v>646</v>
      </c>
      <c r="W414" s="5" t="s">
        <v>70</v>
      </c>
      <c r="X414" s="5" t="s">
        <v>643</v>
      </c>
    </row>
    <row r="415" customFormat="false" ht="15" hidden="false" customHeight="false" outlineLevel="0" collapsed="false">
      <c r="A415" s="5" t="s">
        <v>647</v>
      </c>
      <c r="B415" s="5" t="s">
        <v>158</v>
      </c>
      <c r="C415" s="5" t="s">
        <v>157</v>
      </c>
      <c r="D415" s="5" t="s">
        <v>413</v>
      </c>
      <c r="E415" s="5" t="s">
        <v>648</v>
      </c>
      <c r="F415" s="5" t="s">
        <v>638</v>
      </c>
      <c r="G415" s="15"/>
      <c r="H415" s="15" t="n">
        <v>30</v>
      </c>
      <c r="I415" s="15"/>
      <c r="J415" s="5" t="s">
        <v>649</v>
      </c>
      <c r="K415" s="5" t="n">
        <v>2024</v>
      </c>
      <c r="L415" s="5" t="str">
        <f aca="false">IF(AND(K415&gt;=Hypothèses!$B$9,K415&lt;=Hypothèses!$B$10),"actuel",IF(K415=2030,"2030",IF(K415=2050,"2050","autre")))</f>
        <v>actuel</v>
      </c>
      <c r="M415" s="5" t="s">
        <v>640</v>
      </c>
      <c r="N415" s="5" t="s">
        <v>641</v>
      </c>
      <c r="O415" s="5"/>
      <c r="P415" s="5" t="s">
        <v>642</v>
      </c>
      <c r="Q415" s="5" t="s">
        <v>51</v>
      </c>
      <c r="R415" s="12" t="n">
        <f aca="false">INDEX(Hypothèses!$B$14:$B$17,MATCH(Q415,Hypothèses!$A$14:$A$17,0))</f>
        <v>1</v>
      </c>
      <c r="S415" s="15" t="str">
        <f aca="false">IF(G415="","",G415*R415)</f>
        <v/>
      </c>
      <c r="T415" s="15" t="n">
        <f aca="false">IF(H415="","",H415*R415)</f>
        <v>30</v>
      </c>
      <c r="U415" s="15" t="str">
        <f aca="false">IF(I415="","",I415*R415)</f>
        <v/>
      </c>
      <c r="V415" s="5" t="s">
        <v>649</v>
      </c>
      <c r="W415" s="5" t="s">
        <v>70</v>
      </c>
      <c r="X415" s="5" t="s">
        <v>643</v>
      </c>
    </row>
    <row r="416" customFormat="false" ht="15" hidden="false" customHeight="false" outlineLevel="0" collapsed="false">
      <c r="A416" s="5" t="s">
        <v>650</v>
      </c>
      <c r="B416" s="5" t="s">
        <v>158</v>
      </c>
      <c r="C416" s="5" t="s">
        <v>157</v>
      </c>
      <c r="D416" s="5" t="s">
        <v>413</v>
      </c>
      <c r="E416" s="5" t="s">
        <v>651</v>
      </c>
      <c r="F416" s="5" t="s">
        <v>638</v>
      </c>
      <c r="G416" s="15"/>
      <c r="H416" s="15" t="n">
        <v>10</v>
      </c>
      <c r="I416" s="15"/>
      <c r="J416" s="5" t="s">
        <v>652</v>
      </c>
      <c r="K416" s="5" t="n">
        <v>2024</v>
      </c>
      <c r="L416" s="5" t="str">
        <f aca="false">IF(AND(K416&gt;=Hypothèses!$B$9,K416&lt;=Hypothèses!$B$10),"actuel",IF(K416=2030,"2030",IF(K416=2050,"2050","autre")))</f>
        <v>actuel</v>
      </c>
      <c r="M416" s="5" t="s">
        <v>640</v>
      </c>
      <c r="N416" s="5" t="s">
        <v>641</v>
      </c>
      <c r="O416" s="5"/>
      <c r="P416" s="5" t="s">
        <v>642</v>
      </c>
      <c r="Q416" s="5" t="s">
        <v>51</v>
      </c>
      <c r="R416" s="12" t="n">
        <f aca="false">INDEX(Hypothèses!$B$14:$B$17,MATCH(Q416,Hypothèses!$A$14:$A$17,0))</f>
        <v>1</v>
      </c>
      <c r="S416" s="15" t="str">
        <f aca="false">IF(G416="","",G416*R416)</f>
        <v/>
      </c>
      <c r="T416" s="15" t="n">
        <f aca="false">IF(H416="","",H416*R416)</f>
        <v>10</v>
      </c>
      <c r="U416" s="15" t="str">
        <f aca="false">IF(I416="","",I416*R416)</f>
        <v/>
      </c>
      <c r="V416" s="5" t="s">
        <v>652</v>
      </c>
      <c r="W416" s="5" t="s">
        <v>70</v>
      </c>
      <c r="X416" s="5" t="s">
        <v>643</v>
      </c>
    </row>
    <row r="417" customFormat="false" ht="15" hidden="false" customHeight="false" outlineLevel="0" collapsed="false">
      <c r="A417" s="5" t="s">
        <v>653</v>
      </c>
      <c r="B417" s="5" t="s">
        <v>158</v>
      </c>
      <c r="C417" s="5" t="s">
        <v>157</v>
      </c>
      <c r="D417" s="5" t="s">
        <v>413</v>
      </c>
      <c r="E417" s="5" t="s">
        <v>654</v>
      </c>
      <c r="F417" s="5" t="s">
        <v>638</v>
      </c>
      <c r="G417" s="15"/>
      <c r="H417" s="15" t="n">
        <v>3</v>
      </c>
      <c r="I417" s="15"/>
      <c r="J417" s="5" t="s">
        <v>655</v>
      </c>
      <c r="K417" s="5" t="n">
        <v>2024</v>
      </c>
      <c r="L417" s="5" t="str">
        <f aca="false">IF(AND(K417&gt;=Hypothèses!$B$9,K417&lt;=Hypothèses!$B$10),"actuel",IF(K417=2030,"2030",IF(K417=2050,"2050","autre")))</f>
        <v>actuel</v>
      </c>
      <c r="M417" s="5" t="s">
        <v>640</v>
      </c>
      <c r="N417" s="5" t="s">
        <v>641</v>
      </c>
      <c r="O417" s="5"/>
      <c r="P417" s="5" t="s">
        <v>642</v>
      </c>
      <c r="Q417" s="5" t="s">
        <v>51</v>
      </c>
      <c r="R417" s="12" t="n">
        <f aca="false">INDEX(Hypothèses!$B$14:$B$17,MATCH(Q417,Hypothèses!$A$14:$A$17,0))</f>
        <v>1</v>
      </c>
      <c r="S417" s="15" t="str">
        <f aca="false">IF(G417="","",G417*R417)</f>
        <v/>
      </c>
      <c r="T417" s="15" t="n">
        <f aca="false">IF(H417="","",H417*R417)</f>
        <v>3</v>
      </c>
      <c r="U417" s="15" t="str">
        <f aca="false">IF(I417="","",I417*R417)</f>
        <v/>
      </c>
      <c r="V417" s="5" t="s">
        <v>655</v>
      </c>
      <c r="W417" s="5" t="s">
        <v>70</v>
      </c>
      <c r="X417" s="5" t="s">
        <v>643</v>
      </c>
    </row>
    <row r="418" customFormat="false" ht="15" hidden="false" customHeight="false" outlineLevel="0" collapsed="false">
      <c r="A418" s="5" t="s">
        <v>656</v>
      </c>
      <c r="B418" s="5" t="s">
        <v>158</v>
      </c>
      <c r="C418" s="5" t="s">
        <v>157</v>
      </c>
      <c r="D418" s="5" t="s">
        <v>413</v>
      </c>
      <c r="E418" s="5" t="s">
        <v>657</v>
      </c>
      <c r="F418" s="5" t="s">
        <v>638</v>
      </c>
      <c r="G418" s="15"/>
      <c r="H418" s="15" t="n">
        <v>65</v>
      </c>
      <c r="I418" s="15"/>
      <c r="J418" s="5" t="s">
        <v>658</v>
      </c>
      <c r="K418" s="5" t="n">
        <v>2024</v>
      </c>
      <c r="L418" s="5" t="str">
        <f aca="false">IF(AND(K418&gt;=Hypothèses!$B$9,K418&lt;=Hypothèses!$B$10),"actuel",IF(K418=2030,"2030",IF(K418=2050,"2050","autre")))</f>
        <v>actuel</v>
      </c>
      <c r="M418" s="5" t="s">
        <v>640</v>
      </c>
      <c r="N418" s="5" t="s">
        <v>641</v>
      </c>
      <c r="O418" s="5" t="s">
        <v>659</v>
      </c>
      <c r="P418" s="5" t="s">
        <v>642</v>
      </c>
      <c r="Q418" s="5" t="s">
        <v>51</v>
      </c>
      <c r="R418" s="12" t="n">
        <f aca="false">INDEX(Hypothèses!$B$14:$B$17,MATCH(Q418,Hypothèses!$A$14:$A$17,0))</f>
        <v>1</v>
      </c>
      <c r="S418" s="15" t="str">
        <f aca="false">IF(G418="","",G418*R418)</f>
        <v/>
      </c>
      <c r="T418" s="15" t="n">
        <f aca="false">IF(H418="","",H418*R418)</f>
        <v>65</v>
      </c>
      <c r="U418" s="15" t="str">
        <f aca="false">IF(I418="","",I418*R418)</f>
        <v/>
      </c>
      <c r="V418" s="5" t="s">
        <v>658</v>
      </c>
      <c r="W418" s="5" t="s">
        <v>70</v>
      </c>
      <c r="X418" s="5" t="s">
        <v>643</v>
      </c>
    </row>
    <row r="419" customFormat="false" ht="15" hidden="false" customHeight="false" outlineLevel="0" collapsed="false">
      <c r="A419" s="5" t="s">
        <v>660</v>
      </c>
      <c r="B419" s="5" t="s">
        <v>158</v>
      </c>
      <c r="C419" s="5" t="s">
        <v>157</v>
      </c>
      <c r="D419" s="5" t="s">
        <v>661</v>
      </c>
      <c r="E419" s="5" t="s">
        <v>662</v>
      </c>
      <c r="F419" s="5" t="s">
        <v>638</v>
      </c>
      <c r="G419" s="15"/>
      <c r="H419" s="15" t="n">
        <v>4</v>
      </c>
      <c r="I419" s="15"/>
      <c r="J419" s="5" t="s">
        <v>663</v>
      </c>
      <c r="K419" s="5" t="n">
        <v>2024</v>
      </c>
      <c r="L419" s="5" t="str">
        <f aca="false">IF(AND(K419&gt;=Hypothèses!$B$9,K419&lt;=Hypothèses!$B$10),"actuel",IF(K419=2030,"2030",IF(K419=2050,"2050","autre")))</f>
        <v>actuel</v>
      </c>
      <c r="M419" s="5"/>
      <c r="N419" s="5" t="s">
        <v>664</v>
      </c>
      <c r="O419" s="5"/>
      <c r="P419" s="5" t="s">
        <v>642</v>
      </c>
      <c r="Q419" s="5" t="s">
        <v>51</v>
      </c>
      <c r="R419" s="12" t="n">
        <f aca="false">INDEX(Hypothèses!$B$14:$B$17,MATCH(Q419,Hypothèses!$A$14:$A$17,0))</f>
        <v>1</v>
      </c>
      <c r="S419" s="15" t="str">
        <f aca="false">IF(G419="","",G419*R419)</f>
        <v/>
      </c>
      <c r="T419" s="15" t="n">
        <f aca="false">IF(H419="","",H419*R419)</f>
        <v>4</v>
      </c>
      <c r="U419" s="15" t="str">
        <f aca="false">IF(I419="","",I419*R419)</f>
        <v/>
      </c>
      <c r="V419" s="5" t="s">
        <v>663</v>
      </c>
      <c r="W419" s="5" t="s">
        <v>70</v>
      </c>
      <c r="X419" s="5" t="s">
        <v>643</v>
      </c>
    </row>
    <row r="420" customFormat="false" ht="15" hidden="false" customHeight="false" outlineLevel="0" collapsed="false">
      <c r="A420" s="5" t="s">
        <v>665</v>
      </c>
      <c r="B420" s="5" t="s">
        <v>158</v>
      </c>
      <c r="C420" s="5" t="s">
        <v>157</v>
      </c>
      <c r="D420" s="5" t="s">
        <v>661</v>
      </c>
      <c r="E420" s="5" t="s">
        <v>666</v>
      </c>
      <c r="F420" s="5" t="s">
        <v>638</v>
      </c>
      <c r="G420" s="15"/>
      <c r="H420" s="15" t="n">
        <v>9</v>
      </c>
      <c r="I420" s="15"/>
      <c r="J420" s="5" t="s">
        <v>667</v>
      </c>
      <c r="K420" s="5" t="n">
        <v>2024</v>
      </c>
      <c r="L420" s="5" t="str">
        <f aca="false">IF(AND(K420&gt;=Hypothèses!$B$9,K420&lt;=Hypothèses!$B$10),"actuel",IF(K420=2030,"2030",IF(K420=2050,"2050","autre")))</f>
        <v>actuel</v>
      </c>
      <c r="M420" s="5"/>
      <c r="N420" s="5" t="s">
        <v>664</v>
      </c>
      <c r="O420" s="5"/>
      <c r="P420" s="5" t="s">
        <v>642</v>
      </c>
      <c r="Q420" s="5" t="s">
        <v>51</v>
      </c>
      <c r="R420" s="12" t="n">
        <f aca="false">INDEX(Hypothèses!$B$14:$B$17,MATCH(Q420,Hypothèses!$A$14:$A$17,0))</f>
        <v>1</v>
      </c>
      <c r="S420" s="15" t="str">
        <f aca="false">IF(G420="","",G420*R420)</f>
        <v/>
      </c>
      <c r="T420" s="15" t="n">
        <f aca="false">IF(H420="","",H420*R420)</f>
        <v>9</v>
      </c>
      <c r="U420" s="15" t="str">
        <f aca="false">IF(I420="","",I420*R420)</f>
        <v/>
      </c>
      <c r="V420" s="5" t="s">
        <v>667</v>
      </c>
      <c r="W420" s="5" t="s">
        <v>70</v>
      </c>
      <c r="X420" s="5" t="s">
        <v>668</v>
      </c>
    </row>
  </sheetData>
  <autoFilter ref="A1:X420"/>
  <dataValidations count="1">
    <dataValidation allowBlank="true" errorStyle="stop" operator="between" showDropDown="false" showErrorMessage="false" showInputMessage="false" sqref="W2:W800" type="list">
      <formula1>"à vérifier,vérifié"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4" min="2" style="0" width="10"/>
    <col collapsed="false" customWidth="true" hidden="false" outlineLevel="0" max="7" min="5" style="0" width="11"/>
    <col collapsed="false" customWidth="true" hidden="false" outlineLevel="0" max="9" min="8" style="0" width="13"/>
    <col collapsed="false" customWidth="true" hidden="false" outlineLevel="0" max="11" min="10" style="0" width="12"/>
    <col collapsed="false" customWidth="true" hidden="false" outlineLevel="0" max="14" min="12" style="0" width="11"/>
  </cols>
  <sheetData>
    <row r="1" customFormat="false" ht="16.15" hidden="false" customHeight="false" outlineLevel="0" collapsed="false">
      <c r="A1" s="4" t="s">
        <v>669</v>
      </c>
    </row>
    <row r="2" customFormat="false" ht="42" hidden="false" customHeight="true" outlineLevel="0" collapsed="false">
      <c r="A2" s="16" t="s">
        <v>670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4" customFormat="false" ht="43.5" hidden="false" customHeight="true" outlineLevel="0" collapsed="false">
      <c r="A4" s="6" t="s">
        <v>173</v>
      </c>
      <c r="B4" s="6" t="s">
        <v>180</v>
      </c>
      <c r="C4" s="6" t="s">
        <v>671</v>
      </c>
      <c r="D4" s="6" t="s">
        <v>672</v>
      </c>
      <c r="E4" s="6" t="s">
        <v>673</v>
      </c>
      <c r="F4" s="6" t="s">
        <v>674</v>
      </c>
      <c r="G4" s="6" t="s">
        <v>675</v>
      </c>
      <c r="H4" s="6" t="s">
        <v>676</v>
      </c>
      <c r="I4" s="6" t="s">
        <v>677</v>
      </c>
      <c r="J4" s="6" t="s">
        <v>678</v>
      </c>
      <c r="K4" s="6" t="s">
        <v>679</v>
      </c>
      <c r="L4" s="6" t="s">
        <v>680</v>
      </c>
      <c r="M4" s="6" t="s">
        <v>681</v>
      </c>
      <c r="N4" s="6" t="s">
        <v>682</v>
      </c>
    </row>
    <row r="5" customFormat="false" ht="15" hidden="false" customHeight="false" outlineLevel="0" collapsed="false">
      <c r="A5" s="17" t="s">
        <v>192</v>
      </c>
      <c r="B5" s="17" t="s">
        <v>683</v>
      </c>
      <c r="C5" s="18" t="n">
        <f aca="false">SUMPRODUCT((Données!$D$2:$D$800=$A5)*(Données!$E$2:$E$800="CAPEX")*(Données!$L$2:$L$800=$B5)*ISNUMBER(Données!$T$2:$T$800))</f>
        <v>32</v>
      </c>
      <c r="D5" s="18" t="n">
        <f aca="false">SUMPRODUCT(((Données!$D$2:$D$800=$A5)*(Données!$E$2:$E$800="CAPEX")*(Données!$L$2:$L$800=$B5)*ISNUMBER(Données!$T$2:$T$800))/(COUNTIFS(Données!$C$2:$C$800,Données!$C$2:$C$800,Données!$D$2:$D$800,Données!$D$2:$D$800,Données!$E$2:$E$800,Données!$E$2:$E$800,Données!$L$2:$L$800,Données!$L$2:$L$800)+(Données!$C$2:$C$800="")))</f>
        <v>18</v>
      </c>
      <c r="E5" s="19" t="n">
        <f aca="false" t="array" ref="E5:E5">IF(C5=0,"—",MIN(IF((Données!$D$2:$D$800=$A5)*(Données!$E$2:$E$800="CAPEX")*(Données!$L$2:$L$800=$B5)*ISNUMBER(Données!$T$2:$T$800),Données!$T$2:$T$800)))</f>
        <v>206</v>
      </c>
      <c r="F5" s="19" t="n">
        <f aca="false" t="array" ref="F5:F5">IF(C5=0,"—",MEDIAN(IF((Données!$D$2:$D$800=$A5)*(Données!$E$2:$E$800="CAPEX")*(Données!$L$2:$L$800=$B5)*ISNUMBER(Données!$T$2:$T$800),Données!$T$2:$T$800)))</f>
        <v>981.075</v>
      </c>
      <c r="G5" s="19" t="n">
        <f aca="false" t="array" ref="G5:G5">IF(C5=0,"—",MAX(IF((Données!$D$2:$D$800=$A5)*(Données!$E$2:$E$800="CAPEX")*(Données!$L$2:$L$800=$B5)*ISNUMBER(Données!$T$2:$T$800),Données!$T$2:$T$800)))</f>
        <v>2146.11995</v>
      </c>
      <c r="H5" s="19" t="n">
        <f aca="false" t="array" ref="H5:H5">IF(SUMPRODUCT((Données!$D$2:$D$800=$A5)*(Données!$E$2:$E$800="CAPEX")*(Données!$L$2:$L$800=$B5)*ISNUMBER(Données!$S$2:$S$800))=0,"—",MIN(IF((Données!$D$2:$D$800=$A5)*(Données!$E$2:$E$800="CAPEX")*(Données!$L$2:$L$800=$B5)*ISNUMBER(Données!$S$2:$S$800),Données!$S$2:$S$800)))</f>
        <v>352.26</v>
      </c>
      <c r="I5" s="19" t="n">
        <f aca="false" t="array" ref="I5:I5">IF(SUMPRODUCT((Données!$D$2:$D$800=$A5)*(Données!$E$2:$E$800="CAPEX")*(Données!$L$2:$L$800=$B5)*ISNUMBER(Données!$U$2:$U$800))=0,"—",MAX(IF((Données!$D$2:$D$800=$A5)*(Données!$E$2:$E$800="CAPEX")*(Données!$L$2:$L$800=$B5)*ISNUMBER(Données!$U$2:$U$800),Données!$U$2:$U$800)))</f>
        <v>2457</v>
      </c>
      <c r="J5" s="18" t="n">
        <f aca="false">SUMPRODUCT((Données!$D$2:$D$800=$A5)*(Données!$E$2:$E$800="Rendement (PCI)")*(Données!$L$2:$L$800=$B5)*ISNUMBER(Données!$T$2:$T$800))</f>
        <v>0</v>
      </c>
      <c r="K5" s="18" t="n">
        <f aca="false">SUMPRODUCT(((Données!$D$2:$D$800=$A5)*(Données!$E$2:$E$800="Rendement (PCI)")*(Données!$L$2:$L$800=$B5)*ISNUMBER(Données!$T$2:$T$800))/(COUNTIFS(Données!$C$2:$C$800,Données!$C$2:$C$800,Données!$D$2:$D$800,Données!$D$2:$D$800,Données!$E$2:$E$800,Données!$E$2:$E$800,Données!$L$2:$L$800,Données!$L$2:$L$800)+(Données!$C$2:$C$800="")))</f>
        <v>0</v>
      </c>
      <c r="L5" s="20" t="str">
        <f aca="false" t="array" ref="L5:L5">IF(J5=0,"—",MIN(IF((Données!$D$2:$D$800=$A5)*(Données!$E$2:$E$800="Rendement (PCI)")*(Données!$L$2:$L$800=$B5)*ISNUMBER(Données!$T$2:$T$800),Données!$T$2:$T$800)))</f>
        <v>—</v>
      </c>
      <c r="M5" s="20" t="str">
        <f aca="false" t="array" ref="M5:M5">IF(J5=0,"—",MEDIAN(IF((Données!$D$2:$D$800=$A5)*(Données!$E$2:$E$800="Rendement (PCI)")*(Données!$L$2:$L$800=$B5)*ISNUMBER(Données!$T$2:$T$800),Données!$T$2:$T$800)))</f>
        <v>—</v>
      </c>
      <c r="N5" s="20" t="str">
        <f aca="false" t="array" ref="N5:N5">IF(J5=0,"—",MAX(IF((Données!$D$2:$D$800=$A5)*(Données!$E$2:$E$800="Rendement (PCI)")*(Données!$L$2:$L$800=$B5)*ISNUMBER(Données!$T$2:$T$800),Données!$T$2:$T$800)))</f>
        <v>—</v>
      </c>
    </row>
    <row r="6" customFormat="false" ht="15" hidden="false" customHeight="false" outlineLevel="0" collapsed="false">
      <c r="A6" s="17" t="s">
        <v>192</v>
      </c>
      <c r="B6" s="17" t="s">
        <v>684</v>
      </c>
      <c r="C6" s="18" t="n">
        <f aca="false">SUMPRODUCT((Données!$D$2:$D$800=$A6)*(Données!$E$2:$E$800="CAPEX")*(Données!$L$2:$L$800=$B6)*ISNUMBER(Données!$T$2:$T$800))</f>
        <v>13</v>
      </c>
      <c r="D6" s="18" t="n">
        <f aca="false">SUMPRODUCT(((Données!$D$2:$D$800=$A6)*(Données!$E$2:$E$800="CAPEX")*(Données!$L$2:$L$800=$B6)*ISNUMBER(Données!$T$2:$T$800))/(COUNTIFS(Données!$C$2:$C$800,Données!$C$2:$C$800,Données!$D$2:$D$800,Données!$D$2:$D$800,Données!$E$2:$E$800,Données!$E$2:$E$800,Données!$L$2:$L$800,Données!$L$2:$L$800)+(Données!$C$2:$C$800="")))</f>
        <v>13</v>
      </c>
      <c r="E6" s="19" t="n">
        <f aca="false" t="array" ref="E6:E6">IF(C6=0,"—",MIN(IF((Données!$D$2:$D$800=$A6)*(Données!$E$2:$E$800="CAPEX")*(Données!$L$2:$L$800=$B6)*ISNUMBER(Données!$T$2:$T$800),Données!$T$2:$T$800)))</f>
        <v>128.75</v>
      </c>
      <c r="F6" s="19" t="n">
        <f aca="false" t="array" ref="F6:F6">IF(C6=0,"—",MEDIAN(IF((Données!$D$2:$D$800=$A6)*(Données!$E$2:$E$800="CAPEX")*(Données!$L$2:$L$800=$B6)*ISNUMBER(Données!$T$2:$T$800),Données!$T$2:$T$800)))</f>
        <v>594</v>
      </c>
      <c r="G6" s="19" t="n">
        <f aca="false" t="array" ref="G6:G6">IF(C6=0,"—",MAX(IF((Données!$D$2:$D$800=$A6)*(Données!$E$2:$E$800="CAPEX")*(Données!$L$2:$L$800=$B6)*ISNUMBER(Données!$T$2:$T$800),Données!$T$2:$T$800)))</f>
        <v>945</v>
      </c>
      <c r="H6" s="19" t="n">
        <f aca="false" t="array" ref="H6:H6">IF(SUMPRODUCT((Données!$D$2:$D$800=$A6)*(Données!$E$2:$E$800="CAPEX")*(Données!$L$2:$L$800=$B6)*ISNUMBER(Données!$S$2:$S$800))=0,"—",MIN(IF((Données!$D$2:$D$800=$A6)*(Données!$E$2:$E$800="CAPEX")*(Données!$L$2:$L$800=$B6)*ISNUMBER(Données!$S$2:$S$800),Données!$S$2:$S$800)))</f>
        <v>196.73</v>
      </c>
      <c r="I6" s="19" t="n">
        <f aca="false" t="array" ref="I6:I6">IF(SUMPRODUCT((Données!$D$2:$D$800=$A6)*(Données!$E$2:$E$800="CAPEX")*(Données!$L$2:$L$800=$B6)*ISNUMBER(Données!$U$2:$U$800))=0,"—",MAX(IF((Données!$D$2:$D$800=$A6)*(Données!$E$2:$E$800="CAPEX")*(Données!$L$2:$L$800=$B6)*ISNUMBER(Données!$U$2:$U$800),Données!$U$2:$U$800)))</f>
        <v>1141.33831818182</v>
      </c>
      <c r="J6" s="18" t="n">
        <f aca="false">SUMPRODUCT((Données!$D$2:$D$800=$A6)*(Données!$E$2:$E$800="Rendement (PCI)")*(Données!$L$2:$L$800=$B6)*ISNUMBER(Données!$T$2:$T$800))</f>
        <v>0</v>
      </c>
      <c r="K6" s="18" t="n">
        <f aca="false">SUMPRODUCT(((Données!$D$2:$D$800=$A6)*(Données!$E$2:$E$800="Rendement (PCI)")*(Données!$L$2:$L$800=$B6)*ISNUMBER(Données!$T$2:$T$800))/(COUNTIFS(Données!$C$2:$C$800,Données!$C$2:$C$800,Données!$D$2:$D$800,Données!$D$2:$D$800,Données!$E$2:$E$800,Données!$E$2:$E$800,Données!$L$2:$L$800,Données!$L$2:$L$800)+(Données!$C$2:$C$800="")))</f>
        <v>0</v>
      </c>
      <c r="L6" s="20" t="str">
        <f aca="false" t="array" ref="L6:L6">IF(J6=0,"—",MIN(IF((Données!$D$2:$D$800=$A6)*(Données!$E$2:$E$800="Rendement (PCI)")*(Données!$L$2:$L$800=$B6)*ISNUMBER(Données!$T$2:$T$800),Données!$T$2:$T$800)))</f>
        <v>—</v>
      </c>
      <c r="M6" s="20" t="str">
        <f aca="false" t="array" ref="M6:M6">IF(J6=0,"—",MEDIAN(IF((Données!$D$2:$D$800=$A6)*(Données!$E$2:$E$800="Rendement (PCI)")*(Données!$L$2:$L$800=$B6)*ISNUMBER(Données!$T$2:$T$800),Données!$T$2:$T$800)))</f>
        <v>—</v>
      </c>
      <c r="N6" s="20" t="str">
        <f aca="false" t="array" ref="N6:N6">IF(J6=0,"—",MAX(IF((Données!$D$2:$D$800=$A6)*(Données!$E$2:$E$800="Rendement (PCI)")*(Données!$L$2:$L$800=$B6)*ISNUMBER(Données!$T$2:$T$800),Données!$T$2:$T$800)))</f>
        <v>—</v>
      </c>
    </row>
    <row r="7" customFormat="false" ht="15" hidden="false" customHeight="false" outlineLevel="0" collapsed="false">
      <c r="A7" s="17" t="s">
        <v>192</v>
      </c>
      <c r="B7" s="17" t="s">
        <v>685</v>
      </c>
      <c r="C7" s="18" t="n">
        <f aca="false">SUMPRODUCT((Données!$D$2:$D$800=$A7)*(Données!$E$2:$E$800="CAPEX")*(Données!$L$2:$L$800=$B7)*ISNUMBER(Données!$T$2:$T$800))</f>
        <v>13</v>
      </c>
      <c r="D7" s="18" t="n">
        <f aca="false">SUMPRODUCT(((Données!$D$2:$D$800=$A7)*(Données!$E$2:$E$800="CAPEX")*(Données!$L$2:$L$800=$B7)*ISNUMBER(Données!$T$2:$T$800))/(COUNTIFS(Données!$C$2:$C$800,Données!$C$2:$C$800,Données!$D$2:$D$800,Données!$D$2:$D$800,Données!$E$2:$E$800,Données!$E$2:$E$800,Données!$L$2:$L$800,Données!$L$2:$L$800)+(Données!$C$2:$C$800="")))</f>
        <v>13</v>
      </c>
      <c r="E7" s="19" t="n">
        <f aca="false" t="array" ref="E7:E7">IF(C7=0,"—",MIN(IF((Données!$D$2:$D$800=$A7)*(Données!$E$2:$E$800="CAPEX")*(Données!$L$2:$L$800=$B7)*ISNUMBER(Données!$T$2:$T$800),Données!$T$2:$T$800)))</f>
        <v>79.2307692307692</v>
      </c>
      <c r="F7" s="19" t="n">
        <f aca="false" t="array" ref="F7:F7">IF(C7=0,"—",MEDIAN(IF((Données!$D$2:$D$800=$A7)*(Données!$E$2:$E$800="CAPEX")*(Données!$L$2:$L$800=$B7)*ISNUMBER(Données!$T$2:$T$800),Données!$T$2:$T$800)))</f>
        <v>368.85845</v>
      </c>
      <c r="G7" s="19" t="n">
        <f aca="false" t="array" ref="G7:G7">IF(C7=0,"—",MAX(IF((Données!$D$2:$D$800=$A7)*(Données!$E$2:$E$800="CAPEX")*(Données!$L$2:$L$800=$B7)*ISNUMBER(Données!$T$2:$T$800),Données!$T$2:$T$800)))</f>
        <v>710.424943181818</v>
      </c>
      <c r="H7" s="19" t="n">
        <f aca="false" t="array" ref="H7:H7">IF(SUMPRODUCT((Données!$D$2:$D$800=$A7)*(Données!$E$2:$E$800="CAPEX")*(Données!$L$2:$L$800=$B7)*ISNUMBER(Données!$S$2:$S$800))=0,"—",MIN(IF((Données!$D$2:$D$800=$A7)*(Données!$E$2:$E$800="CAPEX")*(Données!$L$2:$L$800=$B7)*ISNUMBER(Données!$S$2:$S$800),Données!$S$2:$S$800)))</f>
        <v>76.22</v>
      </c>
      <c r="I7" s="19" t="n">
        <f aca="false" t="array" ref="I7:I7">IF(SUMPRODUCT((Données!$D$2:$D$800=$A7)*(Données!$E$2:$E$800="CAPEX")*(Données!$L$2:$L$800=$B7)*ISNUMBER(Données!$U$2:$U$800))=0,"—",MAX(IF((Données!$D$2:$D$800=$A7)*(Données!$E$2:$E$800="CAPEX")*(Données!$L$2:$L$800=$B7)*ISNUMBER(Données!$U$2:$U$800),Données!$U$2:$U$800)))</f>
        <v>1024.87575</v>
      </c>
      <c r="J7" s="18" t="n">
        <f aca="false">SUMPRODUCT((Données!$D$2:$D$800=$A7)*(Données!$E$2:$E$800="Rendement (PCI)")*(Données!$L$2:$L$800=$B7)*ISNUMBER(Données!$T$2:$T$800))</f>
        <v>0</v>
      </c>
      <c r="K7" s="18" t="n">
        <f aca="false">SUMPRODUCT(((Données!$D$2:$D$800=$A7)*(Données!$E$2:$E$800="Rendement (PCI)")*(Données!$L$2:$L$800=$B7)*ISNUMBER(Données!$T$2:$T$800))/(COUNTIFS(Données!$C$2:$C$800,Données!$C$2:$C$800,Données!$D$2:$D$800,Données!$D$2:$D$800,Données!$E$2:$E$800,Données!$E$2:$E$800,Données!$L$2:$L$800,Données!$L$2:$L$800)+(Données!$C$2:$C$800="")))</f>
        <v>0</v>
      </c>
      <c r="L7" s="20" t="str">
        <f aca="false" t="array" ref="L7:L7">IF(J7=0,"—",MIN(IF((Données!$D$2:$D$800=$A7)*(Données!$E$2:$E$800="Rendement (PCI)")*(Données!$L$2:$L$800=$B7)*ISNUMBER(Données!$T$2:$T$800),Données!$T$2:$T$800)))</f>
        <v>—</v>
      </c>
      <c r="M7" s="20" t="str">
        <f aca="false" t="array" ref="M7:M7">IF(J7=0,"—",MEDIAN(IF((Données!$D$2:$D$800=$A7)*(Données!$E$2:$E$800="Rendement (PCI)")*(Données!$L$2:$L$800=$B7)*ISNUMBER(Données!$T$2:$T$800),Données!$T$2:$T$800)))</f>
        <v>—</v>
      </c>
      <c r="N7" s="20" t="str">
        <f aca="false" t="array" ref="N7:N7">IF(J7=0,"—",MAX(IF((Données!$D$2:$D$800=$A7)*(Données!$E$2:$E$800="Rendement (PCI)")*(Données!$L$2:$L$800=$B7)*ISNUMBER(Données!$T$2:$T$800),Données!$T$2:$T$800)))</f>
        <v>—</v>
      </c>
    </row>
    <row r="8" customFormat="false" ht="15" hidden="false" customHeight="false" outlineLevel="0" collapsed="false">
      <c r="A8" s="17" t="s">
        <v>413</v>
      </c>
      <c r="B8" s="17" t="s">
        <v>683</v>
      </c>
      <c r="C8" s="18" t="n">
        <f aca="false">SUMPRODUCT((Données!$D$2:$D$800=$A8)*(Données!$E$2:$E$800="CAPEX")*(Données!$L$2:$L$800=$B8)*ISNUMBER(Données!$T$2:$T$800))</f>
        <v>48</v>
      </c>
      <c r="D8" s="18" t="n">
        <f aca="false">SUMPRODUCT(((Données!$D$2:$D$800=$A8)*(Données!$E$2:$E$800="CAPEX")*(Données!$L$2:$L$800=$B8)*ISNUMBER(Données!$T$2:$T$800))/(COUNTIFS(Données!$C$2:$C$800,Données!$C$2:$C$800,Données!$D$2:$D$800,Données!$D$2:$D$800,Données!$E$2:$E$800,Données!$E$2:$E$800,Données!$L$2:$L$800,Données!$L$2:$L$800)+(Données!$C$2:$C$800="")))</f>
        <v>22</v>
      </c>
      <c r="E8" s="19" t="n">
        <f aca="false" t="array" ref="E8:E8">IF(C8=0,"—",MIN(IF((Données!$D$2:$D$800=$A8)*(Données!$E$2:$E$800="CAPEX")*(Données!$L$2:$L$800=$B8)*ISNUMBER(Données!$T$2:$T$800),Données!$T$2:$T$800)))</f>
        <v>555.71075</v>
      </c>
      <c r="F8" s="19" t="n">
        <f aca="false" t="array" ref="F8:F8">IF(C8=0,"—",MEDIAN(IF((Données!$D$2:$D$800=$A8)*(Données!$E$2:$E$800="CAPEX")*(Données!$L$2:$L$800=$B8)*ISNUMBER(Données!$T$2:$T$800),Données!$T$2:$T$800)))</f>
        <v>1226.112</v>
      </c>
      <c r="G8" s="19" t="n">
        <f aca="false" t="array" ref="G8:G8">IF(C8=0,"—",MAX(IF((Données!$D$2:$D$800=$A8)*(Données!$E$2:$E$800="CAPEX")*(Données!$L$2:$L$800=$B8)*ISNUMBER(Données!$T$2:$T$800),Données!$T$2:$T$800)))</f>
        <v>2628.99693875</v>
      </c>
      <c r="H8" s="19" t="n">
        <f aca="false" t="array" ref="H8:H8">IF(SUMPRODUCT((Données!$D$2:$D$800=$A8)*(Données!$E$2:$E$800="CAPEX")*(Données!$L$2:$L$800=$B8)*ISNUMBER(Données!$S$2:$S$800))=0,"—",MIN(IF((Données!$D$2:$D$800=$A8)*(Données!$E$2:$E$800="CAPEX")*(Données!$L$2:$L$800=$B8)*ISNUMBER(Données!$S$2:$S$800),Données!$S$2:$S$800)))</f>
        <v>357.727913461539</v>
      </c>
      <c r="I8" s="19" t="n">
        <f aca="false" t="array" ref="I8:I8">IF(SUMPRODUCT((Données!$D$2:$D$800=$A8)*(Données!$E$2:$E$800="CAPEX")*(Données!$L$2:$L$800=$B8)*ISNUMBER(Données!$U$2:$U$800))=0,"—",MAX(IF((Données!$D$2:$D$800=$A8)*(Données!$E$2:$E$800="CAPEX")*(Données!$L$2:$L$800=$B8)*ISNUMBER(Données!$U$2:$U$800),Données!$U$2:$U$800)))</f>
        <v>2769.876</v>
      </c>
      <c r="J8" s="18" t="n">
        <f aca="false">SUMPRODUCT((Données!$D$2:$D$800=$A8)*(Données!$E$2:$E$800="Rendement (PCI)")*(Données!$L$2:$L$800=$B8)*ISNUMBER(Données!$T$2:$T$800))</f>
        <v>1</v>
      </c>
      <c r="K8" s="18" t="n">
        <f aca="false">SUMPRODUCT(((Données!$D$2:$D$800=$A8)*(Données!$E$2:$E$800="Rendement (PCI)")*(Données!$L$2:$L$800=$B8)*ISNUMBER(Données!$T$2:$T$800))/(COUNTIFS(Données!$C$2:$C$800,Données!$C$2:$C$800,Données!$D$2:$D$800,Données!$D$2:$D$800,Données!$E$2:$E$800,Données!$E$2:$E$800,Données!$L$2:$L$800,Données!$L$2:$L$800)+(Données!$C$2:$C$800="")))</f>
        <v>1</v>
      </c>
      <c r="L8" s="20" t="n">
        <f aca="false" t="array" ref="L8:L8">IF(J8=0,"—",MIN(IF((Données!$D$2:$D$800=$A8)*(Données!$E$2:$E$800="Rendement (PCI)")*(Données!$L$2:$L$800=$B8)*ISNUMBER(Données!$T$2:$T$800),Données!$T$2:$T$800)))</f>
        <v>65</v>
      </c>
      <c r="M8" s="20" t="n">
        <f aca="false" t="array" ref="M8:M8">IF(J8=0,"—",MEDIAN(IF((Données!$D$2:$D$800=$A8)*(Données!$E$2:$E$800="Rendement (PCI)")*(Données!$L$2:$L$800=$B8)*ISNUMBER(Données!$T$2:$T$800),Données!$T$2:$T$800)))</f>
        <v>65</v>
      </c>
      <c r="N8" s="20" t="n">
        <f aca="false" t="array" ref="N8:N8">IF(J8=0,"—",MAX(IF((Données!$D$2:$D$800=$A8)*(Données!$E$2:$E$800="Rendement (PCI)")*(Données!$L$2:$L$800=$B8)*ISNUMBER(Données!$T$2:$T$800),Données!$T$2:$T$800)))</f>
        <v>65</v>
      </c>
    </row>
    <row r="9" customFormat="false" ht="15" hidden="false" customHeight="false" outlineLevel="0" collapsed="false">
      <c r="A9" s="17" t="s">
        <v>413</v>
      </c>
      <c r="B9" s="17" t="s">
        <v>684</v>
      </c>
      <c r="C9" s="18" t="n">
        <f aca="false">SUMPRODUCT((Données!$D$2:$D$800=$A9)*(Données!$E$2:$E$800="CAPEX")*(Données!$L$2:$L$800=$B9)*ISNUMBER(Données!$T$2:$T$800))</f>
        <v>16</v>
      </c>
      <c r="D9" s="18" t="n">
        <f aca="false">SUMPRODUCT(((Données!$D$2:$D$800=$A9)*(Données!$E$2:$E$800="CAPEX")*(Données!$L$2:$L$800=$B9)*ISNUMBER(Données!$T$2:$T$800))/(COUNTIFS(Données!$C$2:$C$800,Données!$C$2:$C$800,Données!$D$2:$D$800,Données!$D$2:$D$800,Données!$E$2:$E$800,Données!$E$2:$E$800,Données!$L$2:$L$800,Données!$L$2:$L$800)+(Données!$C$2:$C$800="")))</f>
        <v>16</v>
      </c>
      <c r="E9" s="19" t="n">
        <f aca="false" t="array" ref="E9:E9">IF(C9=0,"—",MIN(IF((Données!$D$2:$D$800=$A9)*(Données!$E$2:$E$800="CAPEX")*(Données!$L$2:$L$800=$B9)*ISNUMBER(Données!$T$2:$T$800),Données!$T$2:$T$800)))</f>
        <v>361.126913461538</v>
      </c>
      <c r="F9" s="19" t="n">
        <f aca="false" t="array" ref="F9:F9">IF(C9=0,"—",MEDIAN(IF((Données!$D$2:$D$800=$A9)*(Données!$E$2:$E$800="CAPEX")*(Données!$L$2:$L$800=$B9)*ISNUMBER(Données!$T$2:$T$800),Données!$T$2:$T$800)))</f>
        <v>645.875</v>
      </c>
      <c r="G9" s="19" t="n">
        <f aca="false" t="array" ref="G9:G9">IF(C9=0,"—",MAX(IF((Données!$D$2:$D$800=$A9)*(Données!$E$2:$E$800="CAPEX")*(Données!$L$2:$L$800=$B9)*ISNUMBER(Données!$T$2:$T$800),Données!$T$2:$T$800)))</f>
        <v>1181.6366</v>
      </c>
      <c r="H9" s="19" t="n">
        <f aca="false" t="array" ref="H9:H9">IF(SUMPRODUCT((Données!$D$2:$D$800=$A9)*(Données!$E$2:$E$800="CAPEX")*(Données!$L$2:$L$800=$B9)*ISNUMBER(Données!$S$2:$S$800))=0,"—",MIN(IF((Données!$D$2:$D$800=$A9)*(Données!$E$2:$E$800="CAPEX")*(Données!$L$2:$L$800=$B9)*ISNUMBER(Données!$S$2:$S$800),Données!$S$2:$S$800)))</f>
        <v>197.133086538462</v>
      </c>
      <c r="I9" s="19" t="n">
        <f aca="false" t="array" ref="I9:I9">IF(SUMPRODUCT((Données!$D$2:$D$800=$A9)*(Données!$E$2:$E$800="CAPEX")*(Données!$L$2:$L$800=$B9)*ISNUMBER(Données!$U$2:$U$800))=0,"—",MAX(IF((Données!$D$2:$D$800=$A9)*(Données!$E$2:$E$800="CAPEX")*(Données!$L$2:$L$800=$B9)*ISNUMBER(Données!$U$2:$U$800),Données!$U$2:$U$800)))</f>
        <v>1405.95</v>
      </c>
      <c r="J9" s="18" t="n">
        <f aca="false">SUMPRODUCT((Données!$D$2:$D$800=$A9)*(Données!$E$2:$E$800="Rendement (PCI)")*(Données!$L$2:$L$800=$B9)*ISNUMBER(Données!$T$2:$T$800))</f>
        <v>0</v>
      </c>
      <c r="K9" s="18" t="n">
        <f aca="false">SUMPRODUCT(((Données!$D$2:$D$800=$A9)*(Données!$E$2:$E$800="Rendement (PCI)")*(Données!$L$2:$L$800=$B9)*ISNUMBER(Données!$T$2:$T$800))/(COUNTIFS(Données!$C$2:$C$800,Données!$C$2:$C$800,Données!$D$2:$D$800,Données!$D$2:$D$800,Données!$E$2:$E$800,Données!$E$2:$E$800,Données!$L$2:$L$800,Données!$L$2:$L$800)+(Données!$C$2:$C$800="")))</f>
        <v>0</v>
      </c>
      <c r="L9" s="20" t="str">
        <f aca="false" t="array" ref="L9:L9">IF(J9=0,"—",MIN(IF((Données!$D$2:$D$800=$A9)*(Données!$E$2:$E$800="Rendement (PCI)")*(Données!$L$2:$L$800=$B9)*ISNUMBER(Données!$T$2:$T$800),Données!$T$2:$T$800)))</f>
        <v>—</v>
      </c>
      <c r="M9" s="20" t="str">
        <f aca="false" t="array" ref="M9:M9">IF(J9=0,"—",MEDIAN(IF((Données!$D$2:$D$800=$A9)*(Données!$E$2:$E$800="Rendement (PCI)")*(Données!$L$2:$L$800=$B9)*ISNUMBER(Données!$T$2:$T$800),Données!$T$2:$T$800)))</f>
        <v>—</v>
      </c>
      <c r="N9" s="20" t="str">
        <f aca="false" t="array" ref="N9:N9">IF(J9=0,"—",MAX(IF((Données!$D$2:$D$800=$A9)*(Données!$E$2:$E$800="Rendement (PCI)")*(Données!$L$2:$L$800=$B9)*ISNUMBER(Données!$T$2:$T$800),Données!$T$2:$T$800)))</f>
        <v>—</v>
      </c>
    </row>
    <row r="10" customFormat="false" ht="15" hidden="false" customHeight="false" outlineLevel="0" collapsed="false">
      <c r="A10" s="17" t="s">
        <v>413</v>
      </c>
      <c r="B10" s="17" t="s">
        <v>685</v>
      </c>
      <c r="C10" s="18" t="n">
        <f aca="false">SUMPRODUCT((Données!$D$2:$D$800=$A10)*(Données!$E$2:$E$800="CAPEX")*(Données!$L$2:$L$800=$B10)*ISNUMBER(Données!$T$2:$T$800))</f>
        <v>14</v>
      </c>
      <c r="D10" s="18" t="n">
        <f aca="false">SUMPRODUCT(((Données!$D$2:$D$800=$A10)*(Données!$E$2:$E$800="CAPEX")*(Données!$L$2:$L$800=$B10)*ISNUMBER(Données!$T$2:$T$800))/(COUNTIFS(Données!$C$2:$C$800,Données!$C$2:$C$800,Données!$D$2:$D$800,Données!$D$2:$D$800,Données!$E$2:$E$800,Données!$E$2:$E$800,Données!$L$2:$L$800,Données!$L$2:$L$800)+(Données!$C$2:$C$800="")))</f>
        <v>14</v>
      </c>
      <c r="E10" s="19" t="n">
        <f aca="false" t="array" ref="E10:E10">IF(C10=0,"—",MIN(IF((Données!$D$2:$D$800=$A10)*(Données!$E$2:$E$800="CAPEX")*(Données!$L$2:$L$800=$B10)*ISNUMBER(Données!$T$2:$T$800),Données!$T$2:$T$800)))</f>
        <v>154.5</v>
      </c>
      <c r="F10" s="19" t="n">
        <f aca="false" t="array" ref="F10:F10">IF(C10=0,"—",MEDIAN(IF((Données!$D$2:$D$800=$A10)*(Données!$E$2:$E$800="CAPEX")*(Données!$L$2:$L$800=$B10)*ISNUMBER(Données!$T$2:$T$800),Données!$T$2:$T$800)))</f>
        <v>351.115</v>
      </c>
      <c r="G10" s="19" t="n">
        <f aca="false" t="array" ref="G10:G10">IF(C10=0,"—",MAX(IF((Données!$D$2:$D$800=$A10)*(Données!$E$2:$E$800="CAPEX")*(Données!$L$2:$L$800=$B10)*ISNUMBER(Données!$T$2:$T$800),Données!$T$2:$T$800)))</f>
        <v>731.01366</v>
      </c>
      <c r="H10" s="19" t="n">
        <f aca="false" t="array" ref="H10:H10">IF(SUMPRODUCT((Données!$D$2:$D$800=$A10)*(Données!$E$2:$E$800="CAPEX")*(Données!$L$2:$L$800=$B10)*ISNUMBER(Données!$S$2:$S$800))=0,"—",MIN(IF((Données!$D$2:$D$800=$A10)*(Données!$E$2:$E$800="CAPEX")*(Données!$L$2:$L$800=$B10)*ISNUMBER(Données!$S$2:$S$800),Données!$S$2:$S$800)))</f>
        <v>56.080925</v>
      </c>
      <c r="I10" s="19" t="n">
        <f aca="false" t="array" ref="I10:I10">IF(SUMPRODUCT((Données!$D$2:$D$800=$A10)*(Données!$E$2:$E$800="CAPEX")*(Données!$L$2:$L$800=$B10)*ISNUMBER(Données!$U$2:$U$800))=0,"—",MAX(IF((Données!$D$2:$D$800=$A10)*(Données!$E$2:$E$800="CAPEX")*(Données!$L$2:$L$800=$B10)*ISNUMBER(Données!$U$2:$U$800),Données!$U$2:$U$800)))</f>
        <v>1031.4317</v>
      </c>
      <c r="J10" s="18" t="n">
        <f aca="false">SUMPRODUCT((Données!$D$2:$D$800=$A10)*(Données!$E$2:$E$800="Rendement (PCI)")*(Données!$L$2:$L$800=$B10)*ISNUMBER(Données!$T$2:$T$800))</f>
        <v>0</v>
      </c>
      <c r="K10" s="18" t="n">
        <f aca="false">SUMPRODUCT(((Données!$D$2:$D$800=$A10)*(Données!$E$2:$E$800="Rendement (PCI)")*(Données!$L$2:$L$800=$B10)*ISNUMBER(Données!$T$2:$T$800))/(COUNTIFS(Données!$C$2:$C$800,Données!$C$2:$C$800,Données!$D$2:$D$800,Données!$D$2:$D$800,Données!$E$2:$E$800,Données!$E$2:$E$800,Données!$L$2:$L$800,Données!$L$2:$L$800)+(Données!$C$2:$C$800="")))</f>
        <v>0</v>
      </c>
      <c r="L10" s="20" t="str">
        <f aca="false" t="array" ref="L10:L10">IF(J10=0,"—",MIN(IF((Données!$D$2:$D$800=$A10)*(Données!$E$2:$E$800="Rendement (PCI)")*(Données!$L$2:$L$800=$B10)*ISNUMBER(Données!$T$2:$T$800),Données!$T$2:$T$800)))</f>
        <v>—</v>
      </c>
      <c r="M10" s="20" t="str">
        <f aca="false" t="array" ref="M10:M10">IF(J10=0,"—",MEDIAN(IF((Données!$D$2:$D$800=$A10)*(Données!$E$2:$E$800="Rendement (PCI)")*(Données!$L$2:$L$800=$B10)*ISNUMBER(Données!$T$2:$T$800),Données!$T$2:$T$800)))</f>
        <v>—</v>
      </c>
      <c r="N10" s="20" t="str">
        <f aca="false" t="array" ref="N10:N10">IF(J10=0,"—",MAX(IF((Données!$D$2:$D$800=$A10)*(Données!$E$2:$E$800="Rendement (PCI)")*(Données!$L$2:$L$800=$B10)*ISNUMBER(Données!$T$2:$T$800),Données!$T$2:$T$800)))</f>
        <v>—</v>
      </c>
    </row>
    <row r="11" customFormat="false" ht="15" hidden="false" customHeight="false" outlineLevel="0" collapsed="false">
      <c r="A11" s="17" t="s">
        <v>686</v>
      </c>
      <c r="B11" s="17" t="s">
        <v>683</v>
      </c>
      <c r="C11" s="18" t="n">
        <f aca="false">SUMPRODUCT((Données!$D$2:$D$800=$A11)*(Données!$E$2:$E$800="CAPEX")*(Données!$L$2:$L$800=$B11)*ISNUMBER(Données!$T$2:$T$800))</f>
        <v>0</v>
      </c>
      <c r="D11" s="18" t="n">
        <f aca="false">SUMPRODUCT(((Données!$D$2:$D$800=$A11)*(Données!$E$2:$E$800="CAPEX")*(Données!$L$2:$L$800=$B11)*ISNUMBER(Données!$T$2:$T$800))/(COUNTIFS(Données!$C$2:$C$800,Données!$C$2:$C$800,Données!$D$2:$D$800,Données!$D$2:$D$800,Données!$E$2:$E$800,Données!$E$2:$E$800,Données!$L$2:$L$800,Données!$L$2:$L$800)+(Données!$C$2:$C$800="")))</f>
        <v>0</v>
      </c>
      <c r="E11" s="19" t="str">
        <f aca="false" t="array" ref="E11:E11">IF(C11=0,"—",MIN(IF((Données!$D$2:$D$800=$A11)*(Données!$E$2:$E$800="CAPEX")*(Données!$L$2:$L$800=$B11)*ISNUMBER(Données!$T$2:$T$800),Données!$T$2:$T$800)))</f>
        <v>—</v>
      </c>
      <c r="F11" s="19" t="str">
        <f aca="false" t="array" ref="F11:F11">IF(C11=0,"—",MEDIAN(IF((Données!$D$2:$D$800=$A11)*(Données!$E$2:$E$800="CAPEX")*(Données!$L$2:$L$800=$B11)*ISNUMBER(Données!$T$2:$T$800),Données!$T$2:$T$800)))</f>
        <v>—</v>
      </c>
      <c r="G11" s="19" t="str">
        <f aca="false" t="array" ref="G11:G11">IF(C11=0,"—",MAX(IF((Données!$D$2:$D$800=$A11)*(Données!$E$2:$E$800="CAPEX")*(Données!$L$2:$L$800=$B11)*ISNUMBER(Données!$T$2:$T$800),Données!$T$2:$T$800)))</f>
        <v>—</v>
      </c>
      <c r="H11" s="19" t="str">
        <f aca="false" t="array" ref="H11:H11">IF(SUMPRODUCT((Données!$D$2:$D$800=$A11)*(Données!$E$2:$E$800="CAPEX")*(Données!$L$2:$L$800=$B11)*ISNUMBER(Données!$S$2:$S$800))=0,"—",MIN(IF((Données!$D$2:$D$800=$A11)*(Données!$E$2:$E$800="CAPEX")*(Données!$L$2:$L$800=$B11)*ISNUMBER(Données!$S$2:$S$800),Données!$S$2:$S$800)))</f>
        <v>—</v>
      </c>
      <c r="I11" s="19" t="str">
        <f aca="false" t="array" ref="I11:I11">IF(SUMPRODUCT((Données!$D$2:$D$800=$A11)*(Données!$E$2:$E$800="CAPEX")*(Données!$L$2:$L$800=$B11)*ISNUMBER(Données!$U$2:$U$800))=0,"—",MAX(IF((Données!$D$2:$D$800=$A11)*(Données!$E$2:$E$800="CAPEX")*(Données!$L$2:$L$800=$B11)*ISNUMBER(Données!$U$2:$U$800),Données!$U$2:$U$800)))</f>
        <v>—</v>
      </c>
      <c r="J11" s="18" t="n">
        <f aca="false">SUMPRODUCT((Données!$D$2:$D$800=$A11)*(Données!$E$2:$E$800="Rendement (PCI)")*(Données!$L$2:$L$800=$B11)*ISNUMBER(Données!$T$2:$T$800))</f>
        <v>0</v>
      </c>
      <c r="K11" s="18" t="n">
        <f aca="false">SUMPRODUCT(((Données!$D$2:$D$800=$A11)*(Données!$E$2:$E$800="Rendement (PCI)")*(Données!$L$2:$L$800=$B11)*ISNUMBER(Données!$T$2:$T$800))/(COUNTIFS(Données!$C$2:$C$800,Données!$C$2:$C$800,Données!$D$2:$D$800,Données!$D$2:$D$800,Données!$E$2:$E$800,Données!$E$2:$E$800,Données!$L$2:$L$800,Données!$L$2:$L$800)+(Données!$C$2:$C$800="")))</f>
        <v>0</v>
      </c>
      <c r="L11" s="20" t="str">
        <f aca="false" t="array" ref="L11:L11">IF(J11=0,"—",MIN(IF((Données!$D$2:$D$800=$A11)*(Données!$E$2:$E$800="Rendement (PCI)")*(Données!$L$2:$L$800=$B11)*ISNUMBER(Données!$T$2:$T$800),Données!$T$2:$T$800)))</f>
        <v>—</v>
      </c>
      <c r="M11" s="20" t="str">
        <f aca="false" t="array" ref="M11:M11">IF(J11=0,"—",MEDIAN(IF((Données!$D$2:$D$800=$A11)*(Données!$E$2:$E$800="Rendement (PCI)")*(Données!$L$2:$L$800=$B11)*ISNUMBER(Données!$T$2:$T$800),Données!$T$2:$T$800)))</f>
        <v>—</v>
      </c>
      <c r="N11" s="20" t="str">
        <f aca="false" t="array" ref="N11:N11">IF(J11=0,"—",MAX(IF((Données!$D$2:$D$800=$A11)*(Données!$E$2:$E$800="Rendement (PCI)")*(Données!$L$2:$L$800=$B11)*ISNUMBER(Données!$T$2:$T$800),Données!$T$2:$T$800)))</f>
        <v>—</v>
      </c>
    </row>
    <row r="12" customFormat="false" ht="15" hidden="false" customHeight="false" outlineLevel="0" collapsed="false">
      <c r="A12" s="17" t="s">
        <v>686</v>
      </c>
      <c r="B12" s="17" t="s">
        <v>684</v>
      </c>
      <c r="C12" s="18" t="n">
        <f aca="false">SUMPRODUCT((Données!$D$2:$D$800=$A12)*(Données!$E$2:$E$800="CAPEX")*(Données!$L$2:$L$800=$B12)*ISNUMBER(Données!$T$2:$T$800))</f>
        <v>0</v>
      </c>
      <c r="D12" s="18" t="n">
        <f aca="false">SUMPRODUCT(((Données!$D$2:$D$800=$A12)*(Données!$E$2:$E$800="CAPEX")*(Données!$L$2:$L$800=$B12)*ISNUMBER(Données!$T$2:$T$800))/(COUNTIFS(Données!$C$2:$C$800,Données!$C$2:$C$800,Données!$D$2:$D$800,Données!$D$2:$D$800,Données!$E$2:$E$800,Données!$E$2:$E$800,Données!$L$2:$L$800,Données!$L$2:$L$800)+(Données!$C$2:$C$800="")))</f>
        <v>0</v>
      </c>
      <c r="E12" s="19" t="str">
        <f aca="false" t="array" ref="E12:E12">IF(C12=0,"—",MIN(IF((Données!$D$2:$D$800=$A12)*(Données!$E$2:$E$800="CAPEX")*(Données!$L$2:$L$800=$B12)*ISNUMBER(Données!$T$2:$T$800),Données!$T$2:$T$800)))</f>
        <v>—</v>
      </c>
      <c r="F12" s="19" t="str">
        <f aca="false" t="array" ref="F12:F12">IF(C12=0,"—",MEDIAN(IF((Données!$D$2:$D$800=$A12)*(Données!$E$2:$E$800="CAPEX")*(Données!$L$2:$L$800=$B12)*ISNUMBER(Données!$T$2:$T$800),Données!$T$2:$T$800)))</f>
        <v>—</v>
      </c>
      <c r="G12" s="19" t="str">
        <f aca="false" t="array" ref="G12:G12">IF(C12=0,"—",MAX(IF((Données!$D$2:$D$800=$A12)*(Données!$E$2:$E$800="CAPEX")*(Données!$L$2:$L$800=$B12)*ISNUMBER(Données!$T$2:$T$800),Données!$T$2:$T$800)))</f>
        <v>—</v>
      </c>
      <c r="H12" s="19" t="str">
        <f aca="false" t="array" ref="H12:H12">IF(SUMPRODUCT((Données!$D$2:$D$800=$A12)*(Données!$E$2:$E$800="CAPEX")*(Données!$L$2:$L$800=$B12)*ISNUMBER(Données!$S$2:$S$800))=0,"—",MIN(IF((Données!$D$2:$D$800=$A12)*(Données!$E$2:$E$800="CAPEX")*(Données!$L$2:$L$800=$B12)*ISNUMBER(Données!$S$2:$S$800),Données!$S$2:$S$800)))</f>
        <v>—</v>
      </c>
      <c r="I12" s="19" t="str">
        <f aca="false" t="array" ref="I12:I12">IF(SUMPRODUCT((Données!$D$2:$D$800=$A12)*(Données!$E$2:$E$800="CAPEX")*(Données!$L$2:$L$800=$B12)*ISNUMBER(Données!$U$2:$U$800))=0,"—",MAX(IF((Données!$D$2:$D$800=$A12)*(Données!$E$2:$E$800="CAPEX")*(Données!$L$2:$L$800=$B12)*ISNUMBER(Données!$U$2:$U$800),Données!$U$2:$U$800)))</f>
        <v>—</v>
      </c>
      <c r="J12" s="18" t="n">
        <f aca="false">SUMPRODUCT((Données!$D$2:$D$800=$A12)*(Données!$E$2:$E$800="Rendement (PCI)")*(Données!$L$2:$L$800=$B12)*ISNUMBER(Données!$T$2:$T$800))</f>
        <v>0</v>
      </c>
      <c r="K12" s="18" t="n">
        <f aca="false">SUMPRODUCT(((Données!$D$2:$D$800=$A12)*(Données!$E$2:$E$800="Rendement (PCI)")*(Données!$L$2:$L$800=$B12)*ISNUMBER(Données!$T$2:$T$800))/(COUNTIFS(Données!$C$2:$C$800,Données!$C$2:$C$800,Données!$D$2:$D$800,Données!$D$2:$D$800,Données!$E$2:$E$800,Données!$E$2:$E$800,Données!$L$2:$L$800,Données!$L$2:$L$800)+(Données!$C$2:$C$800="")))</f>
        <v>0</v>
      </c>
      <c r="L12" s="20" t="str">
        <f aca="false" t="array" ref="L12:L12">IF(J12=0,"—",MIN(IF((Données!$D$2:$D$800=$A12)*(Données!$E$2:$E$800="Rendement (PCI)")*(Données!$L$2:$L$800=$B12)*ISNUMBER(Données!$T$2:$T$800),Données!$T$2:$T$800)))</f>
        <v>—</v>
      </c>
      <c r="M12" s="20" t="str">
        <f aca="false" t="array" ref="M12:M12">IF(J12=0,"—",MEDIAN(IF((Données!$D$2:$D$800=$A12)*(Données!$E$2:$E$800="Rendement (PCI)")*(Données!$L$2:$L$800=$B12)*ISNUMBER(Données!$T$2:$T$800),Données!$T$2:$T$800)))</f>
        <v>—</v>
      </c>
      <c r="N12" s="20" t="str">
        <f aca="false" t="array" ref="N12:N12">IF(J12=0,"—",MAX(IF((Données!$D$2:$D$800=$A12)*(Données!$E$2:$E$800="Rendement (PCI)")*(Données!$L$2:$L$800=$B12)*ISNUMBER(Données!$T$2:$T$800),Données!$T$2:$T$800)))</f>
        <v>—</v>
      </c>
    </row>
    <row r="13" customFormat="false" ht="15" hidden="false" customHeight="false" outlineLevel="0" collapsed="false">
      <c r="A13" s="17" t="s">
        <v>686</v>
      </c>
      <c r="B13" s="17" t="s">
        <v>685</v>
      </c>
      <c r="C13" s="18" t="n">
        <f aca="false">SUMPRODUCT((Données!$D$2:$D$800=$A13)*(Données!$E$2:$E$800="CAPEX")*(Données!$L$2:$L$800=$B13)*ISNUMBER(Données!$T$2:$T$800))</f>
        <v>0</v>
      </c>
      <c r="D13" s="18" t="n">
        <f aca="false">SUMPRODUCT(((Données!$D$2:$D$800=$A13)*(Données!$E$2:$E$800="CAPEX")*(Données!$L$2:$L$800=$B13)*ISNUMBER(Données!$T$2:$T$800))/(COUNTIFS(Données!$C$2:$C$800,Données!$C$2:$C$800,Données!$D$2:$D$800,Données!$D$2:$D$800,Données!$E$2:$E$800,Données!$E$2:$E$800,Données!$L$2:$L$800,Données!$L$2:$L$800)+(Données!$C$2:$C$800="")))</f>
        <v>0</v>
      </c>
      <c r="E13" s="19" t="str">
        <f aca="false" t="array" ref="E13:E13">IF(C13=0,"—",MIN(IF((Données!$D$2:$D$800=$A13)*(Données!$E$2:$E$800="CAPEX")*(Données!$L$2:$L$800=$B13)*ISNUMBER(Données!$T$2:$T$800),Données!$T$2:$T$800)))</f>
        <v>—</v>
      </c>
      <c r="F13" s="19" t="str">
        <f aca="false" t="array" ref="F13:F13">IF(C13=0,"—",MEDIAN(IF((Données!$D$2:$D$800=$A13)*(Données!$E$2:$E$800="CAPEX")*(Données!$L$2:$L$800=$B13)*ISNUMBER(Données!$T$2:$T$800),Données!$T$2:$T$800)))</f>
        <v>—</v>
      </c>
      <c r="G13" s="19" t="str">
        <f aca="false" t="array" ref="G13:G13">IF(C13=0,"—",MAX(IF((Données!$D$2:$D$800=$A13)*(Données!$E$2:$E$800="CAPEX")*(Données!$L$2:$L$800=$B13)*ISNUMBER(Données!$T$2:$T$800),Données!$T$2:$T$800)))</f>
        <v>—</v>
      </c>
      <c r="H13" s="19" t="str">
        <f aca="false" t="array" ref="H13:H13">IF(SUMPRODUCT((Données!$D$2:$D$800=$A13)*(Données!$E$2:$E$800="CAPEX")*(Données!$L$2:$L$800=$B13)*ISNUMBER(Données!$S$2:$S$800))=0,"—",MIN(IF((Données!$D$2:$D$800=$A13)*(Données!$E$2:$E$800="CAPEX")*(Données!$L$2:$L$800=$B13)*ISNUMBER(Données!$S$2:$S$800),Données!$S$2:$S$800)))</f>
        <v>—</v>
      </c>
      <c r="I13" s="19" t="str">
        <f aca="false" t="array" ref="I13:I13">IF(SUMPRODUCT((Données!$D$2:$D$800=$A13)*(Données!$E$2:$E$800="CAPEX")*(Données!$L$2:$L$800=$B13)*ISNUMBER(Données!$U$2:$U$800))=0,"—",MAX(IF((Données!$D$2:$D$800=$A13)*(Données!$E$2:$E$800="CAPEX")*(Données!$L$2:$L$800=$B13)*ISNUMBER(Données!$U$2:$U$800),Données!$U$2:$U$800)))</f>
        <v>—</v>
      </c>
      <c r="J13" s="18" t="n">
        <f aca="false">SUMPRODUCT((Données!$D$2:$D$800=$A13)*(Données!$E$2:$E$800="Rendement (PCI)")*(Données!$L$2:$L$800=$B13)*ISNUMBER(Données!$T$2:$T$800))</f>
        <v>0</v>
      </c>
      <c r="K13" s="18" t="n">
        <f aca="false">SUMPRODUCT(((Données!$D$2:$D$800=$A13)*(Données!$E$2:$E$800="Rendement (PCI)")*(Données!$L$2:$L$800=$B13)*ISNUMBER(Données!$T$2:$T$800))/(COUNTIFS(Données!$C$2:$C$800,Données!$C$2:$C$800,Données!$D$2:$D$800,Données!$D$2:$D$800,Données!$E$2:$E$800,Données!$E$2:$E$800,Données!$L$2:$L$800,Données!$L$2:$L$800)+(Données!$C$2:$C$800="")))</f>
        <v>0</v>
      </c>
      <c r="L13" s="20" t="str">
        <f aca="false" t="array" ref="L13:L13">IF(J13=0,"—",MIN(IF((Données!$D$2:$D$800=$A13)*(Données!$E$2:$E$800="Rendement (PCI)")*(Données!$L$2:$L$800=$B13)*ISNUMBER(Données!$T$2:$T$800),Données!$T$2:$T$800)))</f>
        <v>—</v>
      </c>
      <c r="M13" s="20" t="str">
        <f aca="false" t="array" ref="M13:M13">IF(J13=0,"—",MEDIAN(IF((Données!$D$2:$D$800=$A13)*(Données!$E$2:$E$800="Rendement (PCI)")*(Données!$L$2:$L$800=$B13)*ISNUMBER(Données!$T$2:$T$800),Données!$T$2:$T$800)))</f>
        <v>—</v>
      </c>
      <c r="N13" s="20" t="str">
        <f aca="false" t="array" ref="N13:N13">IF(J13=0,"—",MAX(IF((Données!$D$2:$D$800=$A13)*(Données!$E$2:$E$800="Rendement (PCI)")*(Données!$L$2:$L$800=$B13)*ISNUMBER(Données!$T$2:$T$800),Données!$T$2:$T$800)))</f>
        <v>—</v>
      </c>
    </row>
    <row r="15" customFormat="false" ht="43.5" hidden="false" customHeight="true" outlineLevel="0" collapsed="false">
      <c r="A15" s="21" t="s">
        <v>687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</sheetData>
  <mergeCells count="2">
    <mergeCell ref="A2:N2"/>
    <mergeCell ref="A15:N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0"/>
    <col collapsed="false" customWidth="true" hidden="false" outlineLevel="0" max="5" min="5" style="0" width="24"/>
    <col collapsed="false" customWidth="true" hidden="false" outlineLevel="0" max="6" min="6" style="0" width="80"/>
  </cols>
  <sheetData>
    <row r="1" customFormat="false" ht="16.15" hidden="false" customHeight="false" outlineLevel="0" collapsed="false">
      <c r="A1" s="4" t="s">
        <v>688</v>
      </c>
    </row>
    <row r="2" customFormat="false" ht="15" hidden="false" customHeight="false" outlineLevel="0" collapsed="false">
      <c r="A2" s="5" t="s">
        <v>689</v>
      </c>
    </row>
    <row r="4" customFormat="false" ht="15" hidden="false" customHeight="false" outlineLevel="0" collapsed="false">
      <c r="A4" s="6" t="s">
        <v>23</v>
      </c>
      <c r="B4" s="6" t="s">
        <v>192</v>
      </c>
      <c r="C4" s="6" t="s">
        <v>413</v>
      </c>
      <c r="D4" s="6" t="s">
        <v>686</v>
      </c>
      <c r="E4" s="6" t="s">
        <v>690</v>
      </c>
      <c r="F4" s="6" t="s">
        <v>691</v>
      </c>
    </row>
    <row r="5" customFormat="false" ht="15" hidden="false" customHeight="false" outlineLevel="0" collapsed="false">
      <c r="A5" s="17" t="s">
        <v>193</v>
      </c>
      <c r="B5" s="22" t="n">
        <f aca="false">SUMPRODUCT((((Données!$D$2:$D$800=B$4)+(Données!$D$2:$D$800="Tous")&gt;0)*(Données!$E$2:$E$800=$A5)*((Données!$T$2:$T$800&lt;&gt;"")*ISNUMBER(Données!$T$2:$T$800)))/(COUNTIFS(Données!$C$2:$C$800,Données!$C$2:$C$800,Données!$E$2:$E$800,Données!$E$2:$E$800,Données!$D$2:$D$800,Données!$D$2:$D$800)+(Données!$C$2:$C$800="")))</f>
        <v>20</v>
      </c>
      <c r="C5" s="22" t="n">
        <f aca="false">SUMPRODUCT((((Données!$D$2:$D$800=C$4)+(Données!$D$2:$D$800="Tous")&gt;0)*(Données!$E$2:$E$800=$A5)*((Données!$T$2:$T$800&lt;&gt;"")*ISNUMBER(Données!$T$2:$T$800)))/(COUNTIFS(Données!$C$2:$C$800,Données!$C$2:$C$800,Données!$E$2:$E$800,Données!$E$2:$E$800,Données!$D$2:$D$800,Données!$D$2:$D$800)+(Données!$C$2:$C$800="")))</f>
        <v>26</v>
      </c>
      <c r="D5" s="22" t="n">
        <f aca="false">SUMPRODUCT((((Données!$D$2:$D$800=D$4)+(Données!$D$2:$D$800="Tous")&gt;0)*(Données!$E$2:$E$800=$A5)*((Données!$T$2:$T$800&lt;&gt;"")*ISNUMBER(Données!$T$2:$T$800)))/(COUNTIFS(Données!$C$2:$C$800,Données!$C$2:$C$800,Données!$E$2:$E$800,Données!$E$2:$E$800,Données!$D$2:$D$800,Données!$D$2:$D$800)+(Données!$C$2:$C$800="")))</f>
        <v>0</v>
      </c>
      <c r="E5" s="23" t="str">
        <f aca="false">IF(MIN(B5:D5)&gt;=2,"Couvert (≥2 sources)",IF(MAX(B5:D5)=0,"Lacune","À compléter"))</f>
        <v>À compléter</v>
      </c>
      <c r="F5" s="23" t="s">
        <v>692</v>
      </c>
    </row>
    <row r="6" customFormat="false" ht="15" hidden="false" customHeight="false" outlineLevel="0" collapsed="false">
      <c r="A6" s="17" t="s">
        <v>657</v>
      </c>
      <c r="B6" s="22" t="n">
        <f aca="false">SUMPRODUCT((((Données!$D$2:$D$800=B$4)+(Données!$D$2:$D$800="Tous")&gt;0)*(Données!$E$2:$E$800=$A6)*((Données!$T$2:$T$800&lt;&gt;"")*ISNUMBER(Données!$T$2:$T$800)))/(COUNTIFS(Données!$C$2:$C$800,Données!$C$2:$C$800,Données!$E$2:$E$800,Données!$E$2:$E$800,Données!$D$2:$D$800,Données!$D$2:$D$800)+(Données!$C$2:$C$800="")))</f>
        <v>0</v>
      </c>
      <c r="C6" s="22" t="n">
        <f aca="false">SUMPRODUCT((((Données!$D$2:$D$800=C$4)+(Données!$D$2:$D$800="Tous")&gt;0)*(Données!$E$2:$E$800=$A6)*((Données!$T$2:$T$800&lt;&gt;"")*ISNUMBER(Données!$T$2:$T$800)))/(COUNTIFS(Données!$C$2:$C$800,Données!$C$2:$C$800,Données!$E$2:$E$800,Données!$E$2:$E$800,Données!$D$2:$D$800,Données!$D$2:$D$800)+(Données!$C$2:$C$800="")))</f>
        <v>1</v>
      </c>
      <c r="D6" s="22" t="n">
        <f aca="false">SUMPRODUCT((((Données!$D$2:$D$800=D$4)+(Données!$D$2:$D$800="Tous")&gt;0)*(Données!$E$2:$E$800=$A6)*((Données!$T$2:$T$800&lt;&gt;"")*ISNUMBER(Données!$T$2:$T$800)))/(COUNTIFS(Données!$C$2:$C$800,Données!$C$2:$C$800,Données!$E$2:$E$800,Données!$E$2:$E$800,Données!$D$2:$D$800,Données!$D$2:$D$800)+(Données!$C$2:$C$800="")))</f>
        <v>0</v>
      </c>
      <c r="E6" s="23" t="str">
        <f aca="false">IF(MIN(B6:D6)&gt;=2,"Couvert (≥2 sources)",IF(MAX(B6:D6)=0,"Lacune","À compléter"))</f>
        <v>À compléter</v>
      </c>
      <c r="F6" s="23" t="s">
        <v>693</v>
      </c>
    </row>
    <row r="7" customFormat="false" ht="15" hidden="false" customHeight="false" outlineLevel="0" collapsed="false">
      <c r="A7" s="17" t="s">
        <v>654</v>
      </c>
      <c r="B7" s="22" t="n">
        <f aca="false">SUMPRODUCT((((Données!$D$2:$D$800=B$4)+(Données!$D$2:$D$800="Tous")&gt;0)*(Données!$E$2:$E$800=$A7)*((Données!$T$2:$T$800&lt;&gt;"")*ISNUMBER(Données!$T$2:$T$800)))/(COUNTIFS(Données!$C$2:$C$800,Données!$C$2:$C$800,Données!$E$2:$E$800,Données!$E$2:$E$800,Données!$D$2:$D$800,Données!$D$2:$D$800)+(Données!$C$2:$C$800="")))</f>
        <v>0</v>
      </c>
      <c r="C7" s="22" t="n">
        <f aca="false">SUMPRODUCT((((Données!$D$2:$D$800=C$4)+(Données!$D$2:$D$800="Tous")&gt;0)*(Données!$E$2:$E$800=$A7)*((Données!$T$2:$T$800&lt;&gt;"")*ISNUMBER(Données!$T$2:$T$800)))/(COUNTIFS(Données!$C$2:$C$800,Données!$C$2:$C$800,Données!$E$2:$E$800,Données!$E$2:$E$800,Données!$D$2:$D$800,Données!$D$2:$D$800)+(Données!$C$2:$C$800="")))</f>
        <v>1</v>
      </c>
      <c r="D7" s="22" t="n">
        <f aca="false">SUMPRODUCT((((Données!$D$2:$D$800=D$4)+(Données!$D$2:$D$800="Tous")&gt;0)*(Données!$E$2:$E$800=$A7)*((Données!$T$2:$T$800&lt;&gt;"")*ISNUMBER(Données!$T$2:$T$800)))/(COUNTIFS(Données!$C$2:$C$800,Données!$C$2:$C$800,Données!$E$2:$E$800,Données!$E$2:$E$800,Données!$D$2:$D$800,Données!$D$2:$D$800)+(Données!$C$2:$C$800="")))</f>
        <v>0</v>
      </c>
      <c r="E7" s="23" t="str">
        <f aca="false">IF(MIN(B7:D7)&gt;=2,"Couvert (≥2 sources)",IF(MAX(B7:D7)=0,"Lacune","À compléter"))</f>
        <v>À compléter</v>
      </c>
      <c r="F7" s="23" t="s">
        <v>694</v>
      </c>
    </row>
    <row r="8" customFormat="false" ht="15" hidden="false" customHeight="false" outlineLevel="0" collapsed="false">
      <c r="A8" s="17" t="s">
        <v>645</v>
      </c>
      <c r="B8" s="22" t="n">
        <f aca="false">SUMPRODUCT((((Données!$D$2:$D$800=B$4)+(Données!$D$2:$D$800="Tous")&gt;0)*(Données!$E$2:$E$800=$A8)*((Données!$T$2:$T$800&lt;&gt;"")*ISNUMBER(Données!$T$2:$T$800)))/(COUNTIFS(Données!$C$2:$C$800,Données!$C$2:$C$800,Données!$E$2:$E$800,Données!$E$2:$E$800,Données!$D$2:$D$800,Données!$D$2:$D$800)+(Données!$C$2:$C$800="")))</f>
        <v>0</v>
      </c>
      <c r="C8" s="22" t="n">
        <f aca="false">SUMPRODUCT((((Données!$D$2:$D$800=C$4)+(Données!$D$2:$D$800="Tous")&gt;0)*(Données!$E$2:$E$800=$A8)*((Données!$T$2:$T$800&lt;&gt;"")*ISNUMBER(Données!$T$2:$T$800)))/(COUNTIFS(Données!$C$2:$C$800,Données!$C$2:$C$800,Données!$E$2:$E$800,Données!$E$2:$E$800,Données!$D$2:$D$800,Données!$D$2:$D$800)+(Données!$C$2:$C$800="")))</f>
        <v>1</v>
      </c>
      <c r="D8" s="22" t="n">
        <f aca="false">SUMPRODUCT((((Données!$D$2:$D$800=D$4)+(Données!$D$2:$D$800="Tous")&gt;0)*(Données!$E$2:$E$800=$A8)*((Données!$T$2:$T$800&lt;&gt;"")*ISNUMBER(Données!$T$2:$T$800)))/(COUNTIFS(Données!$C$2:$C$800,Données!$C$2:$C$800,Données!$E$2:$E$800,Données!$E$2:$E$800,Données!$D$2:$D$800,Données!$D$2:$D$800)+(Données!$C$2:$C$800="")))</f>
        <v>0</v>
      </c>
      <c r="E8" s="23" t="str">
        <f aca="false">IF(MIN(B8:D8)&gt;=2,"Couvert (≥2 sources)",IF(MAX(B8:D8)=0,"Lacune","À compléter"))</f>
        <v>À compléter</v>
      </c>
      <c r="F8" s="23" t="s">
        <v>695</v>
      </c>
    </row>
    <row r="9" customFormat="false" ht="15" hidden="false" customHeight="false" outlineLevel="0" collapsed="false">
      <c r="A9" s="17" t="s">
        <v>651</v>
      </c>
      <c r="B9" s="22" t="n">
        <f aca="false">SUMPRODUCT((((Données!$D$2:$D$800=B$4)+(Données!$D$2:$D$800="Tous")&gt;0)*(Données!$E$2:$E$800=$A9)*((Données!$T$2:$T$800&lt;&gt;"")*ISNUMBER(Données!$T$2:$T$800)))/(COUNTIFS(Données!$C$2:$C$800,Données!$C$2:$C$800,Données!$E$2:$E$800,Données!$E$2:$E$800,Données!$D$2:$D$800,Données!$D$2:$D$800)+(Données!$C$2:$C$800="")))</f>
        <v>0</v>
      </c>
      <c r="C9" s="22" t="n">
        <f aca="false">SUMPRODUCT((((Données!$D$2:$D$800=C$4)+(Données!$D$2:$D$800="Tous")&gt;0)*(Données!$E$2:$E$800=$A9)*((Données!$T$2:$T$800&lt;&gt;"")*ISNUMBER(Données!$T$2:$T$800)))/(COUNTIFS(Données!$C$2:$C$800,Données!$C$2:$C$800,Données!$E$2:$E$800,Données!$E$2:$E$800,Données!$D$2:$D$800,Données!$D$2:$D$800)+(Données!$C$2:$C$800="")))</f>
        <v>1</v>
      </c>
      <c r="D9" s="22" t="n">
        <f aca="false">SUMPRODUCT((((Données!$D$2:$D$800=D$4)+(Données!$D$2:$D$800="Tous")&gt;0)*(Données!$E$2:$E$800=$A9)*((Données!$T$2:$T$800&lt;&gt;"")*ISNUMBER(Données!$T$2:$T$800)))/(COUNTIFS(Données!$C$2:$C$800,Données!$C$2:$C$800,Données!$E$2:$E$800,Données!$E$2:$E$800,Données!$D$2:$D$800,Données!$D$2:$D$800)+(Données!$C$2:$C$800="")))</f>
        <v>0</v>
      </c>
      <c r="E9" s="23" t="str">
        <f aca="false">IF(MIN(B9:D9)&gt;=2,"Couvert (≥2 sources)",IF(MAX(B9:D9)=0,"Lacune","À compléter"))</f>
        <v>À compléter</v>
      </c>
      <c r="F9" s="23" t="s">
        <v>696</v>
      </c>
    </row>
    <row r="10" customFormat="false" ht="15" hidden="false" customHeight="false" outlineLevel="0" collapsed="false">
      <c r="A10" s="17" t="s">
        <v>648</v>
      </c>
      <c r="B10" s="22" t="n">
        <f aca="false">SUMPRODUCT((((Données!$D$2:$D$800=B$4)+(Données!$D$2:$D$800="Tous")&gt;0)*(Données!$E$2:$E$800=$A10)*((Données!$T$2:$T$800&lt;&gt;"")*ISNUMBER(Données!$T$2:$T$800)))/(COUNTIFS(Données!$C$2:$C$800,Données!$C$2:$C$800,Données!$E$2:$E$800,Données!$E$2:$E$800,Données!$D$2:$D$800,Données!$D$2:$D$800)+(Données!$C$2:$C$800="")))</f>
        <v>0</v>
      </c>
      <c r="C10" s="22" t="n">
        <f aca="false">SUMPRODUCT((((Données!$D$2:$D$800=C$4)+(Données!$D$2:$D$800="Tous")&gt;0)*(Données!$E$2:$E$800=$A10)*((Données!$T$2:$T$800&lt;&gt;"")*ISNUMBER(Données!$T$2:$T$800)))/(COUNTIFS(Données!$C$2:$C$800,Données!$C$2:$C$800,Données!$E$2:$E$800,Données!$E$2:$E$800,Données!$D$2:$D$800,Données!$D$2:$D$800)+(Données!$C$2:$C$800="")))</f>
        <v>1</v>
      </c>
      <c r="D10" s="22" t="n">
        <f aca="false">SUMPRODUCT((((Données!$D$2:$D$800=D$4)+(Données!$D$2:$D$800="Tous")&gt;0)*(Données!$E$2:$E$800=$A10)*((Données!$T$2:$T$800&lt;&gt;"")*ISNUMBER(Données!$T$2:$T$800)))/(COUNTIFS(Données!$C$2:$C$800,Données!$C$2:$C$800,Données!$E$2:$E$800,Données!$E$2:$E$800,Données!$D$2:$D$800,Données!$D$2:$D$800)+(Données!$C$2:$C$800="")))</f>
        <v>0</v>
      </c>
      <c r="E10" s="23" t="str">
        <f aca="false">IF(MIN(B10:D10)&gt;=2,"Couvert (≥2 sources)",IF(MAX(B10:D10)=0,"Lacune","À compléter"))</f>
        <v>À compléter</v>
      </c>
      <c r="F10" s="23" t="s">
        <v>697</v>
      </c>
    </row>
    <row r="11" customFormat="false" ht="15" hidden="false" customHeight="false" outlineLevel="0" collapsed="false">
      <c r="A11" s="17" t="s">
        <v>666</v>
      </c>
      <c r="B11" s="22" t="n">
        <f aca="false">SUMPRODUCT((((Données!$D$2:$D$800=B$4)+(Données!$D$2:$D$800="Tous")&gt;0)*(Données!$E$2:$E$800=$A11)*((Données!$T$2:$T$800&lt;&gt;"")*ISNUMBER(Données!$T$2:$T$800)))/(COUNTIFS(Données!$C$2:$C$800,Données!$C$2:$C$800,Données!$E$2:$E$800,Données!$E$2:$E$800,Données!$D$2:$D$800,Données!$D$2:$D$800)+(Données!$C$2:$C$800="")))</f>
        <v>1</v>
      </c>
      <c r="C11" s="22" t="n">
        <f aca="false">SUMPRODUCT((((Données!$D$2:$D$800=C$4)+(Données!$D$2:$D$800="Tous")&gt;0)*(Données!$E$2:$E$800=$A11)*((Données!$T$2:$T$800&lt;&gt;"")*ISNUMBER(Données!$T$2:$T$800)))/(COUNTIFS(Données!$C$2:$C$800,Données!$C$2:$C$800,Données!$E$2:$E$800,Données!$E$2:$E$800,Données!$D$2:$D$800,Données!$D$2:$D$800)+(Données!$C$2:$C$800="")))</f>
        <v>1</v>
      </c>
      <c r="D11" s="22" t="n">
        <f aca="false">SUMPRODUCT((((Données!$D$2:$D$800=D$4)+(Données!$D$2:$D$800="Tous")&gt;0)*(Données!$E$2:$E$800=$A11)*((Données!$T$2:$T$800&lt;&gt;"")*ISNUMBER(Données!$T$2:$T$800)))/(COUNTIFS(Données!$C$2:$C$800,Données!$C$2:$C$800,Données!$E$2:$E$800,Données!$E$2:$E$800,Données!$D$2:$D$800,Données!$D$2:$D$800)+(Données!$C$2:$C$800="")))</f>
        <v>1</v>
      </c>
      <c r="E11" s="23" t="str">
        <f aca="false">IF(MIN(B11:D11)&gt;=2,"Couvert (≥2 sources)",IF(MAX(B11:D11)=0,"Lacune","À compléter"))</f>
        <v>À compléter</v>
      </c>
      <c r="F11" s="23" t="s">
        <v>698</v>
      </c>
    </row>
    <row r="12" customFormat="false" ht="15" hidden="false" customHeight="false" outlineLevel="0" collapsed="false">
      <c r="A12" s="17" t="s">
        <v>662</v>
      </c>
      <c r="B12" s="22" t="n">
        <f aca="false">SUMPRODUCT((((Données!$D$2:$D$800=B$4)+(Données!$D$2:$D$800="Tous")&gt;0)*(Données!$E$2:$E$800=$A12)*((Données!$T$2:$T$800&lt;&gt;"")*ISNUMBER(Données!$T$2:$T$800)))/(COUNTIFS(Données!$C$2:$C$800,Données!$C$2:$C$800,Données!$E$2:$E$800,Données!$E$2:$E$800,Données!$D$2:$D$800,Données!$D$2:$D$800)+(Données!$C$2:$C$800="")))</f>
        <v>1</v>
      </c>
      <c r="C12" s="22" t="n">
        <f aca="false">SUMPRODUCT((((Données!$D$2:$D$800=C$4)+(Données!$D$2:$D$800="Tous")&gt;0)*(Données!$E$2:$E$800=$A12)*((Données!$T$2:$T$800&lt;&gt;"")*ISNUMBER(Données!$T$2:$T$800)))/(COUNTIFS(Données!$C$2:$C$800,Données!$C$2:$C$800,Données!$E$2:$E$800,Données!$E$2:$E$800,Données!$D$2:$D$800,Données!$D$2:$D$800)+(Données!$C$2:$C$800="")))</f>
        <v>1</v>
      </c>
      <c r="D12" s="22" t="n">
        <f aca="false">SUMPRODUCT((((Données!$D$2:$D$800=D$4)+(Données!$D$2:$D$800="Tous")&gt;0)*(Données!$E$2:$E$800=$A12)*((Données!$T$2:$T$800&lt;&gt;"")*ISNUMBER(Données!$T$2:$T$800)))/(COUNTIFS(Données!$C$2:$C$800,Données!$C$2:$C$800,Données!$E$2:$E$800,Données!$E$2:$E$800,Données!$D$2:$D$800,Données!$D$2:$D$800)+(Données!$C$2:$C$800="")))</f>
        <v>1</v>
      </c>
      <c r="E12" s="23" t="str">
        <f aca="false">IF(MIN(B12:D12)&gt;=2,"Couvert (≥2 sources)",IF(MAX(B12:D12)=0,"Lacune","À compléter"))</f>
        <v>À compléter</v>
      </c>
      <c r="F12" s="23" t="s">
        <v>699</v>
      </c>
    </row>
    <row r="13" customFormat="false" ht="15" hidden="false" customHeight="false" outlineLevel="0" collapsed="false">
      <c r="A13" s="17" t="s">
        <v>700</v>
      </c>
      <c r="B13" s="22" t="n">
        <f aca="false">SUMPRODUCT((((Données!$D$2:$D$800=B$4)+(Données!$D$2:$D$800="Tous")&gt;0)*(Données!$E$2:$E$800=$A13)*((Données!$T$2:$T$800&lt;&gt;"")*ISNUMBER(Données!$T$2:$T$800)))/(COUNTIFS(Données!$C$2:$C$800,Données!$C$2:$C$800,Données!$E$2:$E$800,Données!$E$2:$E$800,Données!$D$2:$D$800,Données!$D$2:$D$800)+(Données!$C$2:$C$800="")))</f>
        <v>0</v>
      </c>
      <c r="C13" s="22" t="n">
        <f aca="false">SUMPRODUCT((((Données!$D$2:$D$800=C$4)+(Données!$D$2:$D$800="Tous")&gt;0)*(Données!$E$2:$E$800=$A13)*((Données!$T$2:$T$800&lt;&gt;"")*ISNUMBER(Données!$T$2:$T$800)))/(COUNTIFS(Données!$C$2:$C$800,Données!$C$2:$C$800,Données!$E$2:$E$800,Données!$E$2:$E$800,Données!$D$2:$D$800,Données!$D$2:$D$800)+(Données!$C$2:$C$800="")))</f>
        <v>0</v>
      </c>
      <c r="D13" s="22" t="n">
        <f aca="false">SUMPRODUCT((((Données!$D$2:$D$800=D$4)+(Données!$D$2:$D$800="Tous")&gt;0)*(Données!$E$2:$E$800=$A13)*((Données!$T$2:$T$800&lt;&gt;"")*ISNUMBER(Données!$T$2:$T$800)))/(COUNTIFS(Données!$C$2:$C$800,Données!$C$2:$C$800,Données!$E$2:$E$800,Données!$E$2:$E$800,Données!$D$2:$D$800,Données!$D$2:$D$800)+(Données!$C$2:$C$800="")))</f>
        <v>0</v>
      </c>
      <c r="E13" s="23" t="str">
        <f aca="false">IF(MIN(B13:D13)&gt;=2,"Couvert (≥2 sources)",IF(MAX(B13:D13)=0,"Lacune","À compléter"))</f>
        <v>Lacune</v>
      </c>
      <c r="F13" s="23" t="s">
        <v>701</v>
      </c>
    </row>
    <row r="14" customFormat="false" ht="15" hidden="false" customHeight="false" outlineLevel="0" collapsed="false">
      <c r="A14" s="17" t="s">
        <v>702</v>
      </c>
      <c r="B14" s="22" t="n">
        <f aca="false">SUMPRODUCT((((Données!$D$2:$D$800=B$4)+(Données!$D$2:$D$800="Tous")&gt;0)*(Données!$E$2:$E$800=$A14)*((Données!$T$2:$T$800&lt;&gt;"")*ISNUMBER(Données!$T$2:$T$800)))/(COUNTIFS(Données!$C$2:$C$800,Données!$C$2:$C$800,Données!$E$2:$E$800,Données!$E$2:$E$800,Données!$D$2:$D$800,Données!$D$2:$D$800)+(Données!$C$2:$C$800="")))</f>
        <v>0</v>
      </c>
      <c r="C14" s="22" t="n">
        <f aca="false">SUMPRODUCT((((Données!$D$2:$D$800=C$4)+(Données!$D$2:$D$800="Tous")&gt;0)*(Données!$E$2:$E$800=$A14)*((Données!$T$2:$T$800&lt;&gt;"")*ISNUMBER(Données!$T$2:$T$800)))/(COUNTIFS(Données!$C$2:$C$800,Données!$C$2:$C$800,Données!$E$2:$E$800,Données!$E$2:$E$800,Données!$D$2:$D$800,Données!$D$2:$D$800)+(Données!$C$2:$C$800="")))</f>
        <v>0</v>
      </c>
      <c r="D14" s="22" t="n">
        <f aca="false">SUMPRODUCT((((Données!$D$2:$D$800=D$4)+(Données!$D$2:$D$800="Tous")&gt;0)*(Données!$E$2:$E$800=$A14)*((Données!$T$2:$T$800&lt;&gt;"")*ISNUMBER(Données!$T$2:$T$800)))/(COUNTIFS(Données!$C$2:$C$800,Données!$C$2:$C$800,Données!$E$2:$E$800,Données!$E$2:$E$800,Données!$D$2:$D$800,Données!$D$2:$D$800)+(Données!$C$2:$C$800="")))</f>
        <v>0</v>
      </c>
      <c r="E14" s="23" t="str">
        <f aca="false">IF(MIN(B14:D14)&gt;=2,"Couvert (≥2 sources)",IF(MAX(B14:D14)=0,"Lacune","À compléter"))</f>
        <v>Lacune</v>
      </c>
      <c r="F14" s="23" t="s">
        <v>703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26"/>
    <col collapsed="false" customWidth="true" hidden="false" outlineLevel="0" max="4" min="4" style="0" width="38"/>
    <col collapsed="false" customWidth="true" hidden="false" outlineLevel="0" max="5" min="5" style="0" width="55"/>
  </cols>
  <sheetData>
    <row r="1" customFormat="false" ht="16.15" hidden="false" customHeight="false" outlineLevel="0" collapsed="false">
      <c r="A1" s="4" t="s">
        <v>704</v>
      </c>
    </row>
    <row r="3" customFormat="false" ht="15" hidden="false" customHeight="false" outlineLevel="0" collapsed="false">
      <c r="A3" s="6" t="s">
        <v>705</v>
      </c>
      <c r="B3" s="6" t="s">
        <v>706</v>
      </c>
      <c r="C3" s="6" t="s">
        <v>178</v>
      </c>
      <c r="D3" s="6" t="s">
        <v>707</v>
      </c>
      <c r="E3" s="6" t="s">
        <v>190</v>
      </c>
    </row>
    <row r="4" customFormat="false" ht="15" hidden="false" customHeight="false" outlineLevel="0" collapsed="false">
      <c r="A4" s="14" t="s">
        <v>708</v>
      </c>
      <c r="B4" s="14" t="s">
        <v>709</v>
      </c>
      <c r="C4" s="14" t="s">
        <v>710</v>
      </c>
      <c r="D4" s="14" t="s">
        <v>711</v>
      </c>
      <c r="E4" s="14" t="s">
        <v>712</v>
      </c>
    </row>
    <row r="5" customFormat="false" ht="15" hidden="false" customHeight="false" outlineLevel="0" collapsed="false">
      <c r="A5" s="14" t="s">
        <v>708</v>
      </c>
      <c r="B5" s="14" t="s">
        <v>713</v>
      </c>
      <c r="C5" s="14" t="s">
        <v>714</v>
      </c>
      <c r="D5" s="14" t="s">
        <v>715</v>
      </c>
      <c r="E5" s="14" t="s">
        <v>716</v>
      </c>
    </row>
    <row r="6" customFormat="false" ht="15" hidden="false" customHeight="false" outlineLevel="0" collapsed="false">
      <c r="A6" s="14" t="s">
        <v>717</v>
      </c>
      <c r="B6" s="14" t="s">
        <v>718</v>
      </c>
      <c r="C6" s="14" t="s">
        <v>719</v>
      </c>
      <c r="D6" s="14" t="s">
        <v>657</v>
      </c>
      <c r="E6" s="14" t="s">
        <v>720</v>
      </c>
    </row>
    <row r="7" customFormat="false" ht="15" hidden="false" customHeight="false" outlineLevel="0" collapsed="false">
      <c r="A7" s="14" t="s">
        <v>717</v>
      </c>
      <c r="B7" s="14" t="s">
        <v>721</v>
      </c>
      <c r="C7" s="14" t="s">
        <v>719</v>
      </c>
      <c r="D7" s="14" t="s">
        <v>722</v>
      </c>
      <c r="E7" s="14" t="s">
        <v>723</v>
      </c>
    </row>
    <row r="8" customFormat="false" ht="15" hidden="false" customHeight="false" outlineLevel="0" collapsed="false">
      <c r="A8" s="14" t="s">
        <v>717</v>
      </c>
      <c r="B8" s="14" t="s">
        <v>724</v>
      </c>
      <c r="C8" s="14" t="s">
        <v>710</v>
      </c>
      <c r="D8" s="14" t="s">
        <v>725</v>
      </c>
      <c r="E8" s="14" t="s">
        <v>726</v>
      </c>
    </row>
    <row r="9" customFormat="false" ht="15" hidden="false" customHeight="false" outlineLevel="0" collapsed="false">
      <c r="A9" s="14" t="s">
        <v>23</v>
      </c>
      <c r="B9" s="14" t="s">
        <v>193</v>
      </c>
      <c r="C9" s="14" t="s">
        <v>195</v>
      </c>
      <c r="D9" s="14" t="s">
        <v>727</v>
      </c>
      <c r="E9" s="14"/>
    </row>
    <row r="10" customFormat="false" ht="15" hidden="false" customHeight="false" outlineLevel="0" collapsed="false">
      <c r="A10" s="14" t="s">
        <v>23</v>
      </c>
      <c r="B10" s="14" t="s">
        <v>728</v>
      </c>
      <c r="C10" s="14" t="s">
        <v>729</v>
      </c>
      <c r="D10" s="14" t="s">
        <v>730</v>
      </c>
      <c r="E10" s="14" t="s">
        <v>731</v>
      </c>
    </row>
    <row r="11" customFormat="false" ht="15" hidden="false" customHeight="false" outlineLevel="0" collapsed="false">
      <c r="A11" s="14" t="s">
        <v>23</v>
      </c>
      <c r="B11" s="14" t="s">
        <v>725</v>
      </c>
      <c r="C11" s="14" t="s">
        <v>732</v>
      </c>
      <c r="D11" s="14" t="s">
        <v>727</v>
      </c>
      <c r="E11" s="14" t="s">
        <v>733</v>
      </c>
    </row>
    <row r="12" customFormat="false" ht="15" hidden="false" customHeight="false" outlineLevel="0" collapsed="false">
      <c r="A12" s="14" t="s">
        <v>23</v>
      </c>
      <c r="B12" s="14" t="s">
        <v>645</v>
      </c>
      <c r="C12" s="14" t="s">
        <v>646</v>
      </c>
      <c r="D12" s="14" t="s">
        <v>730</v>
      </c>
      <c r="E12" s="14" t="s">
        <v>731</v>
      </c>
    </row>
    <row r="13" customFormat="false" ht="15" hidden="false" customHeight="false" outlineLevel="0" collapsed="false">
      <c r="A13" s="14" t="s">
        <v>23</v>
      </c>
      <c r="B13" s="14" t="s">
        <v>651</v>
      </c>
      <c r="C13" s="14" t="s">
        <v>734</v>
      </c>
      <c r="D13" s="14" t="s">
        <v>730</v>
      </c>
      <c r="E13" s="14" t="s">
        <v>735</v>
      </c>
    </row>
    <row r="14" customFormat="false" ht="15" hidden="false" customHeight="false" outlineLevel="0" collapsed="false">
      <c r="A14" s="14" t="s">
        <v>23</v>
      </c>
      <c r="B14" s="14" t="s">
        <v>648</v>
      </c>
      <c r="C14" s="14" t="s">
        <v>649</v>
      </c>
      <c r="D14" s="14" t="s">
        <v>736</v>
      </c>
      <c r="E14" s="14" t="s">
        <v>731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2026-10-19T10:41:33Z</dcterms:created>
  <dc:creator>openpyxl</dc:creator>
  <dc:description/>
  <dc:language>en-US</dc:language>
  <cp:lastModifiedBy/>
  <dcterms:modified xsi:type="dcterms:W3CDTF">2026-10-19T10:41:33Z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