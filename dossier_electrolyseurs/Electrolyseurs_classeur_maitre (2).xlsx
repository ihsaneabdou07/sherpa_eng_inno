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ssa\Downloads\"/>
    </mc:Choice>
  </mc:AlternateContent>
  <bookViews>
    <workbookView xWindow="0" yWindow="0" windowWidth="23040" windowHeight="10512" tabRatio="500" activeTab="5"/>
  </bookViews>
  <sheets>
    <sheet name="Lisez-moi" sheetId="1" r:id="rId1"/>
    <sheet name="Hypothèses" sheetId="2" r:id="rId2"/>
    <sheet name="Sources" sheetId="3" r:id="rId3"/>
    <sheet name="Données" sheetId="4" r:id="rId4"/>
    <sheet name="Synthèse" sheetId="5" r:id="rId5"/>
    <sheet name="Lacunes" sheetId="6" r:id="rId6"/>
    <sheet name="Interface" sheetId="7" r:id="rId7"/>
    <sheet name="Déploiement" sheetId="8" r:id="rId8"/>
  </sheets>
  <definedNames>
    <definedName name="_xlnm._FilterDatabase" localSheetId="7" hidden="1">Déploiement!$A$1:$H$177</definedName>
    <definedName name="_xlnm._FilterDatabase" localSheetId="3" hidden="1">Données!$A$1:$AA$530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7" i="8" l="1"/>
  <c r="F177" i="8" s="1"/>
  <c r="E176" i="8"/>
  <c r="F176" i="8" s="1"/>
  <c r="E175" i="8"/>
  <c r="F175" i="8" s="1"/>
  <c r="E174" i="8"/>
  <c r="F174" i="8" s="1"/>
  <c r="E173" i="8"/>
  <c r="F173" i="8" s="1"/>
  <c r="F172" i="8"/>
  <c r="E172" i="8"/>
  <c r="F171" i="8"/>
  <c r="E171" i="8"/>
  <c r="E170" i="8"/>
  <c r="F170" i="8" s="1"/>
  <c r="E169" i="8"/>
  <c r="F169" i="8" s="1"/>
  <c r="E168" i="8"/>
  <c r="F168" i="8" s="1"/>
  <c r="E167" i="8"/>
  <c r="F167" i="8" s="1"/>
  <c r="E166" i="8"/>
  <c r="F166" i="8" s="1"/>
  <c r="E165" i="8"/>
  <c r="F165" i="8" s="1"/>
  <c r="F164" i="8"/>
  <c r="E164" i="8"/>
  <c r="F163" i="8"/>
  <c r="E163" i="8"/>
  <c r="E162" i="8"/>
  <c r="F162" i="8" s="1"/>
  <c r="E161" i="8"/>
  <c r="F161" i="8" s="1"/>
  <c r="E160" i="8"/>
  <c r="F160" i="8" s="1"/>
  <c r="E159" i="8"/>
  <c r="F159" i="8" s="1"/>
  <c r="E158" i="8"/>
  <c r="F158" i="8" s="1"/>
  <c r="E157" i="8"/>
  <c r="F157" i="8" s="1"/>
  <c r="F156" i="8"/>
  <c r="E156" i="8"/>
  <c r="F155" i="8"/>
  <c r="E155" i="8"/>
  <c r="E154" i="8"/>
  <c r="F154" i="8" s="1"/>
  <c r="E153" i="8"/>
  <c r="F153" i="8" s="1"/>
  <c r="E152" i="8"/>
  <c r="F152" i="8" s="1"/>
  <c r="E151" i="8"/>
  <c r="F151" i="8" s="1"/>
  <c r="E150" i="8"/>
  <c r="F150" i="8" s="1"/>
  <c r="E149" i="8"/>
  <c r="F149" i="8" s="1"/>
  <c r="F148" i="8"/>
  <c r="E148" i="8"/>
  <c r="F147" i="8"/>
  <c r="E147" i="8"/>
  <c r="E146" i="8"/>
  <c r="F146" i="8" s="1"/>
  <c r="E145" i="8"/>
  <c r="F145" i="8" s="1"/>
  <c r="E144" i="8"/>
  <c r="F144" i="8" s="1"/>
  <c r="E143" i="8"/>
  <c r="F143" i="8" s="1"/>
  <c r="E142" i="8"/>
  <c r="F142" i="8" s="1"/>
  <c r="E141" i="8"/>
  <c r="F141" i="8" s="1"/>
  <c r="F140" i="8"/>
  <c r="E140" i="8"/>
  <c r="F139" i="8"/>
  <c r="E139" i="8"/>
  <c r="E138" i="8"/>
  <c r="F138" i="8" s="1"/>
  <c r="E137" i="8"/>
  <c r="F137" i="8" s="1"/>
  <c r="E136" i="8"/>
  <c r="F136" i="8" s="1"/>
  <c r="E135" i="8"/>
  <c r="F135" i="8" s="1"/>
  <c r="E134" i="8"/>
  <c r="F134" i="8" s="1"/>
  <c r="E133" i="8"/>
  <c r="F133" i="8" s="1"/>
  <c r="F132" i="8"/>
  <c r="E132" i="8"/>
  <c r="F131" i="8"/>
  <c r="E131" i="8"/>
  <c r="E130" i="8"/>
  <c r="F130" i="8" s="1"/>
  <c r="E129" i="8"/>
  <c r="F129" i="8" s="1"/>
  <c r="E128" i="8"/>
  <c r="F128" i="8" s="1"/>
  <c r="E127" i="8"/>
  <c r="F127" i="8" s="1"/>
  <c r="E126" i="8"/>
  <c r="F126" i="8" s="1"/>
  <c r="E125" i="8"/>
  <c r="F125" i="8" s="1"/>
  <c r="F124" i="8"/>
  <c r="E124" i="8"/>
  <c r="F123" i="8"/>
  <c r="E123" i="8"/>
  <c r="E122" i="8"/>
  <c r="F122" i="8" s="1"/>
  <c r="E121" i="8"/>
  <c r="F121" i="8" s="1"/>
  <c r="E120" i="8"/>
  <c r="F120" i="8" s="1"/>
  <c r="E119" i="8"/>
  <c r="F119" i="8" s="1"/>
  <c r="E118" i="8"/>
  <c r="F118" i="8" s="1"/>
  <c r="E117" i="8"/>
  <c r="F117" i="8" s="1"/>
  <c r="F116" i="8"/>
  <c r="E116" i="8"/>
  <c r="F115" i="8"/>
  <c r="E115" i="8"/>
  <c r="E114" i="8"/>
  <c r="F114" i="8" s="1"/>
  <c r="E113" i="8"/>
  <c r="F113" i="8" s="1"/>
  <c r="E112" i="8"/>
  <c r="F112" i="8" s="1"/>
  <c r="E111" i="8"/>
  <c r="F111" i="8" s="1"/>
  <c r="E110" i="8"/>
  <c r="F110" i="8" s="1"/>
  <c r="E109" i="8"/>
  <c r="F109" i="8" s="1"/>
  <c r="F108" i="8"/>
  <c r="E108" i="8"/>
  <c r="F107" i="8"/>
  <c r="E107" i="8"/>
  <c r="E106" i="8"/>
  <c r="F106" i="8" s="1"/>
  <c r="E105" i="8"/>
  <c r="F105" i="8" s="1"/>
  <c r="E104" i="8"/>
  <c r="F104" i="8" s="1"/>
  <c r="E103" i="8"/>
  <c r="F103" i="8" s="1"/>
  <c r="E102" i="8"/>
  <c r="F102" i="8" s="1"/>
  <c r="E101" i="8"/>
  <c r="F101" i="8" s="1"/>
  <c r="F100" i="8"/>
  <c r="E100" i="8"/>
  <c r="F99" i="8"/>
  <c r="E99" i="8"/>
  <c r="E98" i="8"/>
  <c r="F98" i="8" s="1"/>
  <c r="E97" i="8"/>
  <c r="F97" i="8" s="1"/>
  <c r="E96" i="8"/>
  <c r="F96" i="8" s="1"/>
  <c r="E95" i="8"/>
  <c r="F95" i="8" s="1"/>
  <c r="E94" i="8"/>
  <c r="F94" i="8" s="1"/>
  <c r="E93" i="8"/>
  <c r="F93" i="8" s="1"/>
  <c r="F92" i="8"/>
  <c r="E92" i="8"/>
  <c r="F91" i="8"/>
  <c r="E91" i="8"/>
  <c r="E90" i="8"/>
  <c r="F90" i="8" s="1"/>
  <c r="E89" i="8"/>
  <c r="F89" i="8" s="1"/>
  <c r="E88" i="8"/>
  <c r="F88" i="8" s="1"/>
  <c r="E87" i="8"/>
  <c r="F87" i="8" s="1"/>
  <c r="E86" i="8"/>
  <c r="F86" i="8" s="1"/>
  <c r="E85" i="8"/>
  <c r="F85" i="8" s="1"/>
  <c r="F84" i="8"/>
  <c r="E84" i="8"/>
  <c r="F83" i="8"/>
  <c r="E83" i="8"/>
  <c r="E82" i="8"/>
  <c r="F82" i="8" s="1"/>
  <c r="E81" i="8"/>
  <c r="F81" i="8" s="1"/>
  <c r="E80" i="8"/>
  <c r="F80" i="8" s="1"/>
  <c r="E79" i="8"/>
  <c r="F79" i="8" s="1"/>
  <c r="E78" i="8"/>
  <c r="F78" i="8" s="1"/>
  <c r="E77" i="8"/>
  <c r="F77" i="8" s="1"/>
  <c r="F76" i="8"/>
  <c r="E76" i="8"/>
  <c r="F75" i="8"/>
  <c r="E75" i="8"/>
  <c r="E74" i="8"/>
  <c r="F74" i="8" s="1"/>
  <c r="E73" i="8"/>
  <c r="F73" i="8" s="1"/>
  <c r="E72" i="8"/>
  <c r="F72" i="8" s="1"/>
  <c r="E71" i="8"/>
  <c r="F71" i="8" s="1"/>
  <c r="E70" i="8"/>
  <c r="F70" i="8" s="1"/>
  <c r="E69" i="8"/>
  <c r="F69" i="8" s="1"/>
  <c r="F68" i="8"/>
  <c r="E68" i="8"/>
  <c r="F67" i="8"/>
  <c r="E67" i="8"/>
  <c r="E66" i="8"/>
  <c r="F66" i="8" s="1"/>
  <c r="E65" i="8"/>
  <c r="F65" i="8" s="1"/>
  <c r="E64" i="8"/>
  <c r="F64" i="8" s="1"/>
  <c r="E63" i="8"/>
  <c r="F63" i="8" s="1"/>
  <c r="E62" i="8"/>
  <c r="F62" i="8" s="1"/>
  <c r="E61" i="8"/>
  <c r="F61" i="8" s="1"/>
  <c r="F60" i="8"/>
  <c r="E60" i="8"/>
  <c r="F59" i="8"/>
  <c r="E59" i="8"/>
  <c r="E58" i="8"/>
  <c r="F58" i="8" s="1"/>
  <c r="E57" i="8"/>
  <c r="F57" i="8" s="1"/>
  <c r="E56" i="8"/>
  <c r="F56" i="8" s="1"/>
  <c r="E55" i="8"/>
  <c r="F55" i="8" s="1"/>
  <c r="E54" i="8"/>
  <c r="F54" i="8" s="1"/>
  <c r="E53" i="8"/>
  <c r="F53" i="8" s="1"/>
  <c r="F52" i="8"/>
  <c r="E52" i="8"/>
  <c r="F51" i="8"/>
  <c r="E51" i="8"/>
  <c r="E50" i="8"/>
  <c r="F50" i="8" s="1"/>
  <c r="E49" i="8"/>
  <c r="F49" i="8" s="1"/>
  <c r="E48" i="8"/>
  <c r="F48" i="8" s="1"/>
  <c r="E47" i="8"/>
  <c r="F47" i="8" s="1"/>
  <c r="E46" i="8"/>
  <c r="F46" i="8" s="1"/>
  <c r="E45" i="8"/>
  <c r="F45" i="8" s="1"/>
  <c r="F44" i="8"/>
  <c r="E44" i="8"/>
  <c r="F43" i="8"/>
  <c r="E43" i="8"/>
  <c r="E42" i="8"/>
  <c r="F42" i="8" s="1"/>
  <c r="E41" i="8"/>
  <c r="F41" i="8" s="1"/>
  <c r="E40" i="8"/>
  <c r="F40" i="8" s="1"/>
  <c r="E39" i="8"/>
  <c r="F39" i="8" s="1"/>
  <c r="E38" i="8"/>
  <c r="F38" i="8" s="1"/>
  <c r="E37" i="8"/>
  <c r="F37" i="8" s="1"/>
  <c r="F36" i="8"/>
  <c r="E36" i="8"/>
  <c r="F35" i="8"/>
  <c r="E35" i="8"/>
  <c r="E34" i="8"/>
  <c r="F34" i="8" s="1"/>
  <c r="E33" i="8"/>
  <c r="F33" i="8" s="1"/>
  <c r="E32" i="8"/>
  <c r="F32" i="8" s="1"/>
  <c r="E31" i="8"/>
  <c r="F31" i="8" s="1"/>
  <c r="E30" i="8"/>
  <c r="F30" i="8" s="1"/>
  <c r="E29" i="8"/>
  <c r="F29" i="8" s="1"/>
  <c r="F28" i="8"/>
  <c r="E28" i="8"/>
  <c r="F27" i="8"/>
  <c r="E27" i="8"/>
  <c r="E26" i="8"/>
  <c r="F26" i="8" s="1"/>
  <c r="E25" i="8"/>
  <c r="F25" i="8" s="1"/>
  <c r="E24" i="8"/>
  <c r="F24" i="8" s="1"/>
  <c r="E23" i="8"/>
  <c r="F23" i="8" s="1"/>
  <c r="E22" i="8"/>
  <c r="F22" i="8" s="1"/>
  <c r="E21" i="8"/>
  <c r="F21" i="8" s="1"/>
  <c r="F20" i="8"/>
  <c r="E20" i="8"/>
  <c r="F19" i="8"/>
  <c r="E19" i="8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F12" i="8"/>
  <c r="E12" i="8"/>
  <c r="F11" i="8"/>
  <c r="E11" i="8"/>
  <c r="E10" i="8"/>
  <c r="F10" i="8" s="1"/>
  <c r="E9" i="8"/>
  <c r="F9" i="8" s="1"/>
  <c r="E8" i="8"/>
  <c r="F8" i="8" s="1"/>
  <c r="E7" i="8"/>
  <c r="F7" i="8" s="1"/>
  <c r="E6" i="8"/>
  <c r="F6" i="8" s="1"/>
  <c r="E5" i="8"/>
  <c r="F5" i="8" s="1"/>
  <c r="F4" i="8"/>
  <c r="E4" i="8"/>
  <c r="F3" i="8"/>
  <c r="E3" i="8"/>
  <c r="E2" i="8"/>
  <c r="F2" i="8" s="1"/>
  <c r="AA530" i="4"/>
  <c r="U530" i="4"/>
  <c r="S530" i="4"/>
  <c r="L530" i="4"/>
  <c r="AA529" i="4"/>
  <c r="U529" i="4"/>
  <c r="S529" i="4"/>
  <c r="R529" i="4"/>
  <c r="T529" i="4" s="1"/>
  <c r="L529" i="4"/>
  <c r="AA528" i="4"/>
  <c r="U528" i="4"/>
  <c r="S528" i="4"/>
  <c r="L528" i="4"/>
  <c r="AA527" i="4"/>
  <c r="U527" i="4"/>
  <c r="S527" i="4"/>
  <c r="L527" i="4"/>
  <c r="AA526" i="4"/>
  <c r="U526" i="4"/>
  <c r="S526" i="4"/>
  <c r="L526" i="4"/>
  <c r="AA525" i="4"/>
  <c r="U525" i="4"/>
  <c r="S525" i="4"/>
  <c r="R525" i="4"/>
  <c r="T525" i="4" s="1"/>
  <c r="L525" i="4"/>
  <c r="AA524" i="4"/>
  <c r="U524" i="4"/>
  <c r="S524" i="4"/>
  <c r="L524" i="4"/>
  <c r="AA523" i="4"/>
  <c r="U523" i="4"/>
  <c r="S523" i="4"/>
  <c r="L523" i="4"/>
  <c r="AA522" i="4"/>
  <c r="U522" i="4"/>
  <c r="S522" i="4"/>
  <c r="L522" i="4"/>
  <c r="AA521" i="4"/>
  <c r="U521" i="4"/>
  <c r="S521" i="4"/>
  <c r="L521" i="4"/>
  <c r="AA520" i="4"/>
  <c r="U520" i="4"/>
  <c r="S520" i="4"/>
  <c r="L520" i="4"/>
  <c r="AA519" i="4"/>
  <c r="U519" i="4"/>
  <c r="S519" i="4"/>
  <c r="L519" i="4"/>
  <c r="AA518" i="4"/>
  <c r="U518" i="4"/>
  <c r="S518" i="4"/>
  <c r="L518" i="4"/>
  <c r="AA517" i="4"/>
  <c r="U517" i="4"/>
  <c r="S517" i="4"/>
  <c r="L517" i="4"/>
  <c r="AA516" i="4"/>
  <c r="U516" i="4"/>
  <c r="S516" i="4"/>
  <c r="L516" i="4"/>
  <c r="AA515" i="4"/>
  <c r="U515" i="4"/>
  <c r="S515" i="4"/>
  <c r="L515" i="4"/>
  <c r="AA514" i="4"/>
  <c r="U514" i="4"/>
  <c r="S514" i="4"/>
  <c r="L514" i="4"/>
  <c r="AA513" i="4"/>
  <c r="U513" i="4"/>
  <c r="S513" i="4"/>
  <c r="L513" i="4"/>
  <c r="AA512" i="4"/>
  <c r="U512" i="4"/>
  <c r="S512" i="4"/>
  <c r="L512" i="4"/>
  <c r="AA511" i="4"/>
  <c r="U511" i="4"/>
  <c r="S511" i="4"/>
  <c r="L511" i="4"/>
  <c r="AA510" i="4"/>
  <c r="U510" i="4"/>
  <c r="S510" i="4"/>
  <c r="L510" i="4"/>
  <c r="AA509" i="4"/>
  <c r="U509" i="4"/>
  <c r="S509" i="4"/>
  <c r="L509" i="4"/>
  <c r="AA508" i="4"/>
  <c r="U508" i="4"/>
  <c r="S508" i="4"/>
  <c r="L508" i="4"/>
  <c r="AA507" i="4"/>
  <c r="U507" i="4"/>
  <c r="S507" i="4"/>
  <c r="L507" i="4"/>
  <c r="AA506" i="4"/>
  <c r="U506" i="4"/>
  <c r="S506" i="4"/>
  <c r="L506" i="4"/>
  <c r="AA505" i="4"/>
  <c r="U505" i="4"/>
  <c r="S505" i="4"/>
  <c r="L505" i="4"/>
  <c r="AA504" i="4"/>
  <c r="U504" i="4"/>
  <c r="S504" i="4"/>
  <c r="L504" i="4"/>
  <c r="AA503" i="4"/>
  <c r="U503" i="4"/>
  <c r="S503" i="4"/>
  <c r="L503" i="4"/>
  <c r="AA502" i="4"/>
  <c r="U502" i="4"/>
  <c r="S502" i="4"/>
  <c r="L502" i="4"/>
  <c r="AA501" i="4"/>
  <c r="U501" i="4"/>
  <c r="S501" i="4"/>
  <c r="L501" i="4"/>
  <c r="AA500" i="4"/>
  <c r="U500" i="4"/>
  <c r="S500" i="4"/>
  <c r="L500" i="4"/>
  <c r="AA499" i="4"/>
  <c r="U499" i="4"/>
  <c r="S499" i="4"/>
  <c r="L499" i="4"/>
  <c r="AA498" i="4"/>
  <c r="U498" i="4"/>
  <c r="S498" i="4"/>
  <c r="L498" i="4"/>
  <c r="AA497" i="4"/>
  <c r="U497" i="4"/>
  <c r="S497" i="4"/>
  <c r="L497" i="4"/>
  <c r="AA496" i="4"/>
  <c r="U496" i="4"/>
  <c r="S496" i="4"/>
  <c r="L496" i="4"/>
  <c r="AA495" i="4"/>
  <c r="U495" i="4"/>
  <c r="S495" i="4"/>
  <c r="L495" i="4"/>
  <c r="AA494" i="4"/>
  <c r="U494" i="4"/>
  <c r="S494" i="4"/>
  <c r="L494" i="4"/>
  <c r="AA493" i="4"/>
  <c r="U493" i="4"/>
  <c r="S493" i="4"/>
  <c r="L493" i="4"/>
  <c r="AA492" i="4"/>
  <c r="U492" i="4"/>
  <c r="S492" i="4"/>
  <c r="L492" i="4"/>
  <c r="AA491" i="4"/>
  <c r="U491" i="4"/>
  <c r="S491" i="4"/>
  <c r="L491" i="4"/>
  <c r="AA490" i="4"/>
  <c r="U490" i="4"/>
  <c r="S490" i="4"/>
  <c r="L490" i="4"/>
  <c r="AA489" i="4"/>
  <c r="U489" i="4"/>
  <c r="S489" i="4"/>
  <c r="L489" i="4"/>
  <c r="AA488" i="4"/>
  <c r="U488" i="4"/>
  <c r="S488" i="4"/>
  <c r="L488" i="4"/>
  <c r="AA487" i="4"/>
  <c r="U487" i="4"/>
  <c r="S487" i="4"/>
  <c r="L487" i="4"/>
  <c r="AA486" i="4"/>
  <c r="U486" i="4"/>
  <c r="S486" i="4"/>
  <c r="L486" i="4"/>
  <c r="AA485" i="4"/>
  <c r="U485" i="4"/>
  <c r="S485" i="4"/>
  <c r="L485" i="4"/>
  <c r="AA484" i="4"/>
  <c r="U484" i="4"/>
  <c r="S484" i="4"/>
  <c r="R484" i="4"/>
  <c r="T484" i="4" s="1"/>
  <c r="L484" i="4"/>
  <c r="AA483" i="4"/>
  <c r="U483" i="4"/>
  <c r="S483" i="4"/>
  <c r="L483" i="4"/>
  <c r="AA482" i="4"/>
  <c r="U482" i="4"/>
  <c r="S482" i="4"/>
  <c r="L482" i="4"/>
  <c r="AA481" i="4"/>
  <c r="U481" i="4"/>
  <c r="S481" i="4"/>
  <c r="R481" i="4"/>
  <c r="T481" i="4" s="1"/>
  <c r="L481" i="4"/>
  <c r="AA480" i="4"/>
  <c r="U480" i="4"/>
  <c r="S480" i="4"/>
  <c r="L480" i="4"/>
  <c r="AA479" i="4"/>
  <c r="U479" i="4"/>
  <c r="S479" i="4"/>
  <c r="L479" i="4"/>
  <c r="AA478" i="4"/>
  <c r="U478" i="4"/>
  <c r="S478" i="4"/>
  <c r="R478" i="4"/>
  <c r="T478" i="4" s="1"/>
  <c r="L478" i="4"/>
  <c r="AA477" i="4"/>
  <c r="U477" i="4"/>
  <c r="S477" i="4"/>
  <c r="L477" i="4"/>
  <c r="AA476" i="4"/>
  <c r="U476" i="4"/>
  <c r="S476" i="4"/>
  <c r="L476" i="4"/>
  <c r="AA475" i="4"/>
  <c r="U475" i="4"/>
  <c r="S475" i="4"/>
  <c r="L475" i="4"/>
  <c r="AA474" i="4"/>
  <c r="U474" i="4"/>
  <c r="S474" i="4"/>
  <c r="L474" i="4"/>
  <c r="AA473" i="4"/>
  <c r="U473" i="4"/>
  <c r="S473" i="4"/>
  <c r="L473" i="4"/>
  <c r="AA472" i="4"/>
  <c r="U472" i="4"/>
  <c r="S472" i="4"/>
  <c r="L472" i="4"/>
  <c r="AA471" i="4"/>
  <c r="U471" i="4"/>
  <c r="S471" i="4"/>
  <c r="L471" i="4"/>
  <c r="AA470" i="4"/>
  <c r="U470" i="4"/>
  <c r="S470" i="4"/>
  <c r="L470" i="4"/>
  <c r="AA469" i="4"/>
  <c r="U469" i="4"/>
  <c r="S469" i="4"/>
  <c r="L469" i="4"/>
  <c r="AA468" i="4"/>
  <c r="U468" i="4"/>
  <c r="S468" i="4"/>
  <c r="L468" i="4"/>
  <c r="AA467" i="4"/>
  <c r="U467" i="4"/>
  <c r="S467" i="4"/>
  <c r="L467" i="4"/>
  <c r="AA466" i="4"/>
  <c r="U466" i="4"/>
  <c r="S466" i="4"/>
  <c r="L466" i="4"/>
  <c r="AA465" i="4"/>
  <c r="U465" i="4"/>
  <c r="S465" i="4"/>
  <c r="L465" i="4"/>
  <c r="AA464" i="4"/>
  <c r="U464" i="4"/>
  <c r="S464" i="4"/>
  <c r="L464" i="4"/>
  <c r="AA463" i="4"/>
  <c r="U463" i="4"/>
  <c r="S463" i="4"/>
  <c r="L463" i="4"/>
  <c r="AA462" i="4"/>
  <c r="U462" i="4"/>
  <c r="S462" i="4"/>
  <c r="L462" i="4"/>
  <c r="AA461" i="4"/>
  <c r="U461" i="4"/>
  <c r="S461" i="4"/>
  <c r="R461" i="4"/>
  <c r="T461" i="4" s="1"/>
  <c r="L461" i="4"/>
  <c r="AA460" i="4"/>
  <c r="U460" i="4"/>
  <c r="S460" i="4"/>
  <c r="L460" i="4"/>
  <c r="AA459" i="4"/>
  <c r="U459" i="4"/>
  <c r="S459" i="4"/>
  <c r="L459" i="4"/>
  <c r="AA458" i="4"/>
  <c r="U458" i="4"/>
  <c r="S458" i="4"/>
  <c r="L458" i="4"/>
  <c r="AA457" i="4"/>
  <c r="U457" i="4"/>
  <c r="S457" i="4"/>
  <c r="L457" i="4"/>
  <c r="AA456" i="4"/>
  <c r="U456" i="4"/>
  <c r="S456" i="4"/>
  <c r="L456" i="4"/>
  <c r="AA455" i="4"/>
  <c r="U455" i="4"/>
  <c r="S455" i="4"/>
  <c r="L455" i="4"/>
  <c r="AA454" i="4"/>
  <c r="U454" i="4"/>
  <c r="T454" i="4"/>
  <c r="S454" i="4"/>
  <c r="R454" i="4"/>
  <c r="L454" i="4"/>
  <c r="AA453" i="4"/>
  <c r="U453" i="4"/>
  <c r="S453" i="4"/>
  <c r="L453" i="4"/>
  <c r="AA452" i="4"/>
  <c r="U452" i="4"/>
  <c r="S452" i="4"/>
  <c r="L452" i="4"/>
  <c r="AA451" i="4"/>
  <c r="U451" i="4"/>
  <c r="S451" i="4"/>
  <c r="L451" i="4"/>
  <c r="AA450" i="4"/>
  <c r="U450" i="4"/>
  <c r="S450" i="4"/>
  <c r="L450" i="4"/>
  <c r="AA449" i="4"/>
  <c r="U449" i="4"/>
  <c r="S449" i="4"/>
  <c r="R449" i="4"/>
  <c r="T449" i="4" s="1"/>
  <c r="L449" i="4"/>
  <c r="AA448" i="4"/>
  <c r="U448" i="4"/>
  <c r="S448" i="4"/>
  <c r="R448" i="4"/>
  <c r="T448" i="4" s="1"/>
  <c r="L448" i="4"/>
  <c r="AA447" i="4"/>
  <c r="U447" i="4"/>
  <c r="S447" i="4"/>
  <c r="L447" i="4"/>
  <c r="AA446" i="4"/>
  <c r="U446" i="4"/>
  <c r="S446" i="4"/>
  <c r="R446" i="4"/>
  <c r="T446" i="4" s="1"/>
  <c r="L446" i="4"/>
  <c r="AA445" i="4"/>
  <c r="U445" i="4"/>
  <c r="S445" i="4"/>
  <c r="L445" i="4"/>
  <c r="AA444" i="4"/>
  <c r="U444" i="4"/>
  <c r="S444" i="4"/>
  <c r="L444" i="4"/>
  <c r="AA443" i="4"/>
  <c r="U443" i="4"/>
  <c r="S443" i="4"/>
  <c r="L443" i="4"/>
  <c r="AA442" i="4"/>
  <c r="U442" i="4"/>
  <c r="S442" i="4"/>
  <c r="L442" i="4"/>
  <c r="AA441" i="4"/>
  <c r="U441" i="4"/>
  <c r="S441" i="4"/>
  <c r="L441" i="4"/>
  <c r="AA440" i="4"/>
  <c r="U440" i="4"/>
  <c r="S440" i="4"/>
  <c r="L440" i="4"/>
  <c r="AA439" i="4"/>
  <c r="U439" i="4"/>
  <c r="S439" i="4"/>
  <c r="L439" i="4"/>
  <c r="AA438" i="4"/>
  <c r="U438" i="4"/>
  <c r="S438" i="4"/>
  <c r="L438" i="4"/>
  <c r="AA437" i="4"/>
  <c r="U437" i="4"/>
  <c r="S437" i="4"/>
  <c r="L437" i="4"/>
  <c r="AA436" i="4"/>
  <c r="U436" i="4"/>
  <c r="S436" i="4"/>
  <c r="L436" i="4"/>
  <c r="AA435" i="4"/>
  <c r="U435" i="4"/>
  <c r="S435" i="4"/>
  <c r="L435" i="4"/>
  <c r="AA434" i="4"/>
  <c r="U434" i="4"/>
  <c r="S434" i="4"/>
  <c r="L434" i="4"/>
  <c r="AA433" i="4"/>
  <c r="U433" i="4"/>
  <c r="S433" i="4"/>
  <c r="L433" i="4"/>
  <c r="AA432" i="4"/>
  <c r="U432" i="4"/>
  <c r="S432" i="4"/>
  <c r="L432" i="4"/>
  <c r="AA431" i="4"/>
  <c r="U431" i="4"/>
  <c r="S431" i="4"/>
  <c r="L431" i="4"/>
  <c r="AA430" i="4"/>
  <c r="U430" i="4"/>
  <c r="S430" i="4"/>
  <c r="L430" i="4"/>
  <c r="AA429" i="4"/>
  <c r="U429" i="4"/>
  <c r="S429" i="4"/>
  <c r="L429" i="4"/>
  <c r="AA428" i="4"/>
  <c r="U428" i="4"/>
  <c r="S428" i="4"/>
  <c r="L428" i="4"/>
  <c r="AA427" i="4"/>
  <c r="U427" i="4"/>
  <c r="S427" i="4"/>
  <c r="L427" i="4"/>
  <c r="AA426" i="4"/>
  <c r="U426" i="4"/>
  <c r="S426" i="4"/>
  <c r="L426" i="4"/>
  <c r="AA425" i="4"/>
  <c r="U425" i="4"/>
  <c r="S425" i="4"/>
  <c r="L425" i="4"/>
  <c r="AA424" i="4"/>
  <c r="U424" i="4"/>
  <c r="S424" i="4"/>
  <c r="R424" i="4"/>
  <c r="T424" i="4" s="1"/>
  <c r="L424" i="4"/>
  <c r="AA423" i="4"/>
  <c r="U423" i="4"/>
  <c r="S423" i="4"/>
  <c r="L423" i="4"/>
  <c r="AA422" i="4"/>
  <c r="U422" i="4"/>
  <c r="S422" i="4"/>
  <c r="L422" i="4"/>
  <c r="AA421" i="4"/>
  <c r="U421" i="4"/>
  <c r="S421" i="4"/>
  <c r="R421" i="4"/>
  <c r="T421" i="4" s="1"/>
  <c r="L421" i="4"/>
  <c r="AA420" i="4"/>
  <c r="U420" i="4"/>
  <c r="S420" i="4"/>
  <c r="L420" i="4"/>
  <c r="AA419" i="4"/>
  <c r="U419" i="4"/>
  <c r="S419" i="4"/>
  <c r="L419" i="4"/>
  <c r="AA418" i="4"/>
  <c r="U418" i="4"/>
  <c r="S418" i="4"/>
  <c r="L418" i="4"/>
  <c r="AA417" i="4"/>
  <c r="U417" i="4"/>
  <c r="T417" i="4"/>
  <c r="S417" i="4"/>
  <c r="R417" i="4"/>
  <c r="L417" i="4"/>
  <c r="AA416" i="4"/>
  <c r="U416" i="4"/>
  <c r="S416" i="4"/>
  <c r="R416" i="4"/>
  <c r="T416" i="4" s="1"/>
  <c r="L416" i="4"/>
  <c r="AA415" i="4"/>
  <c r="U415" i="4"/>
  <c r="S415" i="4"/>
  <c r="L415" i="4"/>
  <c r="AA414" i="4"/>
  <c r="U414" i="4"/>
  <c r="T414" i="4"/>
  <c r="S414" i="4"/>
  <c r="R414" i="4"/>
  <c r="L414" i="4"/>
  <c r="AA413" i="4"/>
  <c r="U413" i="4"/>
  <c r="S413" i="4"/>
  <c r="L413" i="4"/>
  <c r="AA412" i="4"/>
  <c r="U412" i="4"/>
  <c r="S412" i="4"/>
  <c r="L412" i="4"/>
  <c r="AA411" i="4"/>
  <c r="U411" i="4"/>
  <c r="T411" i="4"/>
  <c r="S411" i="4"/>
  <c r="R411" i="4"/>
  <c r="L411" i="4"/>
  <c r="AA410" i="4"/>
  <c r="U410" i="4"/>
  <c r="S410" i="4"/>
  <c r="L410" i="4"/>
  <c r="AA409" i="4"/>
  <c r="U409" i="4"/>
  <c r="S409" i="4"/>
  <c r="L409" i="4"/>
  <c r="AA408" i="4"/>
  <c r="U408" i="4"/>
  <c r="T408" i="4"/>
  <c r="S408" i="4"/>
  <c r="R408" i="4"/>
  <c r="L408" i="4"/>
  <c r="AA407" i="4"/>
  <c r="U407" i="4"/>
  <c r="S407" i="4"/>
  <c r="L407" i="4"/>
  <c r="AA406" i="4"/>
  <c r="U406" i="4"/>
  <c r="T406" i="4"/>
  <c r="S406" i="4"/>
  <c r="R406" i="4"/>
  <c r="L406" i="4"/>
  <c r="AA405" i="4"/>
  <c r="U405" i="4"/>
  <c r="T405" i="4"/>
  <c r="S405" i="4"/>
  <c r="R405" i="4"/>
  <c r="L405" i="4"/>
  <c r="AA404" i="4"/>
  <c r="U404" i="4"/>
  <c r="S404" i="4"/>
  <c r="L404" i="4"/>
  <c r="AA403" i="4"/>
  <c r="U403" i="4"/>
  <c r="S403" i="4"/>
  <c r="L403" i="4"/>
  <c r="AA402" i="4"/>
  <c r="U402" i="4"/>
  <c r="S402" i="4"/>
  <c r="L402" i="4"/>
  <c r="AA401" i="4"/>
  <c r="U401" i="4"/>
  <c r="S401" i="4"/>
  <c r="L401" i="4"/>
  <c r="AA400" i="4"/>
  <c r="U400" i="4"/>
  <c r="S400" i="4"/>
  <c r="L400" i="4"/>
  <c r="AA399" i="4"/>
  <c r="U399" i="4"/>
  <c r="S399" i="4"/>
  <c r="L399" i="4"/>
  <c r="AA398" i="4"/>
  <c r="U398" i="4"/>
  <c r="S398" i="4"/>
  <c r="L398" i="4"/>
  <c r="AA397" i="4"/>
  <c r="U397" i="4"/>
  <c r="S397" i="4"/>
  <c r="R397" i="4"/>
  <c r="T397" i="4" s="1"/>
  <c r="L397" i="4"/>
  <c r="AA396" i="4"/>
  <c r="U396" i="4"/>
  <c r="S396" i="4"/>
  <c r="L396" i="4"/>
  <c r="AA395" i="4"/>
  <c r="U395" i="4"/>
  <c r="S395" i="4"/>
  <c r="L395" i="4"/>
  <c r="AA394" i="4"/>
  <c r="U394" i="4"/>
  <c r="S394" i="4"/>
  <c r="L394" i="4"/>
  <c r="AA393" i="4"/>
  <c r="U393" i="4"/>
  <c r="S393" i="4"/>
  <c r="R393" i="4"/>
  <c r="T393" i="4" s="1"/>
  <c r="L393" i="4"/>
  <c r="AA392" i="4"/>
  <c r="U392" i="4"/>
  <c r="S392" i="4"/>
  <c r="L392" i="4"/>
  <c r="AA391" i="4"/>
  <c r="U391" i="4"/>
  <c r="S391" i="4"/>
  <c r="R391" i="4"/>
  <c r="T391" i="4" s="1"/>
  <c r="L391" i="4"/>
  <c r="AA390" i="4"/>
  <c r="U390" i="4"/>
  <c r="S390" i="4"/>
  <c r="L390" i="4"/>
  <c r="AA389" i="4"/>
  <c r="U389" i="4"/>
  <c r="S389" i="4"/>
  <c r="L389" i="4"/>
  <c r="AA388" i="4"/>
  <c r="U388" i="4"/>
  <c r="S388" i="4"/>
  <c r="L388" i="4"/>
  <c r="AA387" i="4"/>
  <c r="U387" i="4"/>
  <c r="S387" i="4"/>
  <c r="L387" i="4"/>
  <c r="AA386" i="4"/>
  <c r="U386" i="4"/>
  <c r="S386" i="4"/>
  <c r="L386" i="4"/>
  <c r="AA385" i="4"/>
  <c r="U385" i="4"/>
  <c r="S385" i="4"/>
  <c r="L385" i="4"/>
  <c r="AA384" i="4"/>
  <c r="U384" i="4"/>
  <c r="S384" i="4"/>
  <c r="L384" i="4"/>
  <c r="AA383" i="4"/>
  <c r="U383" i="4"/>
  <c r="S383" i="4"/>
  <c r="L383" i="4"/>
  <c r="AA382" i="4"/>
  <c r="U382" i="4"/>
  <c r="S382" i="4"/>
  <c r="L382" i="4"/>
  <c r="AA381" i="4"/>
  <c r="U381" i="4"/>
  <c r="S381" i="4"/>
  <c r="R381" i="4"/>
  <c r="T381" i="4" s="1"/>
  <c r="L381" i="4"/>
  <c r="AA380" i="4"/>
  <c r="U380" i="4"/>
  <c r="S380" i="4"/>
  <c r="L380" i="4"/>
  <c r="AA379" i="4"/>
  <c r="U379" i="4"/>
  <c r="S379" i="4"/>
  <c r="L379" i="4"/>
  <c r="AA378" i="4"/>
  <c r="U378" i="4"/>
  <c r="S378" i="4"/>
  <c r="L378" i="4"/>
  <c r="AA377" i="4"/>
  <c r="U377" i="4"/>
  <c r="S377" i="4"/>
  <c r="R377" i="4"/>
  <c r="T377" i="4" s="1"/>
  <c r="L377" i="4"/>
  <c r="AA376" i="4"/>
  <c r="U376" i="4"/>
  <c r="S376" i="4"/>
  <c r="L376" i="4"/>
  <c r="AA375" i="4"/>
  <c r="U375" i="4"/>
  <c r="S375" i="4"/>
  <c r="R375" i="4"/>
  <c r="T375" i="4" s="1"/>
  <c r="L375" i="4"/>
  <c r="AA374" i="4"/>
  <c r="U374" i="4"/>
  <c r="S374" i="4"/>
  <c r="L374" i="4"/>
  <c r="AA373" i="4"/>
  <c r="U373" i="4"/>
  <c r="T373" i="4"/>
  <c r="S373" i="4"/>
  <c r="R373" i="4"/>
  <c r="L373" i="4"/>
  <c r="AA372" i="4"/>
  <c r="U372" i="4"/>
  <c r="S372" i="4"/>
  <c r="R372" i="4"/>
  <c r="T372" i="4" s="1"/>
  <c r="L372" i="4"/>
  <c r="AA371" i="4"/>
  <c r="U371" i="4"/>
  <c r="S371" i="4"/>
  <c r="R371" i="4"/>
  <c r="T371" i="4" s="1"/>
  <c r="L371" i="4"/>
  <c r="AA370" i="4"/>
  <c r="U370" i="4"/>
  <c r="S370" i="4"/>
  <c r="L370" i="4"/>
  <c r="AA369" i="4"/>
  <c r="U369" i="4"/>
  <c r="S369" i="4"/>
  <c r="R369" i="4"/>
  <c r="T369" i="4" s="1"/>
  <c r="L369" i="4"/>
  <c r="AA368" i="4"/>
  <c r="U368" i="4"/>
  <c r="S368" i="4"/>
  <c r="L368" i="4"/>
  <c r="AA367" i="4"/>
  <c r="U367" i="4"/>
  <c r="S367" i="4"/>
  <c r="L367" i="4"/>
  <c r="AA366" i="4"/>
  <c r="U366" i="4"/>
  <c r="S366" i="4"/>
  <c r="R366" i="4"/>
  <c r="T366" i="4" s="1"/>
  <c r="L366" i="4"/>
  <c r="AA365" i="4"/>
  <c r="U365" i="4"/>
  <c r="S365" i="4"/>
  <c r="L365" i="4"/>
  <c r="AA364" i="4"/>
  <c r="U364" i="4"/>
  <c r="S364" i="4"/>
  <c r="R364" i="4"/>
  <c r="T364" i="4" s="1"/>
  <c r="L364" i="4"/>
  <c r="AA363" i="4"/>
  <c r="U363" i="4"/>
  <c r="S363" i="4"/>
  <c r="L363" i="4"/>
  <c r="AA362" i="4"/>
  <c r="U362" i="4"/>
  <c r="S362" i="4"/>
  <c r="L362" i="4"/>
  <c r="AA361" i="4"/>
  <c r="U361" i="4"/>
  <c r="S361" i="4"/>
  <c r="R361" i="4"/>
  <c r="T361" i="4" s="1"/>
  <c r="L361" i="4"/>
  <c r="AA360" i="4"/>
  <c r="U360" i="4"/>
  <c r="S360" i="4"/>
  <c r="L360" i="4"/>
  <c r="AA359" i="4"/>
  <c r="U359" i="4"/>
  <c r="S359" i="4"/>
  <c r="L359" i="4"/>
  <c r="AA358" i="4"/>
  <c r="U358" i="4"/>
  <c r="S358" i="4"/>
  <c r="R358" i="4"/>
  <c r="T358" i="4" s="1"/>
  <c r="L358" i="4"/>
  <c r="AA357" i="4"/>
  <c r="U357" i="4"/>
  <c r="S357" i="4"/>
  <c r="L357" i="4"/>
  <c r="AA356" i="4"/>
  <c r="U356" i="4"/>
  <c r="S356" i="4"/>
  <c r="L356" i="4"/>
  <c r="AA355" i="4"/>
  <c r="L355" i="4"/>
  <c r="AA354" i="4"/>
  <c r="L354" i="4"/>
  <c r="AA353" i="4"/>
  <c r="L353" i="4"/>
  <c r="AA352" i="4"/>
  <c r="R352" i="4"/>
  <c r="L352" i="4"/>
  <c r="AA351" i="4"/>
  <c r="R351" i="4"/>
  <c r="L351" i="4"/>
  <c r="AA350" i="4"/>
  <c r="U350" i="4"/>
  <c r="S350" i="4"/>
  <c r="L350" i="4"/>
  <c r="AA349" i="4"/>
  <c r="U349" i="4"/>
  <c r="S349" i="4"/>
  <c r="L349" i="4"/>
  <c r="AA348" i="4"/>
  <c r="U348" i="4"/>
  <c r="S348" i="4"/>
  <c r="L348" i="4"/>
  <c r="AA347" i="4"/>
  <c r="R347" i="4"/>
  <c r="L347" i="4"/>
  <c r="AA346" i="4"/>
  <c r="L346" i="4"/>
  <c r="AA345" i="4"/>
  <c r="R345" i="4"/>
  <c r="U345" i="4" s="1"/>
  <c r="L345" i="4"/>
  <c r="AA344" i="4"/>
  <c r="L344" i="4"/>
  <c r="AA343" i="4"/>
  <c r="U343" i="4"/>
  <c r="T343" i="4"/>
  <c r="L343" i="4"/>
  <c r="AA342" i="4"/>
  <c r="U342" i="4"/>
  <c r="T342" i="4"/>
  <c r="L342" i="4"/>
  <c r="AA341" i="4"/>
  <c r="U341" i="4"/>
  <c r="T341" i="4"/>
  <c r="R341" i="4"/>
  <c r="S341" i="4" s="1"/>
  <c r="L341" i="4"/>
  <c r="AA340" i="4"/>
  <c r="U340" i="4"/>
  <c r="T340" i="4"/>
  <c r="R340" i="4"/>
  <c r="S340" i="4" s="1"/>
  <c r="L340" i="4"/>
  <c r="AA339" i="4"/>
  <c r="U339" i="4"/>
  <c r="T339" i="4"/>
  <c r="L339" i="4"/>
  <c r="AA338" i="4"/>
  <c r="U338" i="4"/>
  <c r="T338" i="4"/>
  <c r="L338" i="4"/>
  <c r="AA337" i="4"/>
  <c r="U337" i="4"/>
  <c r="T337" i="4"/>
  <c r="R337" i="4"/>
  <c r="S337" i="4" s="1"/>
  <c r="L337" i="4"/>
  <c r="AA336" i="4"/>
  <c r="U336" i="4"/>
  <c r="S336" i="4"/>
  <c r="L336" i="4"/>
  <c r="AA335" i="4"/>
  <c r="U335" i="4"/>
  <c r="S335" i="4"/>
  <c r="R335" i="4"/>
  <c r="T335" i="4" s="1"/>
  <c r="L335" i="4"/>
  <c r="AA334" i="4"/>
  <c r="U334" i="4"/>
  <c r="S334" i="4"/>
  <c r="R334" i="4"/>
  <c r="T334" i="4" s="1"/>
  <c r="L334" i="4"/>
  <c r="AA333" i="4"/>
  <c r="U333" i="4"/>
  <c r="S333" i="4"/>
  <c r="L333" i="4"/>
  <c r="AA332" i="4"/>
  <c r="L332" i="4"/>
  <c r="AA331" i="4"/>
  <c r="L331" i="4"/>
  <c r="AA330" i="4"/>
  <c r="L330" i="4"/>
  <c r="AA329" i="4"/>
  <c r="R329" i="4"/>
  <c r="U329" i="4" s="1"/>
  <c r="L329" i="4"/>
  <c r="AA328" i="4"/>
  <c r="R328" i="4"/>
  <c r="L328" i="4"/>
  <c r="AA327" i="4"/>
  <c r="T327" i="4"/>
  <c r="R327" i="4"/>
  <c r="L327" i="4"/>
  <c r="AA326" i="4"/>
  <c r="L326" i="4"/>
  <c r="AA325" i="4"/>
  <c r="U325" i="4"/>
  <c r="S325" i="4"/>
  <c r="R325" i="4"/>
  <c r="T325" i="4" s="1"/>
  <c r="L325" i="4"/>
  <c r="AA324" i="4"/>
  <c r="T324" i="4"/>
  <c r="R324" i="4"/>
  <c r="U324" i="4" s="1"/>
  <c r="L324" i="4"/>
  <c r="AA323" i="4"/>
  <c r="L323" i="4"/>
  <c r="AA322" i="4"/>
  <c r="L322" i="4"/>
  <c r="AA321" i="4"/>
  <c r="T321" i="4"/>
  <c r="R321" i="4"/>
  <c r="L321" i="4"/>
  <c r="AA320" i="4"/>
  <c r="L320" i="4"/>
  <c r="AA319" i="4"/>
  <c r="L319" i="4"/>
  <c r="AA318" i="4"/>
  <c r="L318" i="4"/>
  <c r="AA317" i="4"/>
  <c r="L317" i="4"/>
  <c r="AA316" i="4"/>
  <c r="L316" i="4"/>
  <c r="AA315" i="4"/>
  <c r="R315" i="4"/>
  <c r="L315" i="4"/>
  <c r="AA314" i="4"/>
  <c r="R314" i="4"/>
  <c r="U314" i="4" s="1"/>
  <c r="L314" i="4"/>
  <c r="AA313" i="4"/>
  <c r="R313" i="4"/>
  <c r="T313" i="4" s="1"/>
  <c r="L313" i="4"/>
  <c r="AA312" i="4"/>
  <c r="L312" i="4"/>
  <c r="AA311" i="4"/>
  <c r="R311" i="4"/>
  <c r="L311" i="4"/>
  <c r="AA310" i="4"/>
  <c r="S310" i="4"/>
  <c r="R310" i="4"/>
  <c r="U310" i="4" s="1"/>
  <c r="L310" i="4"/>
  <c r="AA309" i="4"/>
  <c r="L309" i="4"/>
  <c r="AA308" i="4"/>
  <c r="L308" i="4"/>
  <c r="AA307" i="4"/>
  <c r="R307" i="4"/>
  <c r="U307" i="4" s="1"/>
  <c r="L307" i="4"/>
  <c r="AA306" i="4"/>
  <c r="L306" i="4"/>
  <c r="AA305" i="4"/>
  <c r="L305" i="4"/>
  <c r="AA304" i="4"/>
  <c r="R304" i="4"/>
  <c r="U304" i="4" s="1"/>
  <c r="L304" i="4"/>
  <c r="AA303" i="4"/>
  <c r="L303" i="4"/>
  <c r="AA302" i="4"/>
  <c r="U302" i="4"/>
  <c r="S302" i="4"/>
  <c r="L302" i="4"/>
  <c r="AA301" i="4"/>
  <c r="U301" i="4"/>
  <c r="S301" i="4"/>
  <c r="R301" i="4"/>
  <c r="T301" i="4" s="1"/>
  <c r="L301" i="4"/>
  <c r="AA300" i="4"/>
  <c r="U300" i="4"/>
  <c r="S300" i="4"/>
  <c r="L300" i="4"/>
  <c r="AA299" i="4"/>
  <c r="U299" i="4"/>
  <c r="T299" i="4"/>
  <c r="S299" i="4"/>
  <c r="R299" i="4"/>
  <c r="L299" i="4"/>
  <c r="AA298" i="4"/>
  <c r="U298" i="4"/>
  <c r="S298" i="4"/>
  <c r="L298" i="4"/>
  <c r="AA297" i="4"/>
  <c r="U297" i="4"/>
  <c r="S297" i="4"/>
  <c r="L297" i="4"/>
  <c r="AA296" i="4"/>
  <c r="U296" i="4"/>
  <c r="S296" i="4"/>
  <c r="L296" i="4"/>
  <c r="AA295" i="4"/>
  <c r="U295" i="4"/>
  <c r="S295" i="4"/>
  <c r="L295" i="4"/>
  <c r="AA294" i="4"/>
  <c r="U294" i="4"/>
  <c r="S294" i="4"/>
  <c r="R294" i="4"/>
  <c r="T294" i="4" s="1"/>
  <c r="L294" i="4"/>
  <c r="AA293" i="4"/>
  <c r="U293" i="4"/>
  <c r="S293" i="4"/>
  <c r="R293" i="4"/>
  <c r="T293" i="4" s="1"/>
  <c r="L293" i="4"/>
  <c r="AA292" i="4"/>
  <c r="U292" i="4"/>
  <c r="S292" i="4"/>
  <c r="R292" i="4"/>
  <c r="T292" i="4" s="1"/>
  <c r="L292" i="4"/>
  <c r="AA291" i="4"/>
  <c r="U291" i="4"/>
  <c r="S291" i="4"/>
  <c r="L291" i="4"/>
  <c r="AA290" i="4"/>
  <c r="U290" i="4"/>
  <c r="T290" i="4"/>
  <c r="S290" i="4"/>
  <c r="R290" i="4"/>
  <c r="L290" i="4"/>
  <c r="AA289" i="4"/>
  <c r="U289" i="4"/>
  <c r="S289" i="4"/>
  <c r="L289" i="4"/>
  <c r="AA288" i="4"/>
  <c r="U288" i="4"/>
  <c r="S288" i="4"/>
  <c r="L288" i="4"/>
  <c r="AA287" i="4"/>
  <c r="U287" i="4"/>
  <c r="S287" i="4"/>
  <c r="L287" i="4"/>
  <c r="AA286" i="4"/>
  <c r="U286" i="4"/>
  <c r="S286" i="4"/>
  <c r="R286" i="4"/>
  <c r="T286" i="4" s="1"/>
  <c r="L286" i="4"/>
  <c r="AA285" i="4"/>
  <c r="U285" i="4"/>
  <c r="S285" i="4"/>
  <c r="L285" i="4"/>
  <c r="AA284" i="4"/>
  <c r="U284" i="4"/>
  <c r="S284" i="4"/>
  <c r="R284" i="4"/>
  <c r="T284" i="4" s="1"/>
  <c r="L284" i="4"/>
  <c r="AA283" i="4"/>
  <c r="U283" i="4"/>
  <c r="S283" i="4"/>
  <c r="L283" i="4"/>
  <c r="AA282" i="4"/>
  <c r="U282" i="4"/>
  <c r="S282" i="4"/>
  <c r="L282" i="4"/>
  <c r="AA281" i="4"/>
  <c r="U281" i="4"/>
  <c r="S281" i="4"/>
  <c r="L281" i="4"/>
  <c r="AA280" i="4"/>
  <c r="U280" i="4"/>
  <c r="S280" i="4"/>
  <c r="L280" i="4"/>
  <c r="AA279" i="4"/>
  <c r="U279" i="4"/>
  <c r="S279" i="4"/>
  <c r="L279" i="4"/>
  <c r="AA278" i="4"/>
  <c r="U278" i="4"/>
  <c r="S278" i="4"/>
  <c r="R278" i="4"/>
  <c r="T278" i="4" s="1"/>
  <c r="L278" i="4"/>
  <c r="AA277" i="4"/>
  <c r="U277" i="4"/>
  <c r="S277" i="4"/>
  <c r="R277" i="4"/>
  <c r="T277" i="4" s="1"/>
  <c r="L277" i="4"/>
  <c r="AA276" i="4"/>
  <c r="U276" i="4"/>
  <c r="S276" i="4"/>
  <c r="L276" i="4"/>
  <c r="AA275" i="4"/>
  <c r="U275" i="4"/>
  <c r="S275" i="4"/>
  <c r="L275" i="4"/>
  <c r="AA274" i="4"/>
  <c r="U274" i="4"/>
  <c r="S274" i="4"/>
  <c r="R274" i="4"/>
  <c r="T274" i="4" s="1"/>
  <c r="L274" i="4"/>
  <c r="AA273" i="4"/>
  <c r="L273" i="4"/>
  <c r="AA272" i="4"/>
  <c r="L272" i="4"/>
  <c r="AA271" i="4"/>
  <c r="U271" i="4"/>
  <c r="R271" i="4"/>
  <c r="L271" i="4"/>
  <c r="AA270" i="4"/>
  <c r="L270" i="4"/>
  <c r="AA269" i="4"/>
  <c r="R269" i="4"/>
  <c r="L269" i="4"/>
  <c r="AA268" i="4"/>
  <c r="L268" i="4"/>
  <c r="AA267" i="4"/>
  <c r="L267" i="4"/>
  <c r="AA266" i="4"/>
  <c r="L266" i="4"/>
  <c r="AA265" i="4"/>
  <c r="L265" i="4"/>
  <c r="AA264" i="4"/>
  <c r="R264" i="4"/>
  <c r="T264" i="4" s="1"/>
  <c r="L264" i="4"/>
  <c r="AA263" i="4"/>
  <c r="L263" i="4"/>
  <c r="AA262" i="4"/>
  <c r="L262" i="4"/>
  <c r="AA261" i="4"/>
  <c r="T261" i="4"/>
  <c r="R261" i="4"/>
  <c r="U261" i="4" s="1"/>
  <c r="L261" i="4"/>
  <c r="AA260" i="4"/>
  <c r="L260" i="4"/>
  <c r="AA259" i="4"/>
  <c r="L259" i="4"/>
  <c r="AA258" i="4"/>
  <c r="S258" i="4"/>
  <c r="R258" i="4"/>
  <c r="L258" i="4"/>
  <c r="AA257" i="4"/>
  <c r="L257" i="4"/>
  <c r="AA256" i="4"/>
  <c r="L256" i="4"/>
  <c r="AA255" i="4"/>
  <c r="T255" i="4"/>
  <c r="R255" i="4"/>
  <c r="L255" i="4"/>
  <c r="AA254" i="4"/>
  <c r="L254" i="4"/>
  <c r="AA253" i="4"/>
  <c r="L253" i="4"/>
  <c r="AA252" i="4"/>
  <c r="S252" i="4"/>
  <c r="R252" i="4"/>
  <c r="L252" i="4"/>
  <c r="AA251" i="4"/>
  <c r="L251" i="4"/>
  <c r="AA250" i="4"/>
  <c r="L250" i="4"/>
  <c r="AA249" i="4"/>
  <c r="T249" i="4"/>
  <c r="S249" i="4"/>
  <c r="R249" i="4"/>
  <c r="U249" i="4" s="1"/>
  <c r="L249" i="4"/>
  <c r="AA248" i="4"/>
  <c r="L248" i="4"/>
  <c r="AA247" i="4"/>
  <c r="L247" i="4"/>
  <c r="AA246" i="4"/>
  <c r="U246" i="4"/>
  <c r="S246" i="4"/>
  <c r="R246" i="4"/>
  <c r="T246" i="4" s="1"/>
  <c r="L246" i="4"/>
  <c r="AA245" i="4"/>
  <c r="L245" i="4"/>
  <c r="AA244" i="4"/>
  <c r="L244" i="4"/>
  <c r="AA243" i="4"/>
  <c r="T243" i="4"/>
  <c r="R243" i="4"/>
  <c r="L243" i="4"/>
  <c r="AA242" i="4"/>
  <c r="U242" i="4"/>
  <c r="S242" i="4"/>
  <c r="R242" i="4"/>
  <c r="T242" i="4" s="1"/>
  <c r="L242" i="4"/>
  <c r="AA241" i="4"/>
  <c r="U241" i="4"/>
  <c r="S241" i="4"/>
  <c r="L241" i="4"/>
  <c r="AA240" i="4"/>
  <c r="U240" i="4"/>
  <c r="S240" i="4"/>
  <c r="R240" i="4"/>
  <c r="T240" i="4" s="1"/>
  <c r="L240" i="4"/>
  <c r="AA239" i="4"/>
  <c r="U239" i="4"/>
  <c r="S239" i="4"/>
  <c r="L239" i="4"/>
  <c r="AA238" i="4"/>
  <c r="U238" i="4"/>
  <c r="S238" i="4"/>
  <c r="R238" i="4"/>
  <c r="T238" i="4" s="1"/>
  <c r="L238" i="4"/>
  <c r="AA237" i="4"/>
  <c r="U237" i="4"/>
  <c r="S237" i="4"/>
  <c r="L237" i="4"/>
  <c r="AA236" i="4"/>
  <c r="U236" i="4"/>
  <c r="S236" i="4"/>
  <c r="L236" i="4"/>
  <c r="AA235" i="4"/>
  <c r="U235" i="4"/>
  <c r="S235" i="4"/>
  <c r="L235" i="4"/>
  <c r="AA234" i="4"/>
  <c r="U234" i="4"/>
  <c r="S234" i="4"/>
  <c r="R234" i="4"/>
  <c r="T234" i="4" s="1"/>
  <c r="L234" i="4"/>
  <c r="AA233" i="4"/>
  <c r="U233" i="4"/>
  <c r="T233" i="4"/>
  <c r="R233" i="4"/>
  <c r="S233" i="4" s="1"/>
  <c r="L233" i="4"/>
  <c r="AA232" i="4"/>
  <c r="L232" i="4"/>
  <c r="AA231" i="4"/>
  <c r="U231" i="4"/>
  <c r="R231" i="4"/>
  <c r="S231" i="4" s="1"/>
  <c r="L231" i="4"/>
  <c r="AA230" i="4"/>
  <c r="R230" i="4"/>
  <c r="T230" i="4" s="1"/>
  <c r="L230" i="4"/>
  <c r="AA229" i="4"/>
  <c r="L229" i="4"/>
  <c r="AA228" i="4"/>
  <c r="T228" i="4"/>
  <c r="R228" i="4"/>
  <c r="U228" i="4" s="1"/>
  <c r="L228" i="4"/>
  <c r="AA227" i="4"/>
  <c r="U227" i="4"/>
  <c r="S227" i="4"/>
  <c r="L227" i="4"/>
  <c r="AA226" i="4"/>
  <c r="U226" i="4"/>
  <c r="S226" i="4"/>
  <c r="L226" i="4"/>
  <c r="AA225" i="4"/>
  <c r="U225" i="4"/>
  <c r="T225" i="4"/>
  <c r="S225" i="4"/>
  <c r="R225" i="4"/>
  <c r="L225" i="4"/>
  <c r="AA224" i="4"/>
  <c r="U224" i="4"/>
  <c r="T224" i="4"/>
  <c r="S224" i="4"/>
  <c r="R224" i="4"/>
  <c r="L224" i="4"/>
  <c r="AA223" i="4"/>
  <c r="L223" i="4"/>
  <c r="AA222" i="4"/>
  <c r="U222" i="4"/>
  <c r="T222" i="4"/>
  <c r="R222" i="4"/>
  <c r="S222" i="4" s="1"/>
  <c r="L222" i="4"/>
  <c r="AA221" i="4"/>
  <c r="U221" i="4"/>
  <c r="T221" i="4"/>
  <c r="S221" i="4"/>
  <c r="R221" i="4"/>
  <c r="L221" i="4"/>
  <c r="AA220" i="4"/>
  <c r="U220" i="4"/>
  <c r="S220" i="4"/>
  <c r="L220" i="4"/>
  <c r="AA219" i="4"/>
  <c r="U219" i="4"/>
  <c r="S219" i="4"/>
  <c r="L219" i="4"/>
  <c r="AA218" i="4"/>
  <c r="L218" i="4"/>
  <c r="AA217" i="4"/>
  <c r="L217" i="4"/>
  <c r="AA216" i="4"/>
  <c r="U216" i="4"/>
  <c r="S216" i="4"/>
  <c r="L216" i="4"/>
  <c r="AA215" i="4"/>
  <c r="U215" i="4"/>
  <c r="S215" i="4"/>
  <c r="R215" i="4"/>
  <c r="T215" i="4" s="1"/>
  <c r="L215" i="4"/>
  <c r="AA214" i="4"/>
  <c r="U214" i="4"/>
  <c r="S214" i="4"/>
  <c r="L214" i="4"/>
  <c r="AA213" i="4"/>
  <c r="R213" i="4"/>
  <c r="L213" i="4"/>
  <c r="AA212" i="4"/>
  <c r="R212" i="4"/>
  <c r="L212" i="4"/>
  <c r="AA211" i="4"/>
  <c r="U211" i="4"/>
  <c r="S211" i="4"/>
  <c r="L211" i="4"/>
  <c r="AA210" i="4"/>
  <c r="U210" i="4"/>
  <c r="S210" i="4"/>
  <c r="L210" i="4"/>
  <c r="AA209" i="4"/>
  <c r="U209" i="4"/>
  <c r="T209" i="4"/>
  <c r="S209" i="4"/>
  <c r="R209" i="4"/>
  <c r="L209" i="4"/>
  <c r="AA208" i="4"/>
  <c r="L208" i="4"/>
  <c r="AA207" i="4"/>
  <c r="U207" i="4"/>
  <c r="S207" i="4"/>
  <c r="L207" i="4"/>
  <c r="AA206" i="4"/>
  <c r="U206" i="4"/>
  <c r="T206" i="4"/>
  <c r="S206" i="4"/>
  <c r="R206" i="4"/>
  <c r="L206" i="4"/>
  <c r="AA205" i="4"/>
  <c r="U205" i="4"/>
  <c r="S205" i="4"/>
  <c r="L205" i="4"/>
  <c r="AA204" i="4"/>
  <c r="U204" i="4"/>
  <c r="S204" i="4"/>
  <c r="R204" i="4"/>
  <c r="T204" i="4" s="1"/>
  <c r="L204" i="4"/>
  <c r="AA203" i="4"/>
  <c r="L203" i="4"/>
  <c r="AA202" i="4"/>
  <c r="R202" i="4"/>
  <c r="L202" i="4"/>
  <c r="AA201" i="4"/>
  <c r="U201" i="4"/>
  <c r="S201" i="4"/>
  <c r="R201" i="4"/>
  <c r="T201" i="4" s="1"/>
  <c r="L201" i="4"/>
  <c r="AA200" i="4"/>
  <c r="U200" i="4"/>
  <c r="S200" i="4"/>
  <c r="L200" i="4"/>
  <c r="AA199" i="4"/>
  <c r="U199" i="4"/>
  <c r="S199" i="4"/>
  <c r="L199" i="4"/>
  <c r="AA198" i="4"/>
  <c r="U198" i="4"/>
  <c r="S198" i="4"/>
  <c r="R198" i="4"/>
  <c r="T198" i="4" s="1"/>
  <c r="L198" i="4"/>
  <c r="AA197" i="4"/>
  <c r="U197" i="4"/>
  <c r="S197" i="4"/>
  <c r="L197" i="4"/>
  <c r="AA196" i="4"/>
  <c r="U196" i="4"/>
  <c r="S196" i="4"/>
  <c r="R196" i="4"/>
  <c r="T196" i="4" s="1"/>
  <c r="L196" i="4"/>
  <c r="AA195" i="4"/>
  <c r="R195" i="4"/>
  <c r="T195" i="4" s="1"/>
  <c r="L195" i="4"/>
  <c r="AA194" i="4"/>
  <c r="L194" i="4"/>
  <c r="AA193" i="4"/>
  <c r="R193" i="4"/>
  <c r="L193" i="4"/>
  <c r="AA192" i="4"/>
  <c r="U192" i="4"/>
  <c r="T192" i="4"/>
  <c r="S192" i="4"/>
  <c r="R192" i="4"/>
  <c r="L192" i="4"/>
  <c r="AA191" i="4"/>
  <c r="U191" i="4"/>
  <c r="S191" i="4"/>
  <c r="L191" i="4"/>
  <c r="AA190" i="4"/>
  <c r="U190" i="4"/>
  <c r="S190" i="4"/>
  <c r="R190" i="4"/>
  <c r="T190" i="4" s="1"/>
  <c r="L190" i="4"/>
  <c r="AA189" i="4"/>
  <c r="U189" i="4"/>
  <c r="S189" i="4"/>
  <c r="R189" i="4"/>
  <c r="T189" i="4" s="1"/>
  <c r="L189" i="4"/>
  <c r="AA188" i="4"/>
  <c r="U188" i="4"/>
  <c r="S188" i="4"/>
  <c r="L188" i="4"/>
  <c r="AA187" i="4"/>
  <c r="U187" i="4"/>
  <c r="S187" i="4"/>
  <c r="L187" i="4"/>
  <c r="AA186" i="4"/>
  <c r="U186" i="4"/>
  <c r="S186" i="4"/>
  <c r="R186" i="4"/>
  <c r="T186" i="4" s="1"/>
  <c r="L186" i="4"/>
  <c r="AA185" i="4"/>
  <c r="L185" i="4"/>
  <c r="AA184" i="4"/>
  <c r="R184" i="4"/>
  <c r="T184" i="4" s="1"/>
  <c r="L184" i="4"/>
  <c r="AA183" i="4"/>
  <c r="U183" i="4"/>
  <c r="R183" i="4"/>
  <c r="L183" i="4"/>
  <c r="AA182" i="4"/>
  <c r="R182" i="4"/>
  <c r="L182" i="4"/>
  <c r="AA181" i="4"/>
  <c r="R181" i="4"/>
  <c r="L181" i="4"/>
  <c r="AA180" i="4"/>
  <c r="L180" i="4"/>
  <c r="AA179" i="4"/>
  <c r="U179" i="4"/>
  <c r="S179" i="4"/>
  <c r="R179" i="4"/>
  <c r="T179" i="4" s="1"/>
  <c r="L179" i="4"/>
  <c r="AA178" i="4"/>
  <c r="U178" i="4"/>
  <c r="S178" i="4"/>
  <c r="L178" i="4"/>
  <c r="AA177" i="4"/>
  <c r="U177" i="4"/>
  <c r="S177" i="4"/>
  <c r="R177" i="4"/>
  <c r="T177" i="4" s="1"/>
  <c r="L177" i="4"/>
  <c r="AA176" i="4"/>
  <c r="U176" i="4"/>
  <c r="S176" i="4"/>
  <c r="R176" i="4"/>
  <c r="T176" i="4" s="1"/>
  <c r="L176" i="4"/>
  <c r="AA175" i="4"/>
  <c r="U175" i="4"/>
  <c r="S175" i="4"/>
  <c r="L175" i="4"/>
  <c r="AA174" i="4"/>
  <c r="U174" i="4"/>
  <c r="S174" i="4"/>
  <c r="L174" i="4"/>
  <c r="AA173" i="4"/>
  <c r="U173" i="4"/>
  <c r="S173" i="4"/>
  <c r="R173" i="4"/>
  <c r="T173" i="4" s="1"/>
  <c r="L173" i="4"/>
  <c r="AA172" i="4"/>
  <c r="U172" i="4"/>
  <c r="S172" i="4"/>
  <c r="L172" i="4"/>
  <c r="AA171" i="4"/>
  <c r="L171" i="4"/>
  <c r="AA170" i="4"/>
  <c r="L170" i="4"/>
  <c r="AA169" i="4"/>
  <c r="L169" i="4"/>
  <c r="AA168" i="4"/>
  <c r="U168" i="4"/>
  <c r="R168" i="4"/>
  <c r="S168" i="4" s="1"/>
  <c r="L168" i="4"/>
  <c r="AA167" i="4"/>
  <c r="L167" i="4"/>
  <c r="AA166" i="4"/>
  <c r="R166" i="4"/>
  <c r="L166" i="4"/>
  <c r="AA165" i="4"/>
  <c r="R165" i="4"/>
  <c r="L165" i="4"/>
  <c r="AA164" i="4"/>
  <c r="L164" i="4"/>
  <c r="AA163" i="4"/>
  <c r="L163" i="4"/>
  <c r="AA162" i="4"/>
  <c r="R162" i="4"/>
  <c r="T162" i="4" s="1"/>
  <c r="L162" i="4"/>
  <c r="AA161" i="4"/>
  <c r="L161" i="4"/>
  <c r="AA160" i="4"/>
  <c r="U160" i="4"/>
  <c r="R160" i="4"/>
  <c r="S160" i="4" s="1"/>
  <c r="L160" i="4"/>
  <c r="AA159" i="4"/>
  <c r="L159" i="4"/>
  <c r="AA158" i="4"/>
  <c r="L158" i="4"/>
  <c r="AA157" i="4"/>
  <c r="L157" i="4"/>
  <c r="AA156" i="4"/>
  <c r="R156" i="4"/>
  <c r="L156" i="4"/>
  <c r="AA155" i="4"/>
  <c r="R155" i="4"/>
  <c r="L155" i="4"/>
  <c r="AA154" i="4"/>
  <c r="L154" i="4"/>
  <c r="AA153" i="4"/>
  <c r="L153" i="4"/>
  <c r="AA152" i="4"/>
  <c r="R152" i="4"/>
  <c r="L152" i="4"/>
  <c r="AA151" i="4"/>
  <c r="L151" i="4"/>
  <c r="AA150" i="4"/>
  <c r="T150" i="4"/>
  <c r="R150" i="4"/>
  <c r="S150" i="4" s="1"/>
  <c r="L150" i="4"/>
  <c r="AA149" i="4"/>
  <c r="R149" i="4"/>
  <c r="S149" i="4" s="1"/>
  <c r="L149" i="4"/>
  <c r="AA148" i="4"/>
  <c r="L148" i="4"/>
  <c r="AA147" i="4"/>
  <c r="L147" i="4"/>
  <c r="AA146" i="4"/>
  <c r="R146" i="4"/>
  <c r="L146" i="4"/>
  <c r="AA145" i="4"/>
  <c r="L145" i="4"/>
  <c r="AA144" i="4"/>
  <c r="U144" i="4"/>
  <c r="R144" i="4"/>
  <c r="T144" i="4" s="1"/>
  <c r="L144" i="4"/>
  <c r="AA143" i="4"/>
  <c r="L143" i="4"/>
  <c r="AA142" i="4"/>
  <c r="L142" i="4"/>
  <c r="AA141" i="4"/>
  <c r="R141" i="4"/>
  <c r="U141" i="4" s="1"/>
  <c r="L141" i="4"/>
  <c r="AA140" i="4"/>
  <c r="L140" i="4"/>
  <c r="AA139" i="4"/>
  <c r="L139" i="4"/>
  <c r="AA138" i="4"/>
  <c r="U138" i="4"/>
  <c r="S138" i="4"/>
  <c r="R138" i="4"/>
  <c r="T138" i="4" s="1"/>
  <c r="L138" i="4"/>
  <c r="AA137" i="4"/>
  <c r="L137" i="4"/>
  <c r="AA136" i="4"/>
  <c r="L136" i="4"/>
  <c r="AA135" i="4"/>
  <c r="R135" i="4"/>
  <c r="U135" i="4" s="1"/>
  <c r="L135" i="4"/>
  <c r="AA134" i="4"/>
  <c r="L134" i="4"/>
  <c r="AA133" i="4"/>
  <c r="U133" i="4"/>
  <c r="S133" i="4"/>
  <c r="R133" i="4"/>
  <c r="T133" i="4" s="1"/>
  <c r="L133" i="4"/>
  <c r="AA132" i="4"/>
  <c r="U132" i="4"/>
  <c r="S132" i="4"/>
  <c r="R132" i="4"/>
  <c r="T132" i="4" s="1"/>
  <c r="L132" i="4"/>
  <c r="AA131" i="4"/>
  <c r="U131" i="4"/>
  <c r="S131" i="4"/>
  <c r="L131" i="4"/>
  <c r="AA130" i="4"/>
  <c r="U130" i="4"/>
  <c r="S130" i="4"/>
  <c r="L130" i="4"/>
  <c r="AA129" i="4"/>
  <c r="U129" i="4"/>
  <c r="T129" i="4"/>
  <c r="S129" i="4"/>
  <c r="R129" i="4"/>
  <c r="L129" i="4"/>
  <c r="AA128" i="4"/>
  <c r="U128" i="4"/>
  <c r="S128" i="4"/>
  <c r="L128" i="4"/>
  <c r="AA127" i="4"/>
  <c r="U127" i="4"/>
  <c r="T127" i="4"/>
  <c r="S127" i="4"/>
  <c r="R127" i="4"/>
  <c r="L127" i="4"/>
  <c r="AA126" i="4"/>
  <c r="U126" i="4"/>
  <c r="T126" i="4"/>
  <c r="S126" i="4"/>
  <c r="R126" i="4"/>
  <c r="L126" i="4"/>
  <c r="AA125" i="4"/>
  <c r="U125" i="4"/>
  <c r="S125" i="4"/>
  <c r="L125" i="4"/>
  <c r="AA124" i="4"/>
  <c r="U124" i="4"/>
  <c r="S124" i="4"/>
  <c r="L124" i="4"/>
  <c r="AA123" i="4"/>
  <c r="U123" i="4"/>
  <c r="S123" i="4"/>
  <c r="R123" i="4"/>
  <c r="T123" i="4" s="1"/>
  <c r="L123" i="4"/>
  <c r="AA122" i="4"/>
  <c r="U122" i="4"/>
  <c r="S122" i="4"/>
  <c r="L122" i="4"/>
  <c r="AA121" i="4"/>
  <c r="U121" i="4"/>
  <c r="S121" i="4"/>
  <c r="R121" i="4"/>
  <c r="T121" i="4" s="1"/>
  <c r="L121" i="4"/>
  <c r="AA120" i="4"/>
  <c r="U120" i="4"/>
  <c r="S120" i="4"/>
  <c r="L120" i="4"/>
  <c r="AA119" i="4"/>
  <c r="L119" i="4"/>
  <c r="AA118" i="4"/>
  <c r="L118" i="4"/>
  <c r="AA117" i="4"/>
  <c r="L117" i="4"/>
  <c r="AA116" i="4"/>
  <c r="U116" i="4"/>
  <c r="S116" i="4"/>
  <c r="R116" i="4"/>
  <c r="T116" i="4" s="1"/>
  <c r="L116" i="4"/>
  <c r="AA115" i="4"/>
  <c r="U115" i="4"/>
  <c r="S115" i="4"/>
  <c r="R115" i="4"/>
  <c r="T115" i="4" s="1"/>
  <c r="L115" i="4"/>
  <c r="AA114" i="4"/>
  <c r="U114" i="4"/>
  <c r="S114" i="4"/>
  <c r="R114" i="4"/>
  <c r="T114" i="4" s="1"/>
  <c r="L114" i="4"/>
  <c r="AA113" i="4"/>
  <c r="T113" i="4"/>
  <c r="R113" i="4"/>
  <c r="L113" i="4"/>
  <c r="AA112" i="4"/>
  <c r="R112" i="4"/>
  <c r="S112" i="4" s="1"/>
  <c r="L112" i="4"/>
  <c r="AA111" i="4"/>
  <c r="L111" i="4"/>
  <c r="AA110" i="4"/>
  <c r="L110" i="4"/>
  <c r="AA109" i="4"/>
  <c r="R109" i="4"/>
  <c r="L109" i="4"/>
  <c r="AA108" i="4"/>
  <c r="L108" i="4"/>
  <c r="AA107" i="4"/>
  <c r="L107" i="4"/>
  <c r="AA106" i="4"/>
  <c r="U106" i="4"/>
  <c r="S106" i="4"/>
  <c r="L106" i="4"/>
  <c r="AA105" i="4"/>
  <c r="U105" i="4"/>
  <c r="S105" i="4"/>
  <c r="L105" i="4"/>
  <c r="AA104" i="4"/>
  <c r="U104" i="4"/>
  <c r="T104" i="4"/>
  <c r="S104" i="4"/>
  <c r="R104" i="4"/>
  <c r="L104" i="4"/>
  <c r="AA103" i="4"/>
  <c r="R103" i="4"/>
  <c r="U103" i="4" s="1"/>
  <c r="L103" i="4"/>
  <c r="AA102" i="4"/>
  <c r="L102" i="4"/>
  <c r="AA101" i="4"/>
  <c r="L101" i="4"/>
  <c r="AA100" i="4"/>
  <c r="L100" i="4"/>
  <c r="AA99" i="4"/>
  <c r="R99" i="4"/>
  <c r="T99" i="4" s="1"/>
  <c r="L99" i="4"/>
  <c r="AA98" i="4"/>
  <c r="R98" i="4"/>
  <c r="S98" i="4" s="1"/>
  <c r="L98" i="4"/>
  <c r="AA97" i="4"/>
  <c r="L97" i="4"/>
  <c r="AA96" i="4"/>
  <c r="L96" i="4"/>
  <c r="AA95" i="4"/>
  <c r="R95" i="4"/>
  <c r="L95" i="4"/>
  <c r="AA94" i="4"/>
  <c r="L94" i="4"/>
  <c r="AA93" i="4"/>
  <c r="L93" i="4"/>
  <c r="AA92" i="4"/>
  <c r="L92" i="4"/>
  <c r="AA91" i="4"/>
  <c r="U91" i="4"/>
  <c r="T91" i="4"/>
  <c r="R91" i="4"/>
  <c r="S91" i="4" s="1"/>
  <c r="L91" i="4"/>
  <c r="AA90" i="4"/>
  <c r="R90" i="4"/>
  <c r="U90" i="4" s="1"/>
  <c r="L90" i="4"/>
  <c r="AA89" i="4"/>
  <c r="U89" i="4"/>
  <c r="S89" i="4"/>
  <c r="L89" i="4"/>
  <c r="AA88" i="4"/>
  <c r="U88" i="4"/>
  <c r="S88" i="4"/>
  <c r="R88" i="4"/>
  <c r="T88" i="4" s="1"/>
  <c r="L88" i="4"/>
  <c r="AA87" i="4"/>
  <c r="U87" i="4"/>
  <c r="S87" i="4"/>
  <c r="L87" i="4"/>
  <c r="AA86" i="4"/>
  <c r="U86" i="4"/>
  <c r="S86" i="4"/>
  <c r="R86" i="4"/>
  <c r="T86" i="4" s="1"/>
  <c r="L86" i="4"/>
  <c r="AA85" i="4"/>
  <c r="U85" i="4"/>
  <c r="S85" i="4"/>
  <c r="L85" i="4"/>
  <c r="AA84" i="4"/>
  <c r="U84" i="4"/>
  <c r="S84" i="4"/>
  <c r="R84" i="4"/>
  <c r="T84" i="4" s="1"/>
  <c r="L84" i="4"/>
  <c r="AA83" i="4"/>
  <c r="U83" i="4"/>
  <c r="S83" i="4"/>
  <c r="L83" i="4"/>
  <c r="AA82" i="4"/>
  <c r="U82" i="4"/>
  <c r="S82" i="4"/>
  <c r="R82" i="4"/>
  <c r="T82" i="4" s="1"/>
  <c r="L82" i="4"/>
  <c r="AA81" i="4"/>
  <c r="U81" i="4"/>
  <c r="T81" i="4"/>
  <c r="S81" i="4"/>
  <c r="R81" i="4"/>
  <c r="L81" i="4"/>
  <c r="AA80" i="4"/>
  <c r="U80" i="4"/>
  <c r="T80" i="4"/>
  <c r="R80" i="4"/>
  <c r="S80" i="4" s="1"/>
  <c r="L80" i="4"/>
  <c r="AA79" i="4"/>
  <c r="U79" i="4"/>
  <c r="T79" i="4"/>
  <c r="L79" i="4"/>
  <c r="AA78" i="4"/>
  <c r="U78" i="4"/>
  <c r="S78" i="4"/>
  <c r="L78" i="4"/>
  <c r="AA77" i="4"/>
  <c r="U77" i="4"/>
  <c r="T77" i="4"/>
  <c r="S77" i="4"/>
  <c r="R77" i="4"/>
  <c r="L77" i="4"/>
  <c r="AA76" i="4"/>
  <c r="U76" i="4"/>
  <c r="S76" i="4"/>
  <c r="L76" i="4"/>
  <c r="AA75" i="4"/>
  <c r="U75" i="4"/>
  <c r="S75" i="4"/>
  <c r="R75" i="4"/>
  <c r="T75" i="4" s="1"/>
  <c r="L75" i="4"/>
  <c r="AA74" i="4"/>
  <c r="U74" i="4"/>
  <c r="S74" i="4"/>
  <c r="L74" i="4"/>
  <c r="AA73" i="4"/>
  <c r="U73" i="4"/>
  <c r="S73" i="4"/>
  <c r="R73" i="4"/>
  <c r="T73" i="4" s="1"/>
  <c r="L73" i="4"/>
  <c r="AA72" i="4"/>
  <c r="U72" i="4"/>
  <c r="S72" i="4"/>
  <c r="R72" i="4"/>
  <c r="T72" i="4" s="1"/>
  <c r="L72" i="4"/>
  <c r="AA71" i="4"/>
  <c r="U71" i="4"/>
  <c r="S71" i="4"/>
  <c r="L71" i="4"/>
  <c r="AA70" i="4"/>
  <c r="U70" i="4"/>
  <c r="S70" i="4"/>
  <c r="L70" i="4"/>
  <c r="AA69" i="4"/>
  <c r="U69" i="4"/>
  <c r="S69" i="4"/>
  <c r="R69" i="4"/>
  <c r="T69" i="4" s="1"/>
  <c r="L69" i="4"/>
  <c r="AA68" i="4"/>
  <c r="U68" i="4"/>
  <c r="S68" i="4"/>
  <c r="L68" i="4"/>
  <c r="AA67" i="4"/>
  <c r="U67" i="4"/>
  <c r="S67" i="4"/>
  <c r="R67" i="4"/>
  <c r="T67" i="4" s="1"/>
  <c r="L67" i="4"/>
  <c r="AA66" i="4"/>
  <c r="U66" i="4"/>
  <c r="S66" i="4"/>
  <c r="L66" i="4"/>
  <c r="AA65" i="4"/>
  <c r="U65" i="4"/>
  <c r="S65" i="4"/>
  <c r="R65" i="4"/>
  <c r="T65" i="4" s="1"/>
  <c r="L65" i="4"/>
  <c r="AA64" i="4"/>
  <c r="U64" i="4"/>
  <c r="T64" i="4"/>
  <c r="S64" i="4"/>
  <c r="R64" i="4"/>
  <c r="L64" i="4"/>
  <c r="AA63" i="4"/>
  <c r="U63" i="4"/>
  <c r="S63" i="4"/>
  <c r="L63" i="4"/>
  <c r="AA62" i="4"/>
  <c r="U62" i="4"/>
  <c r="S62" i="4"/>
  <c r="L62" i="4"/>
  <c r="AA61" i="4"/>
  <c r="U61" i="4"/>
  <c r="T61" i="4"/>
  <c r="S61" i="4"/>
  <c r="R61" i="4"/>
  <c r="L61" i="4"/>
  <c r="AA60" i="4"/>
  <c r="U60" i="4"/>
  <c r="S60" i="4"/>
  <c r="L60" i="4"/>
  <c r="AA59" i="4"/>
  <c r="U59" i="4"/>
  <c r="S59" i="4"/>
  <c r="R59" i="4"/>
  <c r="T59" i="4" s="1"/>
  <c r="L59" i="4"/>
  <c r="AA58" i="4"/>
  <c r="U58" i="4"/>
  <c r="S58" i="4"/>
  <c r="L58" i="4"/>
  <c r="AA57" i="4"/>
  <c r="U57" i="4"/>
  <c r="S57" i="4"/>
  <c r="R57" i="4"/>
  <c r="T57" i="4" s="1"/>
  <c r="L57" i="4"/>
  <c r="AA56" i="4"/>
  <c r="U56" i="4"/>
  <c r="S56" i="4"/>
  <c r="R56" i="4"/>
  <c r="T56" i="4" s="1"/>
  <c r="L56" i="4"/>
  <c r="AA55" i="4"/>
  <c r="U55" i="4"/>
  <c r="S55" i="4"/>
  <c r="L55" i="4"/>
  <c r="AA54" i="4"/>
  <c r="U54" i="4"/>
  <c r="S54" i="4"/>
  <c r="L54" i="4"/>
  <c r="AA53" i="4"/>
  <c r="U53" i="4"/>
  <c r="S53" i="4"/>
  <c r="R53" i="4"/>
  <c r="T53" i="4" s="1"/>
  <c r="L53" i="4"/>
  <c r="AA52" i="4"/>
  <c r="U52" i="4"/>
  <c r="S52" i="4"/>
  <c r="R52" i="4"/>
  <c r="T52" i="4" s="1"/>
  <c r="L52" i="4"/>
  <c r="AA51" i="4"/>
  <c r="U51" i="4"/>
  <c r="S51" i="4"/>
  <c r="R51" i="4"/>
  <c r="T51" i="4" s="1"/>
  <c r="L51" i="4"/>
  <c r="AA50" i="4"/>
  <c r="U50" i="4"/>
  <c r="S50" i="4"/>
  <c r="L50" i="4"/>
  <c r="AA49" i="4"/>
  <c r="U49" i="4"/>
  <c r="S49" i="4"/>
  <c r="R49" i="4"/>
  <c r="T49" i="4" s="1"/>
  <c r="L49" i="4"/>
  <c r="AA48" i="4"/>
  <c r="U48" i="4"/>
  <c r="S48" i="4"/>
  <c r="R48" i="4"/>
  <c r="T48" i="4" s="1"/>
  <c r="L48" i="4"/>
  <c r="AA47" i="4"/>
  <c r="U47" i="4"/>
  <c r="S47" i="4"/>
  <c r="L47" i="4"/>
  <c r="AA46" i="4"/>
  <c r="U46" i="4"/>
  <c r="S46" i="4"/>
  <c r="L46" i="4"/>
  <c r="AA45" i="4"/>
  <c r="U45" i="4"/>
  <c r="T45" i="4"/>
  <c r="S45" i="4"/>
  <c r="R45" i="4"/>
  <c r="L45" i="4"/>
  <c r="AA44" i="4"/>
  <c r="L44" i="4"/>
  <c r="AA43" i="4"/>
  <c r="L43" i="4"/>
  <c r="AA42" i="4"/>
  <c r="R42" i="4"/>
  <c r="U42" i="4" s="1"/>
  <c r="L42" i="4"/>
  <c r="AA41" i="4"/>
  <c r="L41" i="4"/>
  <c r="AA40" i="4"/>
  <c r="L40" i="4"/>
  <c r="AA39" i="4"/>
  <c r="U39" i="4"/>
  <c r="R39" i="4"/>
  <c r="L39" i="4"/>
  <c r="AA38" i="4"/>
  <c r="L38" i="4"/>
  <c r="AA37" i="4"/>
  <c r="U37" i="4"/>
  <c r="T37" i="4"/>
  <c r="R37" i="4"/>
  <c r="S37" i="4" s="1"/>
  <c r="L37" i="4"/>
  <c r="AA36" i="4"/>
  <c r="U36" i="4"/>
  <c r="T36" i="4"/>
  <c r="R36" i="4"/>
  <c r="S36" i="4" s="1"/>
  <c r="L36" i="4"/>
  <c r="AA35" i="4"/>
  <c r="U35" i="4"/>
  <c r="T35" i="4"/>
  <c r="R35" i="4"/>
  <c r="S35" i="4" s="1"/>
  <c r="L35" i="4"/>
  <c r="AA34" i="4"/>
  <c r="U34" i="4"/>
  <c r="T34" i="4"/>
  <c r="R34" i="4"/>
  <c r="S34" i="4" s="1"/>
  <c r="L34" i="4"/>
  <c r="AA33" i="4"/>
  <c r="U33" i="4"/>
  <c r="S33" i="4"/>
  <c r="R33" i="4"/>
  <c r="T33" i="4" s="1"/>
  <c r="L33" i="4"/>
  <c r="AA32" i="4"/>
  <c r="L32" i="4"/>
  <c r="AA31" i="4"/>
  <c r="R31" i="4"/>
  <c r="T31" i="4" s="1"/>
  <c r="L31" i="4"/>
  <c r="AA30" i="4"/>
  <c r="R30" i="4"/>
  <c r="T30" i="4" s="1"/>
  <c r="L30" i="4"/>
  <c r="AA29" i="4"/>
  <c r="L29" i="4"/>
  <c r="AA28" i="4"/>
  <c r="R28" i="4"/>
  <c r="S28" i="4" s="1"/>
  <c r="L28" i="4"/>
  <c r="AA27" i="4"/>
  <c r="R27" i="4"/>
  <c r="T27" i="4" s="1"/>
  <c r="L27" i="4"/>
  <c r="AA26" i="4"/>
  <c r="L26" i="4"/>
  <c r="AA25" i="4"/>
  <c r="U25" i="4"/>
  <c r="S25" i="4"/>
  <c r="L25" i="4"/>
  <c r="AA24" i="4"/>
  <c r="U24" i="4"/>
  <c r="T24" i="4"/>
  <c r="S24" i="4"/>
  <c r="R24" i="4"/>
  <c r="L24" i="4"/>
  <c r="AA23" i="4"/>
  <c r="U23" i="4"/>
  <c r="S23" i="4"/>
  <c r="R23" i="4"/>
  <c r="T23" i="4" s="1"/>
  <c r="L23" i="4"/>
  <c r="AA22" i="4"/>
  <c r="U22" i="4"/>
  <c r="S22" i="4"/>
  <c r="R22" i="4"/>
  <c r="T22" i="4" s="1"/>
  <c r="L22" i="4"/>
  <c r="AA21" i="4"/>
  <c r="U21" i="4"/>
  <c r="T21" i="4"/>
  <c r="R21" i="4"/>
  <c r="S21" i="4" s="1"/>
  <c r="L21" i="4"/>
  <c r="AA20" i="4"/>
  <c r="U20" i="4"/>
  <c r="S20" i="4"/>
  <c r="R20" i="4"/>
  <c r="T20" i="4" s="1"/>
  <c r="L20" i="4"/>
  <c r="AA19" i="4"/>
  <c r="U19" i="4"/>
  <c r="S19" i="4"/>
  <c r="L19" i="4"/>
  <c r="AA18" i="4"/>
  <c r="U18" i="4"/>
  <c r="T18" i="4"/>
  <c r="S18" i="4"/>
  <c r="R18" i="4"/>
  <c r="L18" i="4"/>
  <c r="AA17" i="4"/>
  <c r="S17" i="4"/>
  <c r="R17" i="4"/>
  <c r="L17" i="4"/>
  <c r="AA16" i="4"/>
  <c r="R16" i="4"/>
  <c r="T16" i="4" s="1"/>
  <c r="L16" i="4"/>
  <c r="AA15" i="4"/>
  <c r="U15" i="4"/>
  <c r="S15" i="4"/>
  <c r="L15" i="4"/>
  <c r="AA14" i="4"/>
  <c r="U14" i="4"/>
  <c r="T14" i="4"/>
  <c r="S14" i="4"/>
  <c r="R14" i="4"/>
  <c r="L14" i="4"/>
  <c r="AA13" i="4"/>
  <c r="U13" i="4"/>
  <c r="S13" i="4"/>
  <c r="R13" i="4"/>
  <c r="T13" i="4" s="1"/>
  <c r="L13" i="4"/>
  <c r="AA12" i="4"/>
  <c r="L12" i="4"/>
  <c r="AA11" i="4"/>
  <c r="U11" i="4"/>
  <c r="S11" i="4"/>
  <c r="R11" i="4"/>
  <c r="T11" i="4" s="1"/>
  <c r="L11" i="4"/>
  <c r="AA10" i="4"/>
  <c r="U10" i="4"/>
  <c r="S10" i="4"/>
  <c r="L10" i="4"/>
  <c r="AA9" i="4"/>
  <c r="U9" i="4"/>
  <c r="S9" i="4"/>
  <c r="L9" i="4"/>
  <c r="AA8" i="4"/>
  <c r="U8" i="4"/>
  <c r="T8" i="4"/>
  <c r="R8" i="4"/>
  <c r="S8" i="4" s="1"/>
  <c r="L8" i="4"/>
  <c r="AA7" i="4"/>
  <c r="S7" i="4"/>
  <c r="R7" i="4"/>
  <c r="L7" i="4"/>
  <c r="AA6" i="4"/>
  <c r="L6" i="4"/>
  <c r="AA5" i="4"/>
  <c r="R5" i="4"/>
  <c r="S5" i="4" s="1"/>
  <c r="L5" i="4"/>
  <c r="AA4" i="4"/>
  <c r="L4" i="4"/>
  <c r="AA3" i="4"/>
  <c r="U3" i="4"/>
  <c r="R3" i="4"/>
  <c r="T3" i="4" s="1"/>
  <c r="L3" i="4"/>
  <c r="AA2" i="4"/>
  <c r="L2" i="4"/>
  <c r="B22" i="2"/>
  <c r="B21" i="2"/>
  <c r="B20" i="2"/>
  <c r="R387" i="4" s="1"/>
  <c r="T387" i="4" s="1"/>
  <c r="B19" i="2"/>
  <c r="B18" i="2"/>
  <c r="R431" i="4" s="1"/>
  <c r="T431" i="4" s="1"/>
  <c r="B17" i="2"/>
  <c r="R467" i="4" s="1"/>
  <c r="T467" i="4" s="1"/>
  <c r="B16" i="2"/>
  <c r="R523" i="4" s="1"/>
  <c r="T523" i="4" s="1"/>
  <c r="B14" i="2"/>
  <c r="R342" i="4" s="1"/>
  <c r="S342" i="4" s="1"/>
  <c r="B7" i="2"/>
  <c r="B8" i="2" s="1"/>
  <c r="B15" i="2" s="1"/>
  <c r="S27" i="4" l="1"/>
  <c r="S95" i="4"/>
  <c r="T95" i="4"/>
  <c r="S99" i="4"/>
  <c r="U152" i="4"/>
  <c r="T152" i="4"/>
  <c r="S152" i="4"/>
  <c r="S304" i="4"/>
  <c r="U328" i="4"/>
  <c r="T328" i="4"/>
  <c r="S328" i="4"/>
  <c r="U156" i="4"/>
  <c r="T156" i="4"/>
  <c r="S156" i="4"/>
  <c r="S31" i="4"/>
  <c r="U31" i="4"/>
  <c r="S165" i="4"/>
  <c r="U165" i="4"/>
  <c r="T165" i="4"/>
  <c r="S181" i="4"/>
  <c r="U181" i="4"/>
  <c r="T181" i="4"/>
  <c r="U313" i="4"/>
  <c r="S313" i="4"/>
  <c r="U27" i="4"/>
  <c r="S42" i="4"/>
  <c r="T42" i="4"/>
  <c r="U95" i="4"/>
  <c r="U99" i="4"/>
  <c r="S144" i="4"/>
  <c r="U258" i="4"/>
  <c r="T258" i="4"/>
  <c r="T304" i="4"/>
  <c r="S324" i="4"/>
  <c r="S135" i="4"/>
  <c r="T135" i="4"/>
  <c r="R450" i="4"/>
  <c r="T450" i="4" s="1"/>
  <c r="R434" i="4"/>
  <c r="T434" i="4" s="1"/>
  <c r="R386" i="4"/>
  <c r="T386" i="4" s="1"/>
  <c r="R452" i="4"/>
  <c r="T452" i="4" s="1"/>
  <c r="R438" i="4"/>
  <c r="T438" i="4" s="1"/>
  <c r="R388" i="4"/>
  <c r="T388" i="4" s="1"/>
  <c r="R470" i="4"/>
  <c r="T470" i="4" s="1"/>
  <c r="R390" i="4"/>
  <c r="T390" i="4" s="1"/>
  <c r="R403" i="4"/>
  <c r="T403" i="4" s="1"/>
  <c r="R469" i="4"/>
  <c r="T469" i="4" s="1"/>
  <c r="R437" i="4"/>
  <c r="T437" i="4" s="1"/>
  <c r="R435" i="4"/>
  <c r="T435" i="4" s="1"/>
  <c r="R389" i="4"/>
  <c r="T389" i="4" s="1"/>
  <c r="R404" i="4"/>
  <c r="T404" i="4" s="1"/>
  <c r="R385" i="4"/>
  <c r="T385" i="4" s="1"/>
  <c r="R433" i="4"/>
  <c r="T433" i="4" s="1"/>
  <c r="R401" i="4"/>
  <c r="T401" i="4" s="1"/>
  <c r="R436" i="4"/>
  <c r="T436" i="4" s="1"/>
  <c r="R479" i="4"/>
  <c r="T479" i="4" s="1"/>
  <c r="R400" i="4"/>
  <c r="T400" i="4" s="1"/>
  <c r="S39" i="4"/>
  <c r="T39" i="4"/>
  <c r="U230" i="4"/>
  <c r="R522" i="4"/>
  <c r="T522" i="4" s="1"/>
  <c r="R514" i="4"/>
  <c r="T514" i="4" s="1"/>
  <c r="R506" i="4"/>
  <c r="T506" i="4" s="1"/>
  <c r="R498" i="4"/>
  <c r="T498" i="4" s="1"/>
  <c r="R490" i="4"/>
  <c r="T490" i="4" s="1"/>
  <c r="R516" i="4"/>
  <c r="T516" i="4" s="1"/>
  <c r="R502" i="4"/>
  <c r="T502" i="4" s="1"/>
  <c r="R491" i="4"/>
  <c r="T491" i="4" s="1"/>
  <c r="R513" i="4"/>
  <c r="T513" i="4" s="1"/>
  <c r="R510" i="4"/>
  <c r="T510" i="4" s="1"/>
  <c r="R493" i="4"/>
  <c r="T493" i="4" s="1"/>
  <c r="R517" i="4"/>
  <c r="T517" i="4" s="1"/>
  <c r="R511" i="4"/>
  <c r="T511" i="4" s="1"/>
  <c r="R508" i="4"/>
  <c r="T508" i="4" s="1"/>
  <c r="R505" i="4"/>
  <c r="T505" i="4" s="1"/>
  <c r="R504" i="4"/>
  <c r="T504" i="4" s="1"/>
  <c r="R501" i="4"/>
  <c r="T501" i="4" s="1"/>
  <c r="R499" i="4"/>
  <c r="T499" i="4" s="1"/>
  <c r="R495" i="4"/>
  <c r="T495" i="4" s="1"/>
  <c r="R509" i="4"/>
  <c r="T509" i="4" s="1"/>
  <c r="R496" i="4"/>
  <c r="T496" i="4" s="1"/>
  <c r="R512" i="4"/>
  <c r="T512" i="4" s="1"/>
  <c r="R515" i="4"/>
  <c r="T515" i="4" s="1"/>
  <c r="R489" i="4"/>
  <c r="T489" i="4" s="1"/>
  <c r="R521" i="4"/>
  <c r="T521" i="4" s="1"/>
  <c r="R518" i="4"/>
  <c r="T518" i="4" s="1"/>
  <c r="R492" i="4"/>
  <c r="T492" i="4" s="1"/>
  <c r="R520" i="4"/>
  <c r="T520" i="4" s="1"/>
  <c r="R488" i="4"/>
  <c r="T488" i="4" s="1"/>
  <c r="R507" i="4"/>
  <c r="T507" i="4" s="1"/>
  <c r="R494" i="4"/>
  <c r="T494" i="4" s="1"/>
  <c r="R497" i="4"/>
  <c r="T497" i="4" s="1"/>
  <c r="T182" i="4"/>
  <c r="S182" i="4"/>
  <c r="R442" i="4"/>
  <c r="T442" i="4" s="1"/>
  <c r="R402" i="4"/>
  <c r="T402" i="4" s="1"/>
  <c r="R394" i="4"/>
  <c r="T394" i="4" s="1"/>
  <c r="R477" i="4"/>
  <c r="T477" i="4" s="1"/>
  <c r="R476" i="4"/>
  <c r="T476" i="4" s="1"/>
  <c r="R475" i="4"/>
  <c r="T475" i="4" s="1"/>
  <c r="R396" i="4"/>
  <c r="T396" i="4" s="1"/>
  <c r="R432" i="4"/>
  <c r="T432" i="4" s="1"/>
  <c r="R444" i="4"/>
  <c r="T444" i="4" s="1"/>
  <c r="R395" i="4"/>
  <c r="T395" i="4" s="1"/>
  <c r="R443" i="4"/>
  <c r="T443" i="4" s="1"/>
  <c r="R384" i="4"/>
  <c r="T384" i="4" s="1"/>
  <c r="T5" i="4"/>
  <c r="U113" i="4"/>
  <c r="S113" i="4"/>
  <c r="S141" i="4"/>
  <c r="S183" i="4"/>
  <c r="T183" i="4"/>
  <c r="S264" i="4"/>
  <c r="S269" i="4"/>
  <c r="U269" i="4"/>
  <c r="T269" i="4"/>
  <c r="T310" i="4"/>
  <c r="U166" i="4"/>
  <c r="S166" i="4"/>
  <c r="T166" i="4"/>
  <c r="U28" i="4"/>
  <c r="T28" i="4"/>
  <c r="U193" i="4"/>
  <c r="T193" i="4"/>
  <c r="S193" i="4"/>
  <c r="S314" i="4"/>
  <c r="T314" i="4"/>
  <c r="R487" i="4"/>
  <c r="T487" i="4" s="1"/>
  <c r="U5" i="4"/>
  <c r="T141" i="4"/>
  <c r="S255" i="4"/>
  <c r="U255" i="4"/>
  <c r="U264" i="4"/>
  <c r="S315" i="4"/>
  <c r="T315" i="4"/>
  <c r="U315" i="4"/>
  <c r="S321" i="4"/>
  <c r="U321" i="4"/>
  <c r="U109" i="4"/>
  <c r="T109" i="4"/>
  <c r="S109" i="4"/>
  <c r="U212" i="4"/>
  <c r="T212" i="4"/>
  <c r="S212" i="4"/>
  <c r="S347" i="4"/>
  <c r="T347" i="4"/>
  <c r="T351" i="4"/>
  <c r="S351" i="4"/>
  <c r="S16" i="4"/>
  <c r="U146" i="4"/>
  <c r="T146" i="4"/>
  <c r="S146" i="4"/>
  <c r="U150" i="4"/>
  <c r="U347" i="4"/>
  <c r="U351" i="4"/>
  <c r="R503" i="4"/>
  <c r="T503" i="4" s="1"/>
  <c r="U112" i="4"/>
  <c r="T112" i="4"/>
  <c r="U16" i="4"/>
  <c r="T155" i="4"/>
  <c r="U155" i="4"/>
  <c r="S155" i="4"/>
  <c r="S307" i="4"/>
  <c r="R430" i="4"/>
  <c r="T430" i="4" s="1"/>
  <c r="R471" i="4"/>
  <c r="T471" i="4" s="1"/>
  <c r="R383" i="4"/>
  <c r="T383" i="4" s="1"/>
  <c r="R382" i="4"/>
  <c r="T382" i="4" s="1"/>
  <c r="U149" i="4"/>
  <c r="T149" i="4"/>
  <c r="U182" i="4"/>
  <c r="S230" i="4"/>
  <c r="S184" i="4"/>
  <c r="U184" i="4"/>
  <c r="U195" i="4"/>
  <c r="S195" i="4"/>
  <c r="S30" i="4"/>
  <c r="T98" i="4"/>
  <c r="U202" i="4"/>
  <c r="T202" i="4"/>
  <c r="S202" i="4"/>
  <c r="U30" i="4"/>
  <c r="U98" i="4"/>
  <c r="T160" i="4"/>
  <c r="S261" i="4"/>
  <c r="S271" i="4"/>
  <c r="T271" i="4"/>
  <c r="T307" i="4"/>
  <c r="S327" i="4"/>
  <c r="U327" i="4"/>
  <c r="S352" i="4"/>
  <c r="T352" i="4"/>
  <c r="U352" i="4"/>
  <c r="R451" i="4"/>
  <c r="T451" i="4" s="1"/>
  <c r="R500" i="4"/>
  <c r="T500" i="4" s="1"/>
  <c r="T7" i="4"/>
  <c r="U7" i="4"/>
  <c r="U17" i="4"/>
  <c r="T17" i="4"/>
  <c r="U243" i="4"/>
  <c r="S243" i="4"/>
  <c r="U252" i="4"/>
  <c r="T252" i="4"/>
  <c r="R519" i="4"/>
  <c r="T519" i="4" s="1"/>
  <c r="R474" i="4"/>
  <c r="T474" i="4" s="1"/>
  <c r="R378" i="4"/>
  <c r="T378" i="4" s="1"/>
  <c r="R427" i="4"/>
  <c r="T427" i="4" s="1"/>
  <c r="R473" i="4"/>
  <c r="T473" i="4" s="1"/>
  <c r="R441" i="4"/>
  <c r="T441" i="4" s="1"/>
  <c r="R472" i="4"/>
  <c r="T472" i="4" s="1"/>
  <c r="R440" i="4"/>
  <c r="T440" i="4" s="1"/>
  <c r="R380" i="4"/>
  <c r="T380" i="4" s="1"/>
  <c r="R428" i="4"/>
  <c r="T428" i="4" s="1"/>
  <c r="R19" i="4"/>
  <c r="T19" i="4" s="1"/>
  <c r="R102" i="4"/>
  <c r="R105" i="4"/>
  <c r="T105" i="4" s="1"/>
  <c r="R108" i="4"/>
  <c r="R111" i="4"/>
  <c r="R151" i="4"/>
  <c r="R154" i="4"/>
  <c r="R164" i="4"/>
  <c r="R174" i="4"/>
  <c r="T174" i="4" s="1"/>
  <c r="R219" i="4"/>
  <c r="T219" i="4" s="1"/>
  <c r="R275" i="4"/>
  <c r="T275" i="4" s="1"/>
  <c r="R318" i="4"/>
  <c r="R331" i="4"/>
  <c r="R348" i="4"/>
  <c r="T348" i="4" s="1"/>
  <c r="R409" i="4"/>
  <c r="T409" i="4" s="1"/>
  <c r="R412" i="4"/>
  <c r="T412" i="4" s="1"/>
  <c r="R415" i="4"/>
  <c r="T415" i="4" s="1"/>
  <c r="R445" i="4"/>
  <c r="T445" i="4" s="1"/>
  <c r="R425" i="4"/>
  <c r="T425" i="4" s="1"/>
  <c r="R455" i="4"/>
  <c r="T455" i="4" s="1"/>
  <c r="R485" i="4"/>
  <c r="T485" i="4" s="1"/>
  <c r="S213" i="4"/>
  <c r="T213" i="4"/>
  <c r="S311" i="4"/>
  <c r="T311" i="4"/>
  <c r="R25" i="4"/>
  <c r="T25" i="4" s="1"/>
  <c r="R46" i="4"/>
  <c r="T46" i="4" s="1"/>
  <c r="R54" i="4"/>
  <c r="T54" i="4" s="1"/>
  <c r="R62" i="4"/>
  <c r="T62" i="4" s="1"/>
  <c r="R70" i="4"/>
  <c r="T70" i="4" s="1"/>
  <c r="R78" i="4"/>
  <c r="T78" i="4" s="1"/>
  <c r="R118" i="4"/>
  <c r="R124" i="4"/>
  <c r="T124" i="4" s="1"/>
  <c r="R158" i="4"/>
  <c r="T168" i="4"/>
  <c r="R210" i="4"/>
  <c r="T210" i="4" s="1"/>
  <c r="U213" i="4"/>
  <c r="S228" i="4"/>
  <c r="T231" i="4"/>
  <c r="R253" i="4"/>
  <c r="R256" i="4"/>
  <c r="R296" i="4"/>
  <c r="T296" i="4" s="1"/>
  <c r="R302" i="4"/>
  <c r="T302" i="4" s="1"/>
  <c r="R305" i="4"/>
  <c r="R308" i="4"/>
  <c r="U311" i="4"/>
  <c r="R332" i="4"/>
  <c r="R422" i="4"/>
  <c r="T422" i="4" s="1"/>
  <c r="R429" i="4"/>
  <c r="T429" i="4" s="1"/>
  <c r="R439" i="4"/>
  <c r="T439" i="4" s="1"/>
  <c r="R524" i="4"/>
  <c r="T524" i="4" s="1"/>
  <c r="R175" i="4"/>
  <c r="T175" i="4" s="1"/>
  <c r="R205" i="4"/>
  <c r="T205" i="4" s="1"/>
  <c r="R214" i="4"/>
  <c r="T214" i="4" s="1"/>
  <c r="R217" i="4"/>
  <c r="R220" i="4"/>
  <c r="T220" i="4" s="1"/>
  <c r="R235" i="4"/>
  <c r="T235" i="4" s="1"/>
  <c r="R266" i="4"/>
  <c r="R276" i="4"/>
  <c r="T276" i="4" s="1"/>
  <c r="R282" i="4"/>
  <c r="T282" i="4" s="1"/>
  <c r="S329" i="4"/>
  <c r="R339" i="4"/>
  <c r="S339" i="4" s="1"/>
  <c r="S345" i="4"/>
  <c r="R60" i="4"/>
  <c r="T60" i="4" s="1"/>
  <c r="R68" i="4"/>
  <c r="T68" i="4" s="1"/>
  <c r="R76" i="4"/>
  <c r="T76" i="4" s="1"/>
  <c r="R87" i="4"/>
  <c r="T87" i="4" s="1"/>
  <c r="S90" i="4"/>
  <c r="R100" i="4"/>
  <c r="R143" i="4"/>
  <c r="S162" i="4"/>
  <c r="R169" i="4"/>
  <c r="R208" i="4"/>
  <c r="R229" i="4"/>
  <c r="R232" i="4"/>
  <c r="R263" i="4"/>
  <c r="R279" i="4"/>
  <c r="T279" i="4" s="1"/>
  <c r="R285" i="4"/>
  <c r="T285" i="4" s="1"/>
  <c r="R288" i="4"/>
  <c r="T288" i="4" s="1"/>
  <c r="R309" i="4"/>
  <c r="R323" i="4"/>
  <c r="R326" i="4"/>
  <c r="T329" i="4"/>
  <c r="R336" i="4"/>
  <c r="T336" i="4" s="1"/>
  <c r="T345" i="4"/>
  <c r="R398" i="4"/>
  <c r="T398" i="4" s="1"/>
  <c r="R486" i="4"/>
  <c r="T486" i="4" s="1"/>
  <c r="R370" i="4"/>
  <c r="T370" i="4" s="1"/>
  <c r="R362" i="4"/>
  <c r="T362" i="4" s="1"/>
  <c r="R354" i="4"/>
  <c r="R346" i="4"/>
  <c r="R338" i="4"/>
  <c r="S338" i="4" s="1"/>
  <c r="R374" i="4"/>
  <c r="T374" i="4" s="1"/>
  <c r="R363" i="4"/>
  <c r="T363" i="4" s="1"/>
  <c r="R349" i="4"/>
  <c r="T349" i="4" s="1"/>
  <c r="R367" i="4"/>
  <c r="T367" i="4" s="1"/>
  <c r="R350" i="4"/>
  <c r="T350" i="4" s="1"/>
  <c r="R333" i="4"/>
  <c r="T333" i="4" s="1"/>
  <c r="R319" i="4"/>
  <c r="R297" i="4"/>
  <c r="T297" i="4" s="1"/>
  <c r="R289" i="4"/>
  <c r="T289" i="4" s="1"/>
  <c r="R281" i="4"/>
  <c r="T281" i="4" s="1"/>
  <c r="R273" i="4"/>
  <c r="R259" i="4"/>
  <c r="R248" i="4"/>
  <c r="R237" i="4"/>
  <c r="T237" i="4" s="1"/>
  <c r="R226" i="4"/>
  <c r="T226" i="4" s="1"/>
  <c r="R207" i="4"/>
  <c r="T207" i="4" s="1"/>
  <c r="R199" i="4"/>
  <c r="T199" i="4" s="1"/>
  <c r="R191" i="4"/>
  <c r="T191" i="4" s="1"/>
  <c r="R180" i="4"/>
  <c r="R172" i="4"/>
  <c r="T172" i="4" s="1"/>
  <c r="R161" i="4"/>
  <c r="R147" i="4"/>
  <c r="R136" i="4"/>
  <c r="R117" i="4"/>
  <c r="R106" i="4"/>
  <c r="T106" i="4" s="1"/>
  <c r="R92" i="4"/>
  <c r="R368" i="4"/>
  <c r="T368" i="4" s="1"/>
  <c r="R365" i="4"/>
  <c r="T365" i="4" s="1"/>
  <c r="R356" i="4"/>
  <c r="T356" i="4" s="1"/>
  <c r="R344" i="4"/>
  <c r="R287" i="4"/>
  <c r="T287" i="4" s="1"/>
  <c r="R270" i="4"/>
  <c r="R267" i="4"/>
  <c r="R241" i="4"/>
  <c r="T241" i="4" s="1"/>
  <c r="R227" i="4"/>
  <c r="T227" i="4" s="1"/>
  <c r="R171" i="4"/>
  <c r="R145" i="4"/>
  <c r="R142" i="4"/>
  <c r="R139" i="4"/>
  <c r="R128" i="4"/>
  <c r="T128" i="4" s="1"/>
  <c r="R120" i="4"/>
  <c r="T120" i="4" s="1"/>
  <c r="R97" i="4"/>
  <c r="R83" i="4"/>
  <c r="T83" i="4" s="1"/>
  <c r="R40" i="4"/>
  <c r="R29" i="4"/>
  <c r="R10" i="4"/>
  <c r="T10" i="4" s="1"/>
  <c r="R2" i="4"/>
  <c r="R355" i="4"/>
  <c r="R343" i="4"/>
  <c r="S343" i="4" s="1"/>
  <c r="R272" i="4"/>
  <c r="R353" i="4"/>
  <c r="R316" i="4"/>
  <c r="R298" i="4"/>
  <c r="T298" i="4" s="1"/>
  <c r="R295" i="4"/>
  <c r="T295" i="4" s="1"/>
  <c r="R239" i="4"/>
  <c r="T239" i="4" s="1"/>
  <c r="R236" i="4"/>
  <c r="T236" i="4" s="1"/>
  <c r="R216" i="4"/>
  <c r="T216" i="4" s="1"/>
  <c r="R167" i="4"/>
  <c r="R125" i="4"/>
  <c r="T125" i="4" s="1"/>
  <c r="R96" i="4"/>
  <c r="R93" i="4"/>
  <c r="R41" i="4"/>
  <c r="R38" i="4"/>
  <c r="R359" i="4"/>
  <c r="T359" i="4" s="1"/>
  <c r="R322" i="4"/>
  <c r="R312" i="4"/>
  <c r="R300" i="4"/>
  <c r="T300" i="4" s="1"/>
  <c r="R283" i="4"/>
  <c r="T283" i="4" s="1"/>
  <c r="R280" i="4"/>
  <c r="T280" i="4" s="1"/>
  <c r="R268" i="4"/>
  <c r="R265" i="4"/>
  <c r="R262" i="4"/>
  <c r="R250" i="4"/>
  <c r="R247" i="4"/>
  <c r="R244" i="4"/>
  <c r="R218" i="4"/>
  <c r="R187" i="4"/>
  <c r="T187" i="4" s="1"/>
  <c r="R178" i="4"/>
  <c r="T178" i="4" s="1"/>
  <c r="R157" i="4"/>
  <c r="R148" i="4"/>
  <c r="R130" i="4"/>
  <c r="T130" i="4" s="1"/>
  <c r="R107" i="4"/>
  <c r="R89" i="4"/>
  <c r="T89" i="4" s="1"/>
  <c r="R43" i="4"/>
  <c r="R4" i="4"/>
  <c r="S3" i="4"/>
  <c r="R9" i="4"/>
  <c r="T9" i="4" s="1"/>
  <c r="R12" i="4"/>
  <c r="R44" i="4"/>
  <c r="T90" i="4"/>
  <c r="R122" i="4"/>
  <c r="T122" i="4" s="1"/>
  <c r="R131" i="4"/>
  <c r="T131" i="4" s="1"/>
  <c r="R137" i="4"/>
  <c r="R140" i="4"/>
  <c r="R159" i="4"/>
  <c r="U162" i="4"/>
  <c r="R223" i="4"/>
  <c r="R251" i="4"/>
  <c r="R254" i="4"/>
  <c r="R257" i="4"/>
  <c r="R260" i="4"/>
  <c r="R291" i="4"/>
  <c r="T291" i="4" s="1"/>
  <c r="R303" i="4"/>
  <c r="R306" i="4"/>
  <c r="R360" i="4"/>
  <c r="T360" i="4" s="1"/>
  <c r="R423" i="4"/>
  <c r="T423" i="4" s="1"/>
  <c r="R483" i="4"/>
  <c r="T483" i="4" s="1"/>
  <c r="R528" i="4"/>
  <c r="T528" i="4" s="1"/>
  <c r="S103" i="4"/>
  <c r="T103" i="4"/>
  <c r="R6" i="4"/>
  <c r="R15" i="4"/>
  <c r="T15" i="4" s="1"/>
  <c r="R26" i="4"/>
  <c r="R32" i="4"/>
  <c r="R47" i="4"/>
  <c r="T47" i="4" s="1"/>
  <c r="R55" i="4"/>
  <c r="T55" i="4" s="1"/>
  <c r="R63" i="4"/>
  <c r="T63" i="4" s="1"/>
  <c r="R71" i="4"/>
  <c r="T71" i="4" s="1"/>
  <c r="R79" i="4"/>
  <c r="S79" i="4" s="1"/>
  <c r="R94" i="4"/>
  <c r="R119" i="4"/>
  <c r="R134" i="4"/>
  <c r="R185" i="4"/>
  <c r="R188" i="4"/>
  <c r="T188" i="4" s="1"/>
  <c r="R194" i="4"/>
  <c r="R197" i="4"/>
  <c r="T197" i="4" s="1"/>
  <c r="R200" i="4"/>
  <c r="T200" i="4" s="1"/>
  <c r="R211" i="4"/>
  <c r="T211" i="4" s="1"/>
  <c r="R245" i="4"/>
  <c r="R320" i="4"/>
  <c r="R357" i="4"/>
  <c r="T357" i="4" s="1"/>
  <c r="R376" i="4"/>
  <c r="T376" i="4" s="1"/>
  <c r="R379" i="4"/>
  <c r="T379" i="4" s="1"/>
  <c r="R392" i="4"/>
  <c r="T392" i="4" s="1"/>
  <c r="R420" i="4"/>
  <c r="T420" i="4" s="1"/>
  <c r="R530" i="4"/>
  <c r="T530" i="4" s="1"/>
  <c r="R482" i="4"/>
  <c r="T482" i="4" s="1"/>
  <c r="R466" i="4"/>
  <c r="T466" i="4" s="1"/>
  <c r="R458" i="4"/>
  <c r="T458" i="4" s="1"/>
  <c r="R426" i="4"/>
  <c r="T426" i="4" s="1"/>
  <c r="R418" i="4"/>
  <c r="T418" i="4" s="1"/>
  <c r="R410" i="4"/>
  <c r="T410" i="4" s="1"/>
  <c r="R527" i="4"/>
  <c r="T527" i="4" s="1"/>
  <c r="R463" i="4"/>
  <c r="T463" i="4" s="1"/>
  <c r="R413" i="4"/>
  <c r="T413" i="4" s="1"/>
  <c r="R407" i="4"/>
  <c r="T407" i="4" s="1"/>
  <c r="R460" i="4"/>
  <c r="T460" i="4" s="1"/>
  <c r="R457" i="4"/>
  <c r="T457" i="4" s="1"/>
  <c r="R462" i="4"/>
  <c r="T462" i="4" s="1"/>
  <c r="R459" i="4"/>
  <c r="T459" i="4" s="1"/>
  <c r="R456" i="4"/>
  <c r="T456" i="4" s="1"/>
  <c r="R526" i="4"/>
  <c r="T526" i="4" s="1"/>
  <c r="R468" i="4"/>
  <c r="T468" i="4" s="1"/>
  <c r="R465" i="4"/>
  <c r="T465" i="4" s="1"/>
  <c r="R419" i="4"/>
  <c r="T419" i="4" s="1"/>
  <c r="R480" i="4"/>
  <c r="T480" i="4" s="1"/>
  <c r="R50" i="4"/>
  <c r="T50" i="4" s="1"/>
  <c r="R58" i="4"/>
  <c r="T58" i="4" s="1"/>
  <c r="R66" i="4"/>
  <c r="T66" i="4" s="1"/>
  <c r="R74" i="4"/>
  <c r="T74" i="4" s="1"/>
  <c r="R85" i="4"/>
  <c r="T85" i="4" s="1"/>
  <c r="R101" i="4"/>
  <c r="R110" i="4"/>
  <c r="R153" i="4"/>
  <c r="R163" i="4"/>
  <c r="R170" i="4"/>
  <c r="R203" i="4"/>
  <c r="R317" i="4"/>
  <c r="R330" i="4"/>
  <c r="R464" i="4"/>
  <c r="T464" i="4" s="1"/>
  <c r="R399" i="4"/>
  <c r="T399" i="4" s="1"/>
  <c r="R453" i="4"/>
  <c r="T453" i="4" s="1"/>
  <c r="R447" i="4"/>
  <c r="T447" i="4" s="1"/>
  <c r="S245" i="4" l="1"/>
  <c r="U245" i="4"/>
  <c r="T245" i="4"/>
  <c r="S26" i="4"/>
  <c r="U26" i="4"/>
  <c r="T26" i="4"/>
  <c r="S223" i="4"/>
  <c r="T223" i="4"/>
  <c r="U223" i="4"/>
  <c r="U322" i="4"/>
  <c r="S322" i="4"/>
  <c r="T322" i="4"/>
  <c r="T267" i="4"/>
  <c r="S267" i="4"/>
  <c r="U267" i="4"/>
  <c r="U308" i="4"/>
  <c r="T308" i="4"/>
  <c r="S308" i="4"/>
  <c r="U331" i="4"/>
  <c r="T331" i="4"/>
  <c r="S331" i="4"/>
  <c r="U148" i="4"/>
  <c r="S148" i="4"/>
  <c r="T148" i="4"/>
  <c r="U355" i="4"/>
  <c r="T355" i="4"/>
  <c r="S355" i="4"/>
  <c r="S270" i="4"/>
  <c r="U270" i="4"/>
  <c r="T270" i="4"/>
  <c r="S263" i="4"/>
  <c r="U263" i="4"/>
  <c r="T263" i="4"/>
  <c r="S305" i="4"/>
  <c r="U305" i="4"/>
  <c r="T305" i="4"/>
  <c r="S318" i="4"/>
  <c r="U318" i="4"/>
  <c r="T318" i="4"/>
  <c r="U6" i="4"/>
  <c r="S6" i="4"/>
  <c r="T6" i="4"/>
  <c r="S159" i="4"/>
  <c r="U159" i="4"/>
  <c r="T159" i="4"/>
  <c r="U157" i="4"/>
  <c r="T157" i="4"/>
  <c r="S157" i="4"/>
  <c r="T38" i="4"/>
  <c r="U38" i="4"/>
  <c r="S38" i="4"/>
  <c r="T2" i="4"/>
  <c r="S2" i="4"/>
  <c r="U2" i="4"/>
  <c r="T346" i="4"/>
  <c r="U346" i="4"/>
  <c r="S346" i="4"/>
  <c r="U232" i="4"/>
  <c r="T232" i="4"/>
  <c r="S232" i="4"/>
  <c r="T194" i="4"/>
  <c r="U194" i="4"/>
  <c r="S194" i="4"/>
  <c r="U137" i="4"/>
  <c r="S137" i="4"/>
  <c r="T137" i="4"/>
  <c r="U93" i="4"/>
  <c r="T93" i="4"/>
  <c r="S93" i="4"/>
  <c r="U29" i="4"/>
  <c r="S29" i="4"/>
  <c r="T29" i="4"/>
  <c r="T248" i="4"/>
  <c r="S248" i="4"/>
  <c r="U248" i="4"/>
  <c r="T208" i="4"/>
  <c r="S208" i="4"/>
  <c r="U208" i="4"/>
  <c r="T256" i="4"/>
  <c r="U256" i="4"/>
  <c r="S256" i="4"/>
  <c r="U218" i="4"/>
  <c r="S218" i="4"/>
  <c r="T218" i="4"/>
  <c r="T96" i="4"/>
  <c r="U96" i="4"/>
  <c r="S96" i="4"/>
  <c r="T40" i="4"/>
  <c r="S40" i="4"/>
  <c r="U40" i="4"/>
  <c r="U259" i="4"/>
  <c r="S259" i="4"/>
  <c r="T259" i="4"/>
  <c r="T169" i="4"/>
  <c r="U169" i="4"/>
  <c r="S169" i="4"/>
  <c r="U253" i="4"/>
  <c r="T253" i="4"/>
  <c r="S253" i="4"/>
  <c r="U164" i="4"/>
  <c r="T164" i="4"/>
  <c r="S164" i="4"/>
  <c r="S185" i="4"/>
  <c r="U185" i="4"/>
  <c r="T185" i="4"/>
  <c r="U244" i="4"/>
  <c r="S244" i="4"/>
  <c r="T244" i="4"/>
  <c r="S273" i="4"/>
  <c r="U273" i="4"/>
  <c r="T273" i="4"/>
  <c r="U217" i="4"/>
  <c r="T217" i="4"/>
  <c r="S217" i="4"/>
  <c r="U154" i="4"/>
  <c r="T154" i="4"/>
  <c r="S154" i="4"/>
  <c r="U140" i="4"/>
  <c r="S140" i="4"/>
  <c r="T140" i="4"/>
  <c r="T41" i="4"/>
  <c r="S41" i="4"/>
  <c r="U41" i="4"/>
  <c r="S344" i="4"/>
  <c r="U344" i="4"/>
  <c r="T344" i="4"/>
  <c r="T354" i="4"/>
  <c r="U354" i="4"/>
  <c r="S354" i="4"/>
  <c r="T229" i="4"/>
  <c r="S229" i="4"/>
  <c r="U229" i="4"/>
  <c r="U266" i="4"/>
  <c r="T266" i="4"/>
  <c r="S266" i="4"/>
  <c r="T134" i="4"/>
  <c r="S134" i="4"/>
  <c r="U134" i="4"/>
  <c r="S247" i="4"/>
  <c r="U247" i="4"/>
  <c r="T247" i="4"/>
  <c r="S167" i="4"/>
  <c r="U167" i="4"/>
  <c r="T167" i="4"/>
  <c r="U97" i="4"/>
  <c r="T97" i="4"/>
  <c r="S97" i="4"/>
  <c r="U92" i="4"/>
  <c r="S92" i="4"/>
  <c r="T92" i="4"/>
  <c r="S143" i="4"/>
  <c r="U143" i="4"/>
  <c r="T143" i="4"/>
  <c r="S151" i="4"/>
  <c r="U151" i="4"/>
  <c r="T151" i="4"/>
  <c r="S330" i="4"/>
  <c r="U330" i="4"/>
  <c r="T330" i="4"/>
  <c r="S119" i="4"/>
  <c r="U119" i="4"/>
  <c r="T119" i="4"/>
  <c r="U44" i="4"/>
  <c r="S44" i="4"/>
  <c r="T44" i="4"/>
  <c r="S250" i="4"/>
  <c r="U250" i="4"/>
  <c r="T250" i="4"/>
  <c r="U100" i="4"/>
  <c r="T100" i="4"/>
  <c r="S100" i="4"/>
  <c r="S111" i="4"/>
  <c r="U111" i="4"/>
  <c r="T111" i="4"/>
  <c r="S317" i="4"/>
  <c r="U317" i="4"/>
  <c r="T317" i="4"/>
  <c r="S94" i="4"/>
  <c r="U94" i="4"/>
  <c r="T94" i="4"/>
  <c r="U306" i="4"/>
  <c r="S306" i="4"/>
  <c r="T306" i="4"/>
  <c r="U12" i="4"/>
  <c r="T12" i="4"/>
  <c r="S12" i="4"/>
  <c r="T262" i="4"/>
  <c r="S262" i="4"/>
  <c r="U262" i="4"/>
  <c r="S117" i="4"/>
  <c r="U117" i="4"/>
  <c r="T117" i="4"/>
  <c r="U108" i="4"/>
  <c r="T108" i="4"/>
  <c r="S108" i="4"/>
  <c r="S203" i="4"/>
  <c r="U203" i="4"/>
  <c r="T203" i="4"/>
  <c r="S303" i="4"/>
  <c r="T303" i="4"/>
  <c r="U303" i="4"/>
  <c r="U265" i="4"/>
  <c r="T265" i="4"/>
  <c r="S265" i="4"/>
  <c r="U139" i="4"/>
  <c r="S139" i="4"/>
  <c r="T139" i="4"/>
  <c r="T136" i="4"/>
  <c r="U136" i="4"/>
  <c r="S136" i="4"/>
  <c r="S319" i="4"/>
  <c r="U319" i="4"/>
  <c r="T319" i="4"/>
  <c r="S170" i="4"/>
  <c r="U170" i="4"/>
  <c r="T170" i="4"/>
  <c r="U268" i="4"/>
  <c r="S268" i="4"/>
  <c r="T268" i="4"/>
  <c r="T142" i="4"/>
  <c r="S142" i="4"/>
  <c r="U142" i="4"/>
  <c r="S147" i="4"/>
  <c r="U147" i="4"/>
  <c r="T147" i="4"/>
  <c r="U326" i="4"/>
  <c r="T326" i="4"/>
  <c r="S326" i="4"/>
  <c r="S158" i="4"/>
  <c r="U158" i="4"/>
  <c r="T158" i="4"/>
  <c r="U102" i="4"/>
  <c r="T102" i="4"/>
  <c r="S102" i="4"/>
  <c r="S163" i="4"/>
  <c r="U163" i="4"/>
  <c r="T163" i="4"/>
  <c r="U260" i="4"/>
  <c r="S260" i="4"/>
  <c r="T260" i="4"/>
  <c r="U4" i="4"/>
  <c r="T4" i="4"/>
  <c r="S4" i="4"/>
  <c r="S145" i="4"/>
  <c r="U145" i="4"/>
  <c r="T145" i="4"/>
  <c r="U161" i="4"/>
  <c r="T161" i="4"/>
  <c r="S161" i="4"/>
  <c r="U323" i="4"/>
  <c r="T323" i="4"/>
  <c r="S323" i="4"/>
  <c r="U153" i="4"/>
  <c r="S153" i="4"/>
  <c r="T153" i="4"/>
  <c r="U257" i="4"/>
  <c r="S257" i="4"/>
  <c r="T257" i="4"/>
  <c r="S43" i="4"/>
  <c r="U43" i="4"/>
  <c r="T43" i="4"/>
  <c r="U316" i="4"/>
  <c r="S316" i="4"/>
  <c r="T316" i="4"/>
  <c r="U171" i="4"/>
  <c r="S171" i="4"/>
  <c r="T171" i="4"/>
  <c r="U309" i="4"/>
  <c r="T309" i="4"/>
  <c r="S309" i="4"/>
  <c r="U118" i="4"/>
  <c r="T118" i="4"/>
  <c r="S118" i="4"/>
  <c r="U110" i="4"/>
  <c r="T110" i="4"/>
  <c r="S110" i="4"/>
  <c r="U254" i="4"/>
  <c r="S254" i="4"/>
  <c r="T254" i="4"/>
  <c r="S353" i="4"/>
  <c r="U353" i="4"/>
  <c r="T353" i="4"/>
  <c r="U180" i="4"/>
  <c r="T180" i="4"/>
  <c r="S180" i="4"/>
  <c r="U332" i="4"/>
  <c r="T332" i="4"/>
  <c r="S332" i="4"/>
  <c r="S101" i="4"/>
  <c r="U101" i="4"/>
  <c r="T101" i="4"/>
  <c r="S320" i="4"/>
  <c r="U320" i="4"/>
  <c r="T320" i="4"/>
  <c r="U32" i="4"/>
  <c r="T32" i="4"/>
  <c r="S32" i="4"/>
  <c r="U251" i="4"/>
  <c r="S251" i="4"/>
  <c r="T251" i="4"/>
  <c r="S107" i="4"/>
  <c r="U107" i="4"/>
  <c r="T107" i="4"/>
  <c r="T312" i="4"/>
  <c r="U312" i="4"/>
  <c r="S312" i="4"/>
  <c r="S272" i="4"/>
  <c r="U272" i="4"/>
  <c r="T272" i="4"/>
  <c r="H5" i="5" l="1" a="1"/>
  <c r="H5" i="5" s="1"/>
  <c r="H13" i="5" a="1"/>
  <c r="H13" i="5" s="1"/>
  <c r="H8" i="5" a="1"/>
  <c r="H8" i="5" s="1"/>
  <c r="H7" i="5" a="1"/>
  <c r="H7" i="5" s="1"/>
  <c r="H9" i="5" a="1"/>
  <c r="H9" i="5" s="1"/>
  <c r="H6" i="5" a="1"/>
  <c r="H6" i="5" s="1"/>
  <c r="H10" i="5" a="1"/>
  <c r="H10" i="5" s="1"/>
  <c r="H12" i="5" a="1"/>
  <c r="H12" i="5" s="1"/>
  <c r="H11" i="5" a="1"/>
  <c r="H11" i="5" s="1"/>
  <c r="D14" i="6"/>
  <c r="C14" i="6"/>
  <c r="B14" i="6"/>
  <c r="D13" i="6"/>
  <c r="C13" i="6"/>
  <c r="B13" i="6"/>
  <c r="D12" i="6"/>
  <c r="C12" i="6"/>
  <c r="B12" i="6"/>
  <c r="D11" i="6"/>
  <c r="C11" i="6"/>
  <c r="B11" i="6"/>
  <c r="C9" i="6"/>
  <c r="B9" i="6"/>
  <c r="D8" i="6"/>
  <c r="C8" i="6"/>
  <c r="B8" i="6"/>
  <c r="E8" i="6" s="1"/>
  <c r="D7" i="6"/>
  <c r="C7" i="6"/>
  <c r="B7" i="6"/>
  <c r="D6" i="6"/>
  <c r="C6" i="6"/>
  <c r="B6" i="6"/>
  <c r="E6" i="6" s="1"/>
  <c r="D5" i="6"/>
  <c r="D10" i="6"/>
  <c r="C10" i="6"/>
  <c r="B5" i="6"/>
  <c r="B10" i="6"/>
  <c r="D9" i="6"/>
  <c r="C5" i="6"/>
  <c r="C9" i="5"/>
  <c r="D5" i="5"/>
  <c r="C5" i="5"/>
  <c r="D6" i="5"/>
  <c r="J7" i="5"/>
  <c r="C7" i="5"/>
  <c r="K6" i="5"/>
  <c r="C6" i="5"/>
  <c r="C12" i="5"/>
  <c r="K10" i="5"/>
  <c r="J8" i="5"/>
  <c r="J10" i="5"/>
  <c r="D7" i="5"/>
  <c r="K9" i="5"/>
  <c r="J9" i="5"/>
  <c r="D8" i="5"/>
  <c r="C8" i="5"/>
  <c r="D13" i="5"/>
  <c r="C13" i="5"/>
  <c r="J6" i="5"/>
  <c r="D9" i="5"/>
  <c r="K5" i="5"/>
  <c r="K11" i="5"/>
  <c r="J5" i="5"/>
  <c r="J11" i="5"/>
  <c r="J12" i="5"/>
  <c r="D10" i="5"/>
  <c r="D12" i="5"/>
  <c r="K12" i="5"/>
  <c r="D11" i="5"/>
  <c r="K13" i="5"/>
  <c r="J13" i="5"/>
  <c r="C10" i="5"/>
  <c r="K8" i="5"/>
  <c r="K7" i="5"/>
  <c r="C11" i="5"/>
  <c r="I7" i="5" a="1"/>
  <c r="I7" i="5" s="1"/>
  <c r="I8" i="5" a="1"/>
  <c r="I8" i="5" s="1"/>
  <c r="I11" i="5" a="1"/>
  <c r="I11" i="5" s="1"/>
  <c r="I10" i="5" a="1"/>
  <c r="I10" i="5" s="1"/>
  <c r="I6" i="5" a="1"/>
  <c r="I6" i="5" s="1"/>
  <c r="I13" i="5" a="1"/>
  <c r="I13" i="5" s="1"/>
  <c r="I9" i="5" a="1"/>
  <c r="I9" i="5" s="1"/>
  <c r="I5" i="5" a="1"/>
  <c r="I5" i="5" s="1"/>
  <c r="I12" i="5" a="1"/>
  <c r="I12" i="5" s="1"/>
  <c r="L8" i="5" l="1" a="1"/>
  <c r="L8" i="5" s="1"/>
  <c r="N8" i="5" a="1"/>
  <c r="N8" i="5" s="1"/>
  <c r="M8" i="5" a="1"/>
  <c r="M8" i="5" s="1"/>
  <c r="L12" i="5" a="1"/>
  <c r="L12" i="5" s="1"/>
  <c r="N12" i="5" a="1"/>
  <c r="N12" i="5" s="1"/>
  <c r="M12" i="5" a="1"/>
  <c r="M12" i="5" s="1"/>
  <c r="N11" i="5" a="1"/>
  <c r="N11" i="5" s="1"/>
  <c r="L11" i="5" a="1"/>
  <c r="L11" i="5" s="1"/>
  <c r="M11" i="5" a="1"/>
  <c r="M11" i="5" s="1"/>
  <c r="G12" i="5" a="1"/>
  <c r="G12" i="5" s="1"/>
  <c r="E12" i="5" a="1"/>
  <c r="E12" i="5" s="1"/>
  <c r="F12" i="5" a="1"/>
  <c r="F12" i="5" s="1"/>
  <c r="M5" i="5" a="1"/>
  <c r="M5" i="5" s="1"/>
  <c r="N5" i="5" a="1"/>
  <c r="N5" i="5" s="1"/>
  <c r="L5" i="5" a="1"/>
  <c r="L5" i="5" s="1"/>
  <c r="G6" i="5" a="1"/>
  <c r="G6" i="5" s="1"/>
  <c r="E6" i="5" a="1"/>
  <c r="E6" i="5" s="1"/>
  <c r="F6" i="5" a="1"/>
  <c r="F6" i="5" s="1"/>
  <c r="E13" i="6"/>
  <c r="E7" i="5" a="1"/>
  <c r="E7" i="5" s="1"/>
  <c r="G7" i="5" a="1"/>
  <c r="G7" i="5" s="1"/>
  <c r="F7" i="5" a="1"/>
  <c r="F7" i="5" s="1"/>
  <c r="E7" i="6"/>
  <c r="N7" i="5" a="1"/>
  <c r="N7" i="5" s="1"/>
  <c r="L7" i="5" a="1"/>
  <c r="L7" i="5" s="1"/>
  <c r="M7" i="5" a="1"/>
  <c r="M7" i="5" s="1"/>
  <c r="E14" i="6"/>
  <c r="E11" i="5" a="1"/>
  <c r="E11" i="5" s="1"/>
  <c r="G11" i="5" a="1"/>
  <c r="G11" i="5" s="1"/>
  <c r="F11" i="5" a="1"/>
  <c r="F11" i="5" s="1"/>
  <c r="N6" i="5" a="1"/>
  <c r="N6" i="5" s="1"/>
  <c r="M6" i="5" a="1"/>
  <c r="M6" i="5" s="1"/>
  <c r="L6" i="5" a="1"/>
  <c r="L6" i="5" s="1"/>
  <c r="N13" i="5" a="1"/>
  <c r="N13" i="5" s="1"/>
  <c r="L13" i="5" a="1"/>
  <c r="L13" i="5" s="1"/>
  <c r="M13" i="5" a="1"/>
  <c r="M13" i="5" s="1"/>
  <c r="G13" i="5" a="1"/>
  <c r="G13" i="5" s="1"/>
  <c r="E13" i="5" a="1"/>
  <c r="E13" i="5" s="1"/>
  <c r="F13" i="5" a="1"/>
  <c r="F13" i="5" s="1"/>
  <c r="E5" i="5" a="1"/>
  <c r="E5" i="5" s="1"/>
  <c r="G5" i="5" a="1"/>
  <c r="G5" i="5" s="1"/>
  <c r="F5" i="5" a="1"/>
  <c r="F5" i="5" s="1"/>
  <c r="G10" i="5" a="1"/>
  <c r="G10" i="5" s="1"/>
  <c r="E10" i="5" a="1"/>
  <c r="E10" i="5" s="1"/>
  <c r="F10" i="5" a="1"/>
  <c r="F10" i="5" s="1"/>
  <c r="E8" i="5" a="1"/>
  <c r="E8" i="5" s="1"/>
  <c r="G8" i="5" a="1"/>
  <c r="G8" i="5" s="1"/>
  <c r="F8" i="5" a="1"/>
  <c r="F8" i="5" s="1"/>
  <c r="G9" i="5" a="1"/>
  <c r="G9" i="5" s="1"/>
  <c r="F9" i="5" a="1"/>
  <c r="F9" i="5" s="1"/>
  <c r="E9" i="5" a="1"/>
  <c r="E9" i="5" s="1"/>
  <c r="E9" i="6"/>
  <c r="L9" i="5" a="1"/>
  <c r="L9" i="5" s="1"/>
  <c r="M9" i="5" a="1"/>
  <c r="M9" i="5" s="1"/>
  <c r="N9" i="5" a="1"/>
  <c r="N9" i="5" s="1"/>
  <c r="E10" i="6"/>
  <c r="E11" i="6"/>
  <c r="E5" i="6"/>
  <c r="N10" i="5" a="1"/>
  <c r="N10" i="5" s="1"/>
  <c r="M10" i="5" a="1"/>
  <c r="M10" i="5" s="1"/>
  <c r="L10" i="5" a="1"/>
  <c r="L10" i="5" s="1"/>
  <c r="E12" i="6"/>
</calcChain>
</file>

<file path=xl/sharedStrings.xml><?xml version="1.0" encoding="utf-8"?>
<sst xmlns="http://schemas.openxmlformats.org/spreadsheetml/2006/main" count="8543" uniqueCount="969">
  <si>
    <t>Classeur maître « Électrolyseurs » : CAPEX, rendement et paramètres (alcalin / PEM / SOEC)</t>
  </si>
  <si>
    <t>Onglets</t>
  </si>
  <si>
    <t>• Hypothèses : taux de change, inflation, définition de l'horizon « actuel ». Cellules bleues sur fond jaune = à modifier ; tout se recalcule.</t>
  </si>
  <si>
    <t>• Données : une ligne par valeur (table à charger dans Power BI). Colonnes Facteur, Min/Typique/Max normalisés et Horizon = formules.</t>
  </si>
  <si>
    <t>• Sources : une ligne par base et par étude/source (auteur, titre, année, DOI ou lien, licence, date de consultation).</t>
  </si>
  <si>
    <t>• Synthèse : CAPEX et rendement par technologie et horizon (actuel, 2030, 2050) : min, médiane, max, nombre de valeurs et de sources. Formules MEDIAN / MIN / MAX / SUMPRODUCT, mises à jour dès qu'on ajoute des lignes dans Données.</t>
  </si>
  <si>
    <t>• Déploiement : capacités IEA par année, statut et technologie (alcalin, PEM), à charger en table séparée dans Power BI.</t>
  </si>
  <si>
    <t>• Lacunes : nombre de sources par paramètre et par technologie (objectif : au moins 2).</t>
  </si>
  <si>
    <t>• Interface : tableau d'interface du bloc électrolyseur (entrées, sorties, paramètres) pour Capella et le modèle Python.</t>
  </si>
  <si>
    <t>Contenu importé</t>
  </si>
  <si>
    <t>• Ghadim et al. 2025 (CAPEX et LCOH, alcalin et PEM, USD 2024) : valeurs observées et projections, min / moyenne / max par étude et par année.</t>
  </si>
  <si>
    <t>• Delft (CAPEX_DATA, onglet CAPEX) : CAPEX alcalin et PEM 2003-2023 en EUR/kW.</t>
  </si>
  <si>
    <t>• Potsdam (Electrolyser Data Complete, Efuels JE FU) : 72 lignes de scénarios, CAPEX et rendement.</t>
  </si>
  <si>
    <t>• Muñoz-Peña et al. 2024 (micro-réseau) : paramètres de l'électrolyseur PEM (OPEX, remplacement, durée de vie, rendement, charge minimale), eau stœchiométrique, compresseur. Hypothèses d'un cas d'étude, statut « à vérifier ».</t>
  </si>
  <si>
    <t>À savoir</t>
  </si>
  <si>
    <t>• Potsdam : CAPEX (EUR/kW, converti en USD 2024 selon l'année de référence des EUR) et rendement, pour alcalin, PEM et SOEC. Rendements HHV (PCS) classés à part (« Rendement (PCS) ») et exclus de la synthèse PCI. Lignes Secondary_Source exclues de la synthèse par défaut (interrupteur dans Hypothèses). Les scénarios 2017-2019 de la tranche « 2020 » sont comptés « actuel » (colonne Horizon imposé).</t>
  </si>
  <si>
    <t>• Le déploiement IEA est dans l'onglet Déploiement (table séparée : ce sont des capacités, pas des coûts). Les capacités du fichier reçu sont corrompues (virgule décimale perdue) : une colonne « reconstruite » est fournie, à contrôler avec le fichier d'origine. Unité à confirmer.</t>
  </si>
  <si>
    <t>Règles de lecture</t>
  </si>
  <si>
    <t>• Statut : « à vérifier » tant que la source primaire n'a pas été consultée. Aucune ligne n'est encore « vérifiée ».</t>
  </si>
  <si>
    <t>• Rendement : base PCI partout (Potsdam = Efficiency_LHV). Ne pas mélanger avec des valeurs PCS.</t>
  </si>
  <si>
    <t>• Horizon : « actuel » = années de la plage définie dans Hypothèses (2020-2025 par défaut) ; « 2030 » et « 2050 » = ces années exactes ; le reste = « autre ».</t>
  </si>
  <si>
    <t>• Les valeurs de Ghadim, Delft et Muñoz-Peña ne sont pas indépendantes (Delft et Muñoz-Peña reprennent d'autres travaux). Le « nombre de sources » compte des sources distinctes citées, pas des mesures indépendantes.</t>
  </si>
  <si>
    <t>• Données observées et projections sont mélangées pour un même horizon : filtrer sur la colonne Type si besoin.</t>
  </si>
  <si>
    <t>Hypothèses de conversion et d'horizon</t>
  </si>
  <si>
    <t>Cellules bleues sur fond jaune = modifiables. Unité cible du CAPEX : USD 2024 par kW.</t>
  </si>
  <si>
    <t>Paramètre</t>
  </si>
  <si>
    <t>Valeur</t>
  </si>
  <si>
    <t>Source / commentaire</t>
  </si>
  <si>
    <t>Année</t>
  </si>
  <si>
    <t>Coef. USD→USD 2024</t>
  </si>
  <si>
    <t>Taux EUR → USD (2024)</t>
  </si>
  <si>
    <t>Ghadim et al. 2025, onglet « Conversion rates » : 1 EUR = 1,082 USD en 2024</t>
  </si>
  <si>
    <t>Année de référence des EUR de Delft</t>
  </si>
  <si>
    <t>Hypothèse : les valeurs 2019-2023 de Delft sont ajustées de l'inflation vers ≈2018 ; avant 2019 ce sont des EUR de l'année. À vérifier auprès de Glenk &amp; Reichelstein / Delft.</t>
  </si>
  <si>
    <t>Coefficient d'inflation USD vers USD 2024 (année de réf. Delft)</t>
  </si>
  <si>
    <t>Lu dans le tableau ci-dessous (Ghadim, « Conversion rates »). Approximation : on applique l'inflation USD aux EUR de Delft.</t>
  </si>
  <si>
    <t>Facteur Delft : EUR → USD 2024</t>
  </si>
  <si>
    <t>Taux EUR/USD × coefficient d'inflation (calculé)</t>
  </si>
  <si>
    <t>Début de la plage « actuel »</t>
  </si>
  <si>
    <t>Choix de l'utilisateur : horizon « actuel » = valeurs datées de cette année à la suivante</t>
  </si>
  <si>
    <t>Fin de la plage « actuel »</t>
  </si>
  <si>
    <t>idem</t>
  </si>
  <si>
    <t>Année de réf. des EUR du micro-réseau</t>
  </si>
  <si>
    <t>Muñoz-Peña : « EUR courants 2024 » (facteur d'inflation = 1)</t>
  </si>
  <si>
    <t>Exclure les lignes Secondary_Source de Potsdam (1 = oui, 0 = non)</t>
  </si>
  <si>
    <t>Potsdam recommande de privilégier Original_Review_Multiple_Sources et Original_Analysis_w_Industry_Sources</t>
  </si>
  <si>
    <t>Clé de conversion</t>
  </si>
  <si>
    <t>Facteur vers USD 2024</t>
  </si>
  <si>
    <t>Usage</t>
  </si>
  <si>
    <t>USD2024</t>
  </si>
  <si>
    <t>Ghadim (déjà en USD 2024)</t>
  </si>
  <si>
    <t>EUR_DELFT</t>
  </si>
  <si>
    <t>Delft (EUR de réf. ≈2018)</t>
  </si>
  <si>
    <t>EUR2024</t>
  </si>
  <si>
    <t>Micro-réseau (EUR courants 2024)</t>
  </si>
  <si>
    <t>aucune</t>
  </si>
  <si>
    <t>Paramètres non monétaires</t>
  </si>
  <si>
    <t>EUR_2015</t>
  </si>
  <si>
    <t>Potsdam : EUR de 2015 vers USD 2024 (taux 2024 × inflation USD 2015→2024)</t>
  </si>
  <si>
    <t>EUR_2016</t>
  </si>
  <si>
    <t>Potsdam : EUR de 2016 vers USD 2024 (taux 2024 × inflation USD 2016→2024)</t>
  </si>
  <si>
    <t>EUR_2017</t>
  </si>
  <si>
    <t>Potsdam : EUR de 2017 vers USD 2024 (taux 2024 × inflation USD 2017→2024)</t>
  </si>
  <si>
    <t>EUR_2018</t>
  </si>
  <si>
    <t>Potsdam : EUR de 2018 vers USD 2024 (taux 2024 × inflation USD 2018→2024)</t>
  </si>
  <si>
    <t>EUR_2019</t>
  </si>
  <si>
    <t>Potsdam : EUR de 2019 vers USD 2024 (taux 2024 × inflation USD 2019→2024)</t>
  </si>
  <si>
    <t>Remarque : l'inflation EUR 2018→2024 est probablement différente de l'inflation USD ; la conversion Delft est donc une approximation, à documenter dans la réunion.</t>
  </si>
  <si>
    <t>Source</t>
  </si>
  <si>
    <t>Base</t>
  </si>
  <si>
    <t>Auteur(s)</t>
  </si>
  <si>
    <t>Titre</t>
  </si>
  <si>
    <t>DOI ou lien</t>
  </si>
  <si>
    <t>Licence</t>
  </si>
  <si>
    <t>Date de consultation</t>
  </si>
  <si>
    <t>Statut</t>
  </si>
  <si>
    <t>Remarque</t>
  </si>
  <si>
    <t>Actual CAPEX</t>
  </si>
  <si>
    <t>Ghadim</t>
  </si>
  <si>
    <t>Actual CAPEX (étude compilée par Ghadim et al.)</t>
  </si>
  <si>
    <t>Voir Supplementary Table 1 de Ghadim et al. 2025</t>
  </si>
  <si>
    <t>10.1038/s41597-025-05951-4 (article) ; 10.5281/zenodo.16417026 (jeu de données) ; étude d'origine à retrouver</t>
  </si>
  <si>
    <t>CC BY 4.0 (base Ghadim)</t>
  </si>
  <si>
    <t>2026-10-19</t>
  </si>
  <si>
    <t>à vérifier</t>
  </si>
  <si>
    <t>Étude primaire non consultée</t>
  </si>
  <si>
    <t>Actual LCOH</t>
  </si>
  <si>
    <t>Actual LCOH (étude compilée par Ghadim et al.)</t>
  </si>
  <si>
    <t>BNEF 2020 (China)</t>
  </si>
  <si>
    <t>BNEF 2020 (China) (étude compilée par Ghadim et al.)</t>
  </si>
  <si>
    <t>BNEF 2020 (World)</t>
  </si>
  <si>
    <t>BNEF 2020 (World) (étude compilée par Ghadim et al.)</t>
  </si>
  <si>
    <t>Brandle et al. 2021 (World)</t>
  </si>
  <si>
    <t>Brandle et al. 2021 (World) (étude compilée par Ghadim et al.)</t>
  </si>
  <si>
    <t>DEA 2025 (Denmark) - 10 MW</t>
  </si>
  <si>
    <t>DEA 2025 (Denmark) - 10 MW (étude compilée par Ghadim et al.)</t>
  </si>
  <si>
    <t>DEA 2025 (Denmark) - 100 MW</t>
  </si>
  <si>
    <t>DEA 2025 (Denmark) - 100 MW (étude compilée par Ghadim et al.)</t>
  </si>
  <si>
    <t>DEA 2025 (Denmark) - 1000 MW</t>
  </si>
  <si>
    <t>DEA 2025 (Denmark) - 1000 MW (étude compilée par Ghadim et al.)</t>
  </si>
  <si>
    <t>DNV 2022 (World)</t>
  </si>
  <si>
    <t>DNV 2022 (World) (étude compilée par Ghadim et al.)</t>
  </si>
  <si>
    <t>ETC 2019 (China)</t>
  </si>
  <si>
    <t>ETC 2019 (China) (étude compilée par Ghadim et al.)</t>
  </si>
  <si>
    <t>Gallardo et al. 2021 (Chile)</t>
  </si>
  <si>
    <t>Gallardo et al. 2021 (Chile) (étude compilée par Ghadim et al.)</t>
  </si>
  <si>
    <t>Gandhi et al 2022 (UAE)</t>
  </si>
  <si>
    <t>Gandhi et al 2022 (UAE) (étude compilée par Ghadim et al.)</t>
  </si>
  <si>
    <t>George et al. 2022 (Germany)</t>
  </si>
  <si>
    <t>George et al. 2022 (Germany) (étude compilée par Ghadim et al.)</t>
  </si>
  <si>
    <t>Gilmore et al 2021 (Australia)</t>
  </si>
  <si>
    <t>Gilmore et al 2021 (Australia) (étude compilée par Ghadim et al.)</t>
  </si>
  <si>
    <t>Graham et al. 2021 (Australia)</t>
  </si>
  <si>
    <t>Graham et al. 2021 (Australia) (étude compilée par Ghadim et al.)</t>
  </si>
  <si>
    <t>Hall et al. 2020 (India)</t>
  </si>
  <si>
    <t>Hall et al. 2020 (India) (étude compilée par Ghadim et al.)</t>
  </si>
  <si>
    <t>IEA 2019 (World)</t>
  </si>
  <si>
    <t>IEA 2019 (World) (étude compilée par Ghadim et al.)</t>
  </si>
  <si>
    <t>IEA 2021 - H2 (Latin America)</t>
  </si>
  <si>
    <t>IEA 2021 - H2 (Latin America) (étude compilée par Ghadim et al.)</t>
  </si>
  <si>
    <t>IEA 2022 - H2 (World)</t>
  </si>
  <si>
    <t>IEA 2022 - H2 (World) (étude compilée par Ghadim et al.)</t>
  </si>
  <si>
    <t>IRENA 2020 (World)</t>
  </si>
  <si>
    <t>IRENA 2020 (World) (étude compilée par Ghadim et al.)</t>
  </si>
  <si>
    <t>Janssen et al. 2022 (Denmark)</t>
  </si>
  <si>
    <t>Janssen et al. 2022 (Denmark) (étude compilée par Ghadim et al.)</t>
  </si>
  <si>
    <t>Janssen et al. 2022 (Denmark, Portugal, Netherlands)</t>
  </si>
  <si>
    <t>Janssen et al. 2022 (Denmark, Portugal, Netherlands) (étude compilée par Ghadim et al.)</t>
  </si>
  <si>
    <t>Janssen et al. 2022 (Netherlands)</t>
  </si>
  <si>
    <t>Janssen et al. 2022 (Netherlands) (étude compilée par Ghadim et al.)</t>
  </si>
  <si>
    <t>Janssen et al. 2022 (Portugal)</t>
  </si>
  <si>
    <t>Janssen et al. 2022 (Portugal) (étude compilée par Ghadim et al.)</t>
  </si>
  <si>
    <t>Mahone et al. 2020 (U.S.)</t>
  </si>
  <si>
    <t>Mahone et al. 2020 (U.S.) (étude compilée par Ghadim et al.)</t>
  </si>
  <si>
    <t>Mahone et al. 2020 (USA)</t>
  </si>
  <si>
    <t>Mahone et al. 2020 (USA) (étude compilée par Ghadim et al.)</t>
  </si>
  <si>
    <t>Reksten et al. 2022 (World)</t>
  </si>
  <si>
    <t>Reksten et al. 2022 (World) (étude compilée par Ghadim et al.)</t>
  </si>
  <si>
    <t>Tlili et al. 2019 (China)</t>
  </si>
  <si>
    <t>Tlili et al. 2019 (China) (étude compilée par Ghadim et al.)</t>
  </si>
  <si>
    <t>Tlili et al. 2019 (EU)</t>
  </si>
  <si>
    <t>Tlili et al. 2019 (EU) (étude compilée par Ghadim et al.)</t>
  </si>
  <si>
    <t>Tlili et al. 2019 (Japan)</t>
  </si>
  <si>
    <t>Tlili et al. 2019 (Japan) (étude compilée par Ghadim et al.)</t>
  </si>
  <si>
    <t>UK BEIS 2021 (UK)</t>
  </si>
  <si>
    <t>UK BEIS 2021 (UK) (étude compilée par Ghadim et al.)</t>
  </si>
  <si>
    <t>Vartiainen et al. 2020 (EU)</t>
  </si>
  <si>
    <t>Vartiainen et al. 2020 (EU) (étude compilée par Ghadim et al.)</t>
  </si>
  <si>
    <t>WEC 2021 (EU)</t>
  </si>
  <si>
    <t>WEC 2021 (EU) (étude compilée par Ghadim et al.)</t>
  </si>
  <si>
    <t>WEC 2021 (World)</t>
  </si>
  <si>
    <t>WEC 2021 (World) (étude compilée par Ghadim et al.)</t>
  </si>
  <si>
    <t>Glenk &amp; Reichelstein 2019</t>
  </si>
  <si>
    <t>Delft</t>
  </si>
  <si>
    <t>Glenk G., Reichelstein S.</t>
  </si>
  <si>
    <t>Economics of converting renewable power to hydrogen</t>
  </si>
  <si>
    <t>Nature Energy (DOI à compléter)</t>
  </si>
  <si>
    <t>(à compléter)</t>
  </si>
  <si>
    <t>Cité dans le classeur CAPEX_DATA de Delft (onglet CALC) ; page exacte indiquée dans CALC</t>
  </si>
  <si>
    <t>IEA The Future of Hydrogen 2019</t>
  </si>
  <si>
    <t>IEA</t>
  </si>
  <si>
    <t>The Future of Hydrogen</t>
  </si>
  <si>
    <t>(lien IEA à compléter)</t>
  </si>
  <si>
    <t>IEA Global Hydrogen Review 2021</t>
  </si>
  <si>
    <t>Global Hydrogen Review 2021</t>
  </si>
  <si>
    <t>IEA Global Hydrogen Review 2022</t>
  </si>
  <si>
    <t>Global Hydrogen Review 2022</t>
  </si>
  <si>
    <t>IEA Global Hydrogen Review 2023</t>
  </si>
  <si>
    <t>Global Hydrogen Review 2023</t>
  </si>
  <si>
    <t>IEA Global Hydrogen Review 2024</t>
  </si>
  <si>
    <t>Global Hydrogen Review 2024</t>
  </si>
  <si>
    <t>Muñoz-Peña et al. 2024</t>
  </si>
  <si>
    <t>Microgrid</t>
  </si>
  <si>
    <t>Muñoz-Peña et al.</t>
  </si>
  <si>
    <t>Optimal design of a hydrogen system of grid-connected flexible industrial microgrids (23rd Wind &amp; Solar Integration Workshop, Helsinki)</t>
  </si>
  <si>
    <t>(DOI à compléter)</t>
  </si>
  <si>
    <t>Tableaux 2 et 3 ; valeurs reprises de Marocco et al. 2023 (J. Clean. Prod. 388, 135969) et 2024 (J. Clean. Prod. 434, 140007)</t>
  </si>
  <si>
    <t>Potsdam (base)</t>
  </si>
  <si>
    <t>Potsdam</t>
  </si>
  <si>
    <t>Jeu de données « Electrolyser Data Complete » (Efuels JE FU)</t>
  </si>
  <si>
    <t>Electrolyser_Data_Complete_Efuels_JE_FU : revue de coûts et rendements d'électrolyseurs (AEC, PEMEC, SOEC)</t>
  </si>
  <si>
    <t>(voir README Potsdam)</t>
  </si>
  <si>
    <t>CC BY 4.0 (selon vos notes)</t>
  </si>
  <si>
    <t>Importé depuis une copie texte de la table Data (72 lignes). L'onglet Sources de Potsdam (DOI par source) n'a pas été fourni : à compléter.</t>
  </si>
  <si>
    <t>Brynolf</t>
  </si>
  <si>
    <t>Brynolf (source citée par Potsdam)</t>
  </si>
  <si>
    <t>Voir l'onglet Sources de Potsdam</t>
  </si>
  <si>
    <t>(à compléter depuis Sources de Potsdam)</t>
  </si>
  <si>
    <t>Journal_Article ; Method_Lit : Original_Review_Multiple_Sources</t>
  </si>
  <si>
    <t>IndWEDE</t>
  </si>
  <si>
    <t>IndWEDE (source citée par Potsdam)</t>
  </si>
  <si>
    <t>Report ; Method_Lit : Original_Analysis_w_Industry_Sources</t>
  </si>
  <si>
    <t>FCH</t>
  </si>
  <si>
    <t>FCH (source citée par Potsdam)</t>
  </si>
  <si>
    <t>Matute</t>
  </si>
  <si>
    <t>Matute (source citée par Potsdam)</t>
  </si>
  <si>
    <t>Journal_Article ; Method_Lit : Secondary_Source</t>
  </si>
  <si>
    <t>Siemens</t>
  </si>
  <si>
    <t>Siemens (source citée par Potsdam)</t>
  </si>
  <si>
    <t>Interview ; Method_Lit : Original_Review_Multiple_Sources</t>
  </si>
  <si>
    <t>Microbenergy</t>
  </si>
  <si>
    <t>Microbenergy (source citée par Potsdam)</t>
  </si>
  <si>
    <t>Proost</t>
  </si>
  <si>
    <t>Proost (source citée par Potsdam)</t>
  </si>
  <si>
    <t>Journal_Article ; Method_Lit : Original_Analysis_w_Industry_Sources</t>
  </si>
  <si>
    <t>CSIRO</t>
  </si>
  <si>
    <t>CSIRO (source citée par Potsdam)</t>
  </si>
  <si>
    <t>Nel</t>
  </si>
  <si>
    <t>Nel (source citée par Potsdam)</t>
  </si>
  <si>
    <t>Michalski</t>
  </si>
  <si>
    <t>Michalski (source citée par Potsdam)</t>
  </si>
  <si>
    <t>Agora</t>
  </si>
  <si>
    <t>Agora (source citée par Potsdam)</t>
  </si>
  <si>
    <t>Schmidt</t>
  </si>
  <si>
    <t>Schmidt (source citée par Potsdam)</t>
  </si>
  <si>
    <t>Bloomberg</t>
  </si>
  <si>
    <t>Bloomberg (source citée par Potsdam)</t>
  </si>
  <si>
    <t>IEA (source citée par Potsdam)</t>
  </si>
  <si>
    <t>Milzani</t>
  </si>
  <si>
    <t>Milzani (source citée par Potsdam)</t>
  </si>
  <si>
    <t>ID</t>
  </si>
  <si>
    <t>Base de données</t>
  </si>
  <si>
    <t>Technologie</t>
  </si>
  <si>
    <t>Type de donnée</t>
  </si>
  <si>
    <t>Valeur min</t>
  </si>
  <si>
    <t>Valeur typique</t>
  </si>
  <si>
    <t>Valeur max</t>
  </si>
  <si>
    <t>Unité</t>
  </si>
  <si>
    <t>Année de la valeur</t>
  </si>
  <si>
    <t>Horizon</t>
  </si>
  <si>
    <t>Taille</t>
  </si>
  <si>
    <t>Périmètre</t>
  </si>
  <si>
    <t>Base énergétique</t>
  </si>
  <si>
    <t>Région</t>
  </si>
  <si>
    <t>Facteur de conversion</t>
  </si>
  <si>
    <t>Min normalisé</t>
  </si>
  <si>
    <t>Typique normalisé</t>
  </si>
  <si>
    <t>Max normalisé</t>
  </si>
  <si>
    <t>Unité normalisée</t>
  </si>
  <si>
    <t>Commentaire</t>
  </si>
  <si>
    <t>Horizon imposé (optionnel)</t>
  </si>
  <si>
    <t>Qualité de la méthode (Method_Lit)</t>
  </si>
  <si>
    <t>Inclure dans la synthèse (1/0)</t>
  </si>
  <si>
    <t>D0001</t>
  </si>
  <si>
    <t>Alcalin</t>
  </si>
  <si>
    <t>CAPEX</t>
  </si>
  <si>
    <t>Observé</t>
  </si>
  <si>
    <t>USD 2024/kW</t>
  </si>
  <si>
    <t>non précisé (varie selon l'étude)</t>
  </si>
  <si>
    <t>Marché</t>
  </si>
  <si>
    <t>Base Ghadim et al. 2025 (USD 2024, déjà corrigé de l'inflation).</t>
  </si>
  <si>
    <t>D0002</t>
  </si>
  <si>
    <t>D0003</t>
  </si>
  <si>
    <t>D0004</t>
  </si>
  <si>
    <t>D0005</t>
  </si>
  <si>
    <t>D0006</t>
  </si>
  <si>
    <t>D0007</t>
  </si>
  <si>
    <t>D0008</t>
  </si>
  <si>
    <t>Projection</t>
  </si>
  <si>
    <t>China</t>
  </si>
  <si>
    <t>D0009</t>
  </si>
  <si>
    <t>D0010</t>
  </si>
  <si>
    <t>D0011</t>
  </si>
  <si>
    <t>10 MW</t>
  </si>
  <si>
    <t>Denmark</t>
  </si>
  <si>
    <t>D0012</t>
  </si>
  <si>
    <t>D0013</t>
  </si>
  <si>
    <t>D0014</t>
  </si>
  <si>
    <t>D0015</t>
  </si>
  <si>
    <t>D0016</t>
  </si>
  <si>
    <t>100 MW</t>
  </si>
  <si>
    <t>D0017</t>
  </si>
  <si>
    <t>D0018</t>
  </si>
  <si>
    <t>D0019</t>
  </si>
  <si>
    <t>D0020</t>
  </si>
  <si>
    <t>D0021</t>
  </si>
  <si>
    <t>1000 MW</t>
  </si>
  <si>
    <t>D0022</t>
  </si>
  <si>
    <t>D0023</t>
  </si>
  <si>
    <t>D0024</t>
  </si>
  <si>
    <t>D0025</t>
  </si>
  <si>
    <t>D0026</t>
  </si>
  <si>
    <t>World</t>
  </si>
  <si>
    <t>D0027</t>
  </si>
  <si>
    <t>D0028</t>
  </si>
  <si>
    <t>D0029</t>
  </si>
  <si>
    <t>D0030</t>
  </si>
  <si>
    <t>D0031</t>
  </si>
  <si>
    <t>D0032</t>
  </si>
  <si>
    <t>D0033</t>
  </si>
  <si>
    <t>UAE</t>
  </si>
  <si>
    <t>D0034</t>
  </si>
  <si>
    <t>D0035</t>
  </si>
  <si>
    <t>D0036</t>
  </si>
  <si>
    <t>D0037</t>
  </si>
  <si>
    <t>Germany</t>
  </si>
  <si>
    <t>D0038</t>
  </si>
  <si>
    <t>D0039</t>
  </si>
  <si>
    <t>D0040</t>
  </si>
  <si>
    <t>D0041</t>
  </si>
  <si>
    <t>D0042</t>
  </si>
  <si>
    <t>D0043</t>
  </si>
  <si>
    <t>D0044</t>
  </si>
  <si>
    <t>Australia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</si>
  <si>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</si>
  <si>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</si>
  <si>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</si>
  <si>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</si>
  <si>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</si>
  <si>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</si>
  <si>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</si>
  <si>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</si>
  <si>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</si>
  <si>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</si>
  <si>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</si>
  <si>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</si>
  <si>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</si>
  <si>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</si>
  <si>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</si>
  <si>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</si>
  <si>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</si>
  <si>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</si>
  <si>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</si>
  <si>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</si>
  <si>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</si>
  <si>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</si>
  <si>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</si>
  <si>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</si>
  <si>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</si>
  <si>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</si>
  <si>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</si>
  <si>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</si>
  <si>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</si>
  <si>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</si>
  <si>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</si>
  <si>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India</t>
  </si>
  <si>
    <t>D0076</t>
  </si>
  <si>
    <t>D0077</t>
  </si>
  <si>
    <t>D0078</t>
  </si>
  <si>
    <t>Latin America</t>
  </si>
  <si>
    <t>D0079</t>
  </si>
  <si>
    <t>D0080</t>
  </si>
  <si>
    <t>D0081</t>
  </si>
  <si>
    <t>D0082</t>
  </si>
  <si>
    <t>D0083</t>
  </si>
  <si>
    <t>D0084</t>
  </si>
  <si>
    <t>D0085</t>
  </si>
  <si>
    <t>Denmark, Portugal, Netherlands</t>
  </si>
  <si>
    <t>D0086</t>
  </si>
  <si>
    <t>D0087</t>
  </si>
  <si>
    <t>D0088</t>
  </si>
  <si>
    <t>D0089</t>
  </si>
  <si>
    <t>U.S.</t>
  </si>
  <si>
    <t>D0090</t>
  </si>
  <si>
    <t>D0091</t>
  </si>
  <si>
    <t>D0092</t>
  </si>
  <si>
    <t>D0093</t>
  </si>
  <si>
    <t>D0094</t>
  </si>
  <si>
    <t>D0095</t>
  </si>
  <si>
    <t>D0096</t>
  </si>
  <si>
    <t>UK</t>
  </si>
  <si>
    <t>D0097</t>
  </si>
  <si>
    <t>D0098</t>
  </si>
  <si>
    <t>D0099</t>
  </si>
  <si>
    <t>D0100</t>
  </si>
  <si>
    <t>D0101</t>
  </si>
  <si>
    <t>D0102</t>
  </si>
  <si>
    <t>D0103</t>
  </si>
  <si>
    <t>EU</t>
  </si>
  <si>
    <t>D0104</t>
  </si>
  <si>
    <t>D0105</t>
  </si>
  <si>
    <t>D0106</t>
  </si>
  <si>
    <t>LCOH</t>
  </si>
  <si>
    <t>USD 2024/kg H2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</si>
  <si>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</si>
  <si>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</si>
  <si>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</si>
  <si>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</si>
  <si>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</si>
  <si>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</si>
  <si>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</si>
  <si>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</si>
  <si>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</si>
  <si>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</si>
  <si>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</si>
  <si>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</si>
  <si>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</si>
  <si>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</si>
  <si>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</si>
  <si>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</si>
  <si>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</si>
  <si>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</si>
  <si>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</si>
  <si>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</si>
  <si>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</si>
  <si>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</si>
  <si>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</si>
  <si>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</si>
  <si>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</si>
  <si>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</si>
  <si>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</si>
  <si>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</si>
  <si>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</si>
  <si>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</si>
  <si>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</si>
  <si>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</si>
  <si>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</si>
  <si>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</si>
  <si>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</si>
  <si>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</si>
  <si>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</si>
  <si>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</si>
  <si>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</si>
  <si>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</si>
  <si>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</si>
  <si>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</si>
  <si>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</si>
  <si>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</si>
  <si>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</si>
  <si>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</si>
  <si>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</si>
  <si>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</si>
  <si>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</si>
  <si>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</si>
  <si>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</si>
  <si>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</si>
  <si>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</si>
  <si>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</si>
  <si>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</si>
  <si>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</si>
  <si>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</si>
  <si>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</si>
  <si>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</si>
  <si>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</si>
  <si>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</si>
  <si>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</si>
  <si>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</si>
  <si>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</si>
  <si>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</si>
  <si>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Netherlands</t>
  </si>
  <si>
    <t>D0172</t>
  </si>
  <si>
    <t>D0173</t>
  </si>
  <si>
    <t>D0174</t>
  </si>
  <si>
    <t>D0175</t>
  </si>
  <si>
    <t>Portugal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</si>
  <si>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</si>
  <si>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</si>
  <si>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</si>
  <si>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</si>
  <si>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</si>
  <si>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</si>
  <si>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</si>
  <si>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</si>
  <si>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</si>
  <si>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</si>
  <si>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</si>
  <si>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</si>
  <si>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</si>
  <si>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</si>
  <si>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</si>
  <si>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</si>
  <si>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</si>
  <si>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</si>
  <si>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</si>
  <si>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</si>
  <si>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PEM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</si>
  <si>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</si>
  <si>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</si>
  <si>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</si>
  <si>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</si>
  <si>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</si>
  <si>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</si>
  <si>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</si>
  <si>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</si>
  <si>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</si>
  <si>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</si>
  <si>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</si>
  <si>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</si>
  <si>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</si>
  <si>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</si>
  <si>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</si>
  <si>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</si>
  <si>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</si>
  <si>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</si>
  <si>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</si>
  <si>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</si>
  <si>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</si>
  <si>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</si>
  <si>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</si>
  <si>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</si>
  <si>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</si>
  <si>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</si>
  <si>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</si>
  <si>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</si>
  <si>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</si>
  <si>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</si>
  <si>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</si>
  <si>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</si>
  <si>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</si>
  <si>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</si>
  <si>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</si>
  <si>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</si>
  <si>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</si>
  <si>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</si>
  <si>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</si>
  <si>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</si>
  <si>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Chile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</si>
  <si>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</si>
  <si>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</si>
  <si>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</si>
  <si>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</si>
  <si>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</si>
  <si>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</si>
  <si>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</si>
  <si>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</si>
  <si>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</si>
  <si>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</si>
  <si>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</si>
  <si>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</si>
  <si>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</si>
  <si>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</si>
  <si>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</si>
  <si>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</si>
  <si>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</si>
  <si>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</si>
  <si>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</si>
  <si>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</si>
  <si>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</si>
  <si>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</si>
  <si>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</si>
  <si>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</si>
  <si>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</si>
  <si>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</si>
  <si>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</si>
  <si>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</si>
  <si>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</si>
  <si>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</si>
  <si>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</si>
  <si>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</si>
  <si>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</si>
  <si>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</si>
  <si>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</si>
  <si>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</si>
  <si>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</si>
  <si>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</si>
  <si>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</si>
  <si>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</si>
  <si>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</si>
  <si>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</si>
  <si>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</si>
  <si>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</si>
  <si>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</si>
  <si>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</si>
  <si>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</si>
  <si>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</si>
  <si>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</si>
  <si>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</si>
  <si>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</si>
  <si>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USA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</si>
  <si>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</si>
  <si>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</si>
  <si>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</si>
  <si>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</si>
  <si>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</si>
  <si>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</si>
  <si>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</si>
  <si>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</si>
  <si>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</si>
  <si>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</si>
  <si>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</si>
  <si>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</si>
  <si>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</si>
  <si>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</si>
  <si>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</si>
  <si>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</si>
  <si>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</si>
  <si>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</si>
  <si>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</si>
  <si>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</si>
  <si>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</si>
  <si>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</si>
  <si>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</si>
  <si>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</si>
  <si>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</si>
  <si>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</si>
  <si>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</si>
  <si>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</si>
  <si>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</si>
  <si>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</si>
  <si>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</si>
  <si>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</si>
  <si>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</si>
  <si>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</si>
  <si>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</si>
  <si>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</si>
  <si>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</si>
  <si>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</si>
  <si>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</si>
  <si>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</si>
  <si>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</si>
  <si>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</si>
  <si>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</si>
  <si>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</si>
  <si>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</si>
  <si>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</si>
  <si>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</si>
  <si>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</si>
  <si>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</si>
  <si>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</si>
  <si>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</si>
  <si>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</si>
  <si>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</si>
  <si>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</si>
  <si>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</si>
  <si>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</si>
  <si>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</si>
  <si>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</si>
  <si>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</si>
  <si>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</si>
  <si>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</si>
  <si>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</si>
  <si>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</si>
  <si>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</si>
  <si>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</si>
  <si>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</si>
  <si>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</si>
  <si>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</si>
  <si>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</si>
  <si>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</si>
  <si>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</si>
  <si>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</si>
  <si>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</si>
  <si>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</si>
  <si>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</si>
  <si>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</si>
  <si>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</si>
  <si>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</si>
  <si>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</si>
  <si>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Japan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</si>
  <si>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</si>
  <si>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</si>
  <si>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</si>
  <si>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</si>
  <si>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</si>
  <si>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</si>
  <si>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</si>
  <si>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</si>
  <si>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</si>
  <si>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</si>
  <si>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</si>
  <si>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Scénario publié</t>
  </si>
  <si>
    <t>EUR/kW</t>
  </si>
  <si>
    <t>non précisé</t>
  </si>
  <si>
    <t>Method_Lit : Original_Analysis_w_Industry_Sources ; publication 2019 ; année réf. min 2019 ; type Report ; Temp. Low ; EUR de 2019</t>
  </si>
  <si>
    <t>actuel</t>
  </si>
  <si>
    <t>Original_Analysis_w_Industry_Sources</t>
  </si>
  <si>
    <t>D0377</t>
  </si>
  <si>
    <t>D0378</t>
  </si>
  <si>
    <t>D0379</t>
  </si>
  <si>
    <t>D0380</t>
  </si>
  <si>
    <t>D0381</t>
  </si>
  <si>
    <t>Small</t>
  </si>
  <si>
    <t>Method_Lit : Original_Review_Multiple_Sources ; publication 2018 ; année réf. min 2010 ; type Journal_Article ; Temp. Low ; EUR de 2015</t>
  </si>
  <si>
    <t>Original_Review_Multiple_Sources</t>
  </si>
  <si>
    <t>D0382</t>
  </si>
  <si>
    <t>Medium</t>
  </si>
  <si>
    <t>Method_Lit : Original_Review_Multiple_Sources ; publication 2018 ; année réf. min 2010 ; type Journal_Article ; Temp. Low ; facteur de charge 0,8 ; EUR de 2015</t>
  </si>
  <si>
    <t>D0383</t>
  </si>
  <si>
    <t>Large</t>
  </si>
  <si>
    <t>Method_Lit : Original_Analysis_w_Industry_Sources ; publication 2018 ; année réf. min 2017 ; type Report ; Temp. Low ; facteur de charge 0,85 ; année de réf. des EUR non indiquée : année de publication (2018) utilisée</t>
  </si>
  <si>
    <t>D0384</t>
  </si>
  <si>
    <t>Method_Lit : Original_Analysis_w_Industry_Sources ; publication 2017 ; année réf. min 2017 ; type Report ; Temp. Low ; p = 1 (kPa) ; EUR de 2017</t>
  </si>
  <si>
    <t>D0385</t>
  </si>
  <si>
    <t>D0386</t>
  </si>
  <si>
    <t>D0387</t>
  </si>
  <si>
    <t>Method_Lit : Original_Analysis_w_Industry_Sources ; publication 2017 ; année réf. min 2017 ; type Report ; Temp. Low ; p = 15 (kPa) ; EUR de 2017</t>
  </si>
  <si>
    <t>D0388</t>
  </si>
  <si>
    <t>D0389</t>
  </si>
  <si>
    <t>D0390</t>
  </si>
  <si>
    <t>D0391</t>
  </si>
  <si>
    <t>D0392</t>
  </si>
  <si>
    <t>D0393</t>
  </si>
  <si>
    <t>Method_Lit : Original_Analysis_w_Industry_Sources ; publication 2018 ; année réf. min 2017 ; type Report ; Temp. Low ; facteur de charge 0,8 ; année de réf. des EUR non indiquée : année de publication (2018) utilisée</t>
  </si>
  <si>
    <t>D0394</t>
  </si>
  <si>
    <t>D0395</t>
  </si>
  <si>
    <t>D0396</t>
  </si>
  <si>
    <t>Method_Lit : Secondary_Source ; publication 2019 ; année réf. min 2014 ; type Journal_Article ; Temp. Low ; p = 15 - 30 (kPa) ; année de réf. des EUR non indiquée : année de publication (2019) utilisée</t>
  </si>
  <si>
    <t>Secondary_Source</t>
  </si>
  <si>
    <t>D0397</t>
  </si>
  <si>
    <t>Method_Lit : Secondary_Source ; publication 2019 ; année réf. min 2014 ; type Journal_Article ; Temp. Low ; p = 15-30 (kPa) ; année de réf. des EUR non indiquée : année de publication (2019) utilisée</t>
  </si>
  <si>
    <t>D0398</t>
  </si>
  <si>
    <t>Method_Lit : Original_Review_Multiple_Sources ; publication 2017 ; année réf. min 2017 ; type Journal_Article ; Temp. Low ; EUR de 2016</t>
  </si>
  <si>
    <t>D0399</t>
  </si>
  <si>
    <t>Method_Lit : Original_Analysis_w_Industry_Sources ; publication 2017 ; année réf. min 2015 ; type Journal_Article ; Temp. Low ; EUR de 2017</t>
  </si>
  <si>
    <t>D0400</t>
  </si>
  <si>
    <t>Method_Lit : Original_Analysis_w_Industry_Sources ; publication 2017 ; année réf. min 2017 ; type Report ; Temp. Low ; année de réf. des EUR non indiquée : année de publication (2017) utilisée</t>
  </si>
  <si>
    <t>D0401</t>
  </si>
  <si>
    <t>Method_Lit : Original_Analysis_w_Industry_Sources ; publication 2018 ; année réf. min 2014 ; type Journal_Article ; Temp. Low ; p = 1-15 (kPa) ; facteur de charge 0,8 ; année de réf. des EUR non indiquée : année de publication (2018) utilisée</t>
  </si>
  <si>
    <t>D0402</t>
  </si>
  <si>
    <t>Method_Lit : Original_Analysis_w_Industry_Sources ; publication 2017 ; année réf. min 2017 ; type Journal_Article ; Temp. Low ; EUR de 2017</t>
  </si>
  <si>
    <t>D0403</t>
  </si>
  <si>
    <t>D0404</t>
  </si>
  <si>
    <t>Method_Lit : Original_Review_Multiple_Sources ; publication 2017 ; année réf. min 2017 ; type Interview ; Temp. Low ; EUR de 2016</t>
  </si>
  <si>
    <t>D0405</t>
  </si>
  <si>
    <t>D0406</t>
  </si>
  <si>
    <t>Rendement (PCI)</t>
  </si>
  <si>
    <t>%</t>
  </si>
  <si>
    <t>PCI (supposé)</t>
  </si>
  <si>
    <t>Base non précisée dans la source : colonne Efficiency_LHV, donc PCI supposé. Method_Lit : Original_Analysis_w_Industry_Sources ; publication 2019 ; année réf. min 2019 ; type Report ; Temp. Low</t>
  </si>
  <si>
    <t>D0407</t>
  </si>
  <si>
    <t>D0408</t>
  </si>
  <si>
    <t>D0409</t>
  </si>
  <si>
    <t>D0410</t>
  </si>
  <si>
    <t>D0411</t>
  </si>
  <si>
    <t>PCI</t>
  </si>
  <si>
    <t>Method_Lit : Original_Review_Multiple_Sources ; publication 2018 ; année réf. min 2010 ; type Journal_Article ; Temp. Low</t>
  </si>
  <si>
    <t>D0412</t>
  </si>
  <si>
    <t>Method_Lit : Original_Review_Multiple_Sources ; publication 2018 ; année réf. min 2010 ; type Journal_Article ; Temp. Low ; facteur de charge 0,8</t>
  </si>
  <si>
    <t>D0413</t>
  </si>
  <si>
    <t>Base non précisée dans la source : colonne Efficiency_LHV, donc PCI supposé. Method_Lit : Original_Analysis_w_Industry_Sources ; publication 2018 ; année réf. min 2017 ; type Report ; Temp. Low ; facteur de charge 0,85</t>
  </si>
  <si>
    <t>D0414</t>
  </si>
  <si>
    <t>Method_Lit : Original_Analysis_w_Industry_Sources ; publication 2017 ; année réf. min 2017 ; type Report ; Temp. Low ; p = 1 (kPa)</t>
  </si>
  <si>
    <t>D0415</t>
  </si>
  <si>
    <t>Method_Lit : Original_Analysis_w_Industry_Sources ; publication 2017 ; année réf. min 2017 ; type Report ; Temp. Low ; p = 15 (kPa)</t>
  </si>
  <si>
    <t>D0416</t>
  </si>
  <si>
    <t>Method_Lit : Original_Analysis_w_Industry_Sources ; publication 2018 ; année réf. min 2017 ; type Report ; Temp. Low ; facteur de charge 0,8</t>
  </si>
  <si>
    <t>D0417</t>
  </si>
  <si>
    <t>D0418</t>
  </si>
  <si>
    <t>D0419</t>
  </si>
  <si>
    <t>Method_Lit : Secondary_Source ; publication 2019 ; année réf. min 2014 ; type Journal_Article ; Temp. Low ; p = 15 - 30 (kPa)</t>
  </si>
  <si>
    <t>D0420</t>
  </si>
  <si>
    <t>Method_Lit : Secondary_Source ; publication 2019 ; année réf. min 2014 ; type Journal_Article ; Temp. Low ; p = 15-30 (kPa)</t>
  </si>
  <si>
    <t>D0421</t>
  </si>
  <si>
    <t>Method_Lit : Original_Analysis_w_Industry_Sources ; publication 2017 ; année réf. min 2015 ; type Journal_Article ; Temp. Low</t>
  </si>
  <si>
    <t>D0422</t>
  </si>
  <si>
    <t>Method_Lit : Original_Review_Multiple_Sources ; publication 2018 ; année réf. min 2011 ; type Journal_Article ; Temp. Low</t>
  </si>
  <si>
    <t>D0423</t>
  </si>
  <si>
    <t>Method_Lit : Original_Analysis_w_Industry_Sources ; publication 2017 ; année réf. min 2017 ; type Journal_Article ; Temp. Low</t>
  </si>
  <si>
    <t>D0424</t>
  </si>
  <si>
    <t>D0425</t>
  </si>
  <si>
    <t>Rendement (PCS)</t>
  </si>
  <si>
    <t>PCS</t>
  </si>
  <si>
    <t>Valeur en PCS (HHV) : non comparable aux rendements PCI, exclue de la synthèse PCI. Method_Lit : Original_Analysis_w_Industry_Sources ; publication 2018 ; année réf. min 2014 ; type Journal_Article ; Temp. Low ; p = 1-15 (kPa) ; facteur de charge 0,8</t>
  </si>
  <si>
    <t>D0426</t>
  </si>
  <si>
    <t>D0427</t>
  </si>
  <si>
    <t>D0428</t>
  </si>
  <si>
    <t>D0429</t>
  </si>
  <si>
    <t>D0430</t>
  </si>
  <si>
    <t>D0431</t>
  </si>
  <si>
    <t>D0432</t>
  </si>
  <si>
    <t>Method_Lit : Original_Analysis_w_Industry_Sources ; publication 2017 ; année réf. min 2017 ; type Report ; Temp. Low ; p = 30 (kPa) ; EUR de 2017</t>
  </si>
  <si>
    <t>D0433</t>
  </si>
  <si>
    <t>D0434</t>
  </si>
  <si>
    <t>D0435</t>
  </si>
  <si>
    <t>Method_Lit : Original_Analysis_w_Industry_Sources ; publication 2017 ; année réf. min 2017 ; type Report ; Temp. Low ; p = 60 (kPa) ; EUR de 2017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</si>
  <si>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</si>
  <si>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</si>
  <si>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</si>
  <si>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</si>
  <si>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</si>
  <si>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</si>
  <si>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</si>
  <si>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</si>
  <si>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</si>
  <si>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</si>
  <si>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Method_Lit : Secondary_Source ; publication 2019 ; année réf. min 2014 ; type Journal_Article ; Temp. Low ; p = 30-60 (kPa) ; année de réf. des EUR non indiquée : année de publication (2019) utilisée</t>
  </si>
  <si>
    <t>D0446</t>
  </si>
  <si>
    <t>D0447</t>
  </si>
  <si>
    <t>D0448</t>
  </si>
  <si>
    <t>D0449</t>
  </si>
  <si>
    <t>Method_Lit : Original_Review_Multiple_Sources ; publication 2017 ; année réf. min 2017 ; type Interview ; Temp. Low ; année de réf. des EUR non indiquée : année de publication (2017) utilisée</t>
  </si>
  <si>
    <t>D0450</t>
  </si>
  <si>
    <t>D0451</t>
  </si>
  <si>
    <t>D0452</t>
  </si>
  <si>
    <t>D0453</t>
  </si>
  <si>
    <t>D0454</t>
  </si>
  <si>
    <t>D0455</t>
  </si>
  <si>
    <t>D0456</t>
  </si>
  <si>
    <t>Method_Lit : Original_Analysis_w_Industry_Sources ; publication 2018 ; année réf. min 2017 ; type Report ; Temp. Low ; facteur de charge 0,85</t>
  </si>
  <si>
    <t>D0457</t>
  </si>
  <si>
    <t>Method_Lit : Original_Analysis_w_Industry_Sources ; publication 2017 ; année réf. min 2017 ; type Report ; Temp. Low ; p = 30 (kPa)</t>
  </si>
  <si>
    <t>D0458</t>
  </si>
  <si>
    <t>Method_Lit : Original_Analysis_w_Industry_Sources ; publication 2017 ; année réf. min 2017 ; type Report ; Temp. Low ; p = 60 (kPa)</t>
  </si>
  <si>
    <t>D0459</t>
  </si>
  <si>
    <t>D0460</t>
  </si>
  <si>
    <t>D0461</t>
  </si>
  <si>
    <t>D0462</t>
  </si>
  <si>
    <t>D0463</t>
  </si>
  <si>
    <t>Method_Lit : Secondary_Source ; publication 2019 ; année réf. min 2014 ; type Journal_Article ; Temp. Low ; p = 30-60 (kPa)</t>
  </si>
  <si>
    <t>D0464</t>
  </si>
  <si>
    <t>D0465</t>
  </si>
  <si>
    <t>D0466</t>
  </si>
  <si>
    <t>D0467</t>
  </si>
  <si>
    <t>D0468</t>
  </si>
  <si>
    <t>SOEC</t>
  </si>
  <si>
    <t>Method_Lit : Original_Analysis_w_Industry_Sources ; publication 2018 ; année réf. min 2017 ; type Report ; Temp. High ; facteur de charge 0,8 ; EUR de 2017</t>
  </si>
  <si>
    <t>D0469</t>
  </si>
  <si>
    <t>D0470</t>
  </si>
  <si>
    <t>Method_Lit : Original_Review_Multiple_Sources ; publication 2018 ; année réf. min 2010 ; type Journal_Article ; Temp. High ; EUR de 2015</t>
  </si>
  <si>
    <t>D0471</t>
  </si>
  <si>
    <t>Method_Lit : Original_Analysis_w_Industry_Sources ; publication 2019 ; année réf. min 2019 ; type Report ; Temp. High ; EUR de 2019</t>
  </si>
  <si>
    <t>D0472</t>
  </si>
  <si>
    <t>D0473</t>
  </si>
  <si>
    <t>D0474</t>
  </si>
  <si>
    <t>Method_Lit : Original_Analysis_w_Industry_Sources ; publication 2018 ; année réf. min 2017 ; type Report ; Temp. High ; facteur de charge 0,8 ; année de réf. des EUR non indiquée : année de publication (2018) utilisée</t>
  </si>
  <si>
    <t>D0475</t>
  </si>
  <si>
    <t>D0476</t>
  </si>
  <si>
    <t>Method_Lit : Secondary_Source ; publication 2018 ; année réf. min 2017 ; type Report ; Temp. High ; facteur de charge 0,8 ; année de réf. des EUR non indiquée : année de publication (2018) utilisée</t>
  </si>
  <si>
    <t>D0477</t>
  </si>
  <si>
    <t>Method_Lit : Original_Analysis_w_Industry_Sources ; publication 2017 ; année réf. min 2017 ; type Journal_Article ; Temp. High ; EUR de 2017</t>
  </si>
  <si>
    <t>D0478</t>
  </si>
  <si>
    <t>D0479</t>
  </si>
  <si>
    <t>Method_Lit : Original_Analysis_w_Industry_Sources ; publication 2018 ; année réf. min 2017 ; type Report ; Temp. High ; facteur de charge 0,8</t>
  </si>
  <si>
    <t>D0480</t>
  </si>
  <si>
    <t>D0481</t>
  </si>
  <si>
    <t>Method_Lit : Original_Review_Multiple_Sources ; publication 2018 ; année réf. min 2010 ; type Journal_Article ; Temp. High</t>
  </si>
  <si>
    <t>D0482</t>
  </si>
  <si>
    <t>D0483</t>
  </si>
  <si>
    <t>D0484</t>
  </si>
  <si>
    <t>Method_Lit : Secondary_Source ; publication 2018 ; année réf. min 2017 ; type Report ; Temp. High ; facteur de charge 0,8</t>
  </si>
  <si>
    <t>D0485</t>
  </si>
  <si>
    <t>Method_Lit : Original_Review_Multiple_Sources ; publication 2018 ; année réf. min 2011 ; type Journal_Article ; Temp. High</t>
  </si>
  <si>
    <t>D0486</t>
  </si>
  <si>
    <t>Observé / publié</t>
  </si>
  <si>
    <t>Onglet CAPEX (colonne « Rated CAPEX ») de CAPEX_DATA ; compilation Delft, source primaire non consultée. Valeurs 2019-2023 ajustées de l'inflation par Delft ; année de réf. des EUR approximative (voir Hypothèses).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</si>
  <si>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</si>
  <si>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</si>
  <si>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</si>
  <si>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</si>
  <si>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</si>
  <si>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</si>
  <si>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</si>
  <si>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</si>
  <si>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</si>
  <si>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</si>
  <si>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</si>
  <si>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</si>
  <si>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</si>
  <si>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</si>
  <si>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</si>
  <si>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</si>
  <si>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</si>
  <si>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</si>
  <si>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</si>
  <si>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</si>
  <si>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</si>
  <si>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</si>
  <si>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</si>
  <si>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</si>
  <si>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</si>
  <si>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</si>
  <si>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</si>
  <si>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</si>
  <si>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</si>
  <si>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</si>
  <si>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</si>
  <si>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</si>
  <si>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</si>
  <si>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</si>
  <si>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</si>
  <si>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</si>
  <si>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Hypothèse de modèle</t>
  </si>
  <si>
    <t>€/kW</t>
  </si>
  <si>
    <t>100 kW</t>
  </si>
  <si>
    <t>système</t>
  </si>
  <si>
    <t>Espagne (cas d'étude)</t>
  </si>
  <si>
    <t xml:space="preserve">Hypothèse d'un cas d'étude (verrerie, Espagne, PEM 100 kW) reprise de Marocco et al. 2023/2024 ; à confirmer par un second point. </t>
  </si>
  <si>
    <t>D0523</t>
  </si>
  <si>
    <t>Charge minimale</t>
  </si>
  <si>
    <t>% de la puissance nominale</t>
  </si>
  <si>
    <t>D0524</t>
  </si>
  <si>
    <t>Coût de remplacement</t>
  </si>
  <si>
    <t>% du CAPEX</t>
  </si>
  <si>
    <t>D0525</t>
  </si>
  <si>
    <t>Durée de vie</t>
  </si>
  <si>
    <t>années</t>
  </si>
  <si>
    <t>D0526</t>
  </si>
  <si>
    <t>OPEX annuel</t>
  </si>
  <si>
    <t>% du CAPEX/an</t>
  </si>
  <si>
    <t>D0527</t>
  </si>
  <si>
    <t>D0528</t>
  </si>
  <si>
    <t>Tous</t>
  </si>
  <si>
    <t>Consommation compresseur</t>
  </si>
  <si>
    <t>MJ/kg H2</t>
  </si>
  <si>
    <t>composant</t>
  </si>
  <si>
    <t>D0529</t>
  </si>
  <si>
    <t>Consommation d'eau</t>
  </si>
  <si>
    <t>kg H2O/kg H2</t>
  </si>
  <si>
    <t>Hypothèse d'un cas d'étude (verrerie, Espagne, PEM 100 kW) reprise de Marocco et al. 2023/2024 ; à confirmer par un second point. Valeur théorique stœchiométrique.</t>
  </si>
  <si>
    <t>Synthèse CAPEX et rendement par technologie et horizon</t>
  </si>
  <si>
    <t>CAPEX en USD 2024/kW (conversion : onglet Hypothèses) ; rendement en % base PCI. Statistiques sur les valeurs typiques (moyenne de chaque étude). « Bornes études » = plus petit min et plus grand max publiés par les études qui donnent une fourchette.</t>
  </si>
  <si>
    <t>CAPEX
Nb valeurs</t>
  </si>
  <si>
    <t>CAPEX
Nb sources</t>
  </si>
  <si>
    <t>CAPEX
Min</t>
  </si>
  <si>
    <t>CAPEX
Médiane</t>
  </si>
  <si>
    <t>CAPEX
Max</t>
  </si>
  <si>
    <t>CAPEX
Borne basse études</t>
  </si>
  <si>
    <t>CAPEX
Borne haute études</t>
  </si>
  <si>
    <t>Rendement
Nb valeurs</t>
  </si>
  <si>
    <t>Rendement
Nb sources</t>
  </si>
  <si>
    <t>Rendement
Min</t>
  </si>
  <si>
    <t>Rendement
Médiane</t>
  </si>
  <si>
    <t>Rendement
Max</t>
  </si>
  <si>
    <t>2030</t>
  </si>
  <si>
    <t>2050</t>
  </si>
  <si>
    <t>Lecture : « — » = aucune valeur pour cette combinaison. Le rendement vient surtout de Potsdam (Efficiency_LHV, base PCI) et d'un point du micro-réseau. Les lignes exclues (Secondary_Source) se règlent dans Hypothèses. L'horizon « actuel » dépend de la plage fixée dans Hypothèses.</t>
  </si>
  <si>
    <t>Lacunes : nombre de sources distinctes par paramètre et par technologie</t>
  </si>
  <si>
    <t>Compte aussi les lignes « Tous ». Objectif : au moins 2 sources par paramètre prioritaire. « Où chercher » reprend l'étape 8 du plan.</t>
  </si>
  <si>
    <t>Statut global</t>
  </si>
  <si>
    <t>Où chercher</t>
  </si>
  <si>
    <t>Potsdam (à importer) ; déjà Ghadim et Delft</t>
  </si>
  <si>
    <t>Potsdam, Efficiency_LHV (à importer)</t>
  </si>
  <si>
    <t>IRENA, IEA, NREL</t>
  </si>
  <si>
    <t>Fiches constructeurs : Nel, Sunfire, Siemens Energy, Thyssenkrupp Nucera, Plug, Cummins</t>
  </si>
  <si>
    <t>Fiches constructeurs (durée de vie du stack en heures) ; IRENA</t>
  </si>
  <si>
    <t>Articles technico-économiques ; fiches constructeurs</t>
  </si>
  <si>
    <t>Article de revue (valeur mesurée) vs 9 L/kg théorique</t>
  </si>
  <si>
    <t>Fiches constructeurs ; articles de revue</t>
  </si>
  <si>
    <t>CO₂ cycle de vie</t>
  </si>
  <si>
    <t>Articles ACV sur la fabrication d'électrolyseurs</t>
  </si>
  <si>
    <t>TRL</t>
  </si>
  <si>
    <t>IEA Global Hydrogen Review</t>
  </si>
  <si>
    <t>Interface du bloc électrolyseur (représentation systémique et modèle Python LCOF / émissions)</t>
  </si>
  <si>
    <t>Catégorie</t>
  </si>
  <si>
    <t>Variable</t>
  </si>
  <si>
    <t>Origine dans ce classeur</t>
  </si>
  <si>
    <t>Entrée</t>
  </si>
  <si>
    <t>Puissance électrique absorbée</t>
  </si>
  <si>
    <t>kW</t>
  </si>
  <si>
    <t>—</t>
  </si>
  <si>
    <t>Pilotée par le bloc production / réseau</t>
  </si>
  <si>
    <t>Eau</t>
  </si>
  <si>
    <t>L/h</t>
  </si>
  <si>
    <t>Paramètre « Consommation d'eau »</t>
  </si>
  <si>
    <t>9 L/kg H2 théorique ; consommation mesurée à trouver</t>
  </si>
  <si>
    <t>Sortie</t>
  </si>
  <si>
    <t>Hydrogène produit</t>
  </si>
  <si>
    <t>kg/h</t>
  </si>
  <si>
    <t>H2 = P × rendement / PCI(H2) ; PCI H2 = 120 MJ/kg</t>
  </si>
  <si>
    <t>Oxygène</t>
  </si>
  <si>
    <t>Stœchiométrie</t>
  </si>
  <si>
    <t>≈ 8 kg O2 par kg H2</t>
  </si>
  <si>
    <t>Chaleur</t>
  </si>
  <si>
    <t>Rendement</t>
  </si>
  <si>
    <t>Chaleur fatale = P × (1 − rendement)</t>
  </si>
  <si>
    <t>Synthèse / Données</t>
  </si>
  <si>
    <t>OPEX</t>
  </si>
  <si>
    <t>% du CAPEX par an</t>
  </si>
  <si>
    <t>Données (Microgrid ; à compléter)</t>
  </si>
  <si>
    <t>Une seule source pour l'instant</t>
  </si>
  <si>
    <t>% (PCI)</t>
  </si>
  <si>
    <t>Potsdam à importer</t>
  </si>
  <si>
    <t>années (et heures de stack)</t>
  </si>
  <si>
    <t>Durée en heures : fiches constructeurs</t>
  </si>
  <si>
    <t>Données (Microgrid)</t>
  </si>
  <si>
    <t>Capacité (fichier reçu)</t>
  </si>
  <si>
    <t>Capacité reconstruite</t>
  </si>
  <si>
    <t>Contrôle</t>
  </si>
  <si>
    <t>Note</t>
  </si>
  <si>
    <t>Concept</t>
  </si>
  <si>
    <t>IEA Hydrogen Projects Database 2024 (via Delft)</t>
  </si>
  <si>
    <t>à confirmer (MW supposé)</t>
  </si>
  <si>
    <t>Le fichier deploiement_1.xlsx contient des capacités aberrantes (ex. 6,1E+16) : la virgule décimale a été perdue à l'import (25,828 devenu 2,58E+16 ; 30,988 devenu 30988).</t>
  </si>
  <si>
    <t>Etude de faisabilité</t>
  </si>
  <si>
    <t>La colonne « reconstruite » divise par 1E15 les valeurs &gt; 1E6 et par 1 000 la valeur 30988 (2018, alcalin, opérationnel). Règle déduite des motifs, pas confirmée.</t>
  </si>
  <si>
    <t>FID/Construction</t>
  </si>
  <si>
    <t>Les séries ne sont pas monotones (alcalin opérationnel : 60,4 en 2020 puis 21,7 en 2021) : à comparer avec le fichier DEPLOYMENT_DATA.xlsx d'origine avant tout usage.</t>
  </si>
  <si>
    <t>Opérationnel</t>
  </si>
  <si>
    <t>Source indiquée : IEA Hydrogen Projects Database 2024 (via Delft).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</si>
</sst>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"/>
    <numFmt numFmtId="166" formatCode="0.0"/>
    <numFmt numFmtId="167" formatCode="#,##0.0##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5" fillId="3" borderId="0" xfId="0" applyNumberFormat="1" applyFont="1" applyFill="1"/>
    <xf numFmtId="0" fontId="5" fillId="0" borderId="0" xfId="0" applyFont="1"/>
    <xf numFmtId="2" fontId="5" fillId="0" borderId="0" xfId="0" applyNumberFormat="1" applyFont="1"/>
    <xf numFmtId="0" fontId="5" fillId="3" borderId="0" xfId="0" applyFont="1" applyFill="1"/>
    <xf numFmtId="2" fontId="2" fillId="0" borderId="0" xfId="0" applyNumberFormat="1" applyFont="1"/>
    <xf numFmtId="164" fontId="2" fillId="0" borderId="0" xfId="0" applyNumberFormat="1" applyFont="1"/>
    <xf numFmtId="0" fontId="6" fillId="0" borderId="0" xfId="0" applyFont="1"/>
    <xf numFmtId="0" fontId="2" fillId="0" borderId="1" xfId="0" applyFont="1" applyBorder="1" applyAlignment="1">
      <alignment vertical="top" wrapText="1"/>
    </xf>
    <xf numFmtId="165" fontId="2" fillId="0" borderId="0" xfId="0" applyNumberFormat="1" applyFont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showGridLines="0" zoomScaleNormal="100" workbookViewId="0"/>
  </sheetViews>
  <sheetFormatPr baseColWidth="10" defaultColWidth="8.6640625" defaultRowHeight="14.4" x14ac:dyDescent="0.3"/>
  <cols>
    <col min="1" max="1" width="140" customWidth="1"/>
  </cols>
  <sheetData>
    <row r="1" spans="1:1" ht="16.8" x14ac:dyDescent="0.3">
      <c r="A1" s="3" t="s">
        <v>0</v>
      </c>
    </row>
    <row r="2" spans="1:1" x14ac:dyDescent="0.3">
      <c r="A2" s="4"/>
    </row>
    <row r="3" spans="1:1" x14ac:dyDescent="0.3">
      <c r="A3" s="5" t="s">
        <v>1</v>
      </c>
    </row>
    <row r="4" spans="1:1" x14ac:dyDescent="0.3">
      <c r="A4" s="4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ht="26.4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 t="s">
        <v>7</v>
      </c>
    </row>
    <row r="10" spans="1:1" x14ac:dyDescent="0.3">
      <c r="A10" s="4" t="s">
        <v>8</v>
      </c>
    </row>
    <row r="11" spans="1:1" x14ac:dyDescent="0.3">
      <c r="A11" s="4"/>
    </row>
    <row r="12" spans="1:1" x14ac:dyDescent="0.3">
      <c r="A12" s="5" t="s">
        <v>9</v>
      </c>
    </row>
    <row r="13" spans="1:1" x14ac:dyDescent="0.3">
      <c r="A13" s="4" t="s">
        <v>10</v>
      </c>
    </row>
    <row r="14" spans="1:1" x14ac:dyDescent="0.3">
      <c r="A14" s="4" t="s">
        <v>11</v>
      </c>
    </row>
    <row r="15" spans="1:1" x14ac:dyDescent="0.3">
      <c r="A15" s="4" t="s">
        <v>12</v>
      </c>
    </row>
    <row r="16" spans="1:1" ht="26.4" x14ac:dyDescent="0.3">
      <c r="A16" s="4" t="s">
        <v>13</v>
      </c>
    </row>
    <row r="17" spans="1:1" x14ac:dyDescent="0.3">
      <c r="A17" s="4"/>
    </row>
    <row r="18" spans="1:1" x14ac:dyDescent="0.3">
      <c r="A18" s="4" t="s">
        <v>14</v>
      </c>
    </row>
    <row r="19" spans="1:1" ht="39.6" x14ac:dyDescent="0.3">
      <c r="A19" s="4" t="s">
        <v>15</v>
      </c>
    </row>
    <row r="20" spans="1:1" ht="26.4" x14ac:dyDescent="0.3">
      <c r="A20" s="4" t="s">
        <v>16</v>
      </c>
    </row>
    <row r="21" spans="1:1" x14ac:dyDescent="0.3">
      <c r="A21" s="4"/>
    </row>
    <row r="22" spans="1:1" x14ac:dyDescent="0.3">
      <c r="A22" s="5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ht="26.4" x14ac:dyDescent="0.3">
      <c r="A26" s="4" t="s">
        <v>21</v>
      </c>
    </row>
    <row r="27" spans="1:1" x14ac:dyDescent="0.3">
      <c r="A27" s="4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Normal="100" workbookViewId="0"/>
  </sheetViews>
  <sheetFormatPr baseColWidth="10" defaultColWidth="8.6640625" defaultRowHeight="14.4" x14ac:dyDescent="0.3"/>
  <cols>
    <col min="1" max="1" width="52" customWidth="1"/>
    <col min="2" max="2" width="16" customWidth="1"/>
    <col min="3" max="3" width="95" customWidth="1"/>
    <col min="4" max="4" width="10" customWidth="1"/>
    <col min="5" max="5" width="20" customWidth="1"/>
  </cols>
  <sheetData>
    <row r="1" spans="1:5" ht="16.8" x14ac:dyDescent="0.3">
      <c r="A1" s="6" t="s">
        <v>23</v>
      </c>
    </row>
    <row r="2" spans="1:5" x14ac:dyDescent="0.3">
      <c r="A2" s="7" t="s">
        <v>24</v>
      </c>
    </row>
    <row r="4" spans="1:5" ht="26.4" x14ac:dyDescent="0.3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</row>
    <row r="5" spans="1:5" x14ac:dyDescent="0.3">
      <c r="A5" s="7" t="s">
        <v>30</v>
      </c>
      <c r="B5" s="9">
        <v>1.0820000000000001</v>
      </c>
      <c r="C5" s="4" t="s">
        <v>31</v>
      </c>
      <c r="D5" s="10">
        <v>2001</v>
      </c>
      <c r="E5" s="11">
        <v>1.77</v>
      </c>
    </row>
    <row r="6" spans="1:5" ht="26.4" x14ac:dyDescent="0.3">
      <c r="A6" s="7" t="s">
        <v>32</v>
      </c>
      <c r="B6" s="12">
        <v>2018</v>
      </c>
      <c r="C6" s="4" t="s">
        <v>33</v>
      </c>
      <c r="D6" s="10">
        <v>2002</v>
      </c>
      <c r="E6" s="11">
        <v>1.74</v>
      </c>
    </row>
    <row r="7" spans="1:5" ht="26.4" x14ac:dyDescent="0.3">
      <c r="A7" s="7" t="s">
        <v>34</v>
      </c>
      <c r="B7" s="13">
        <f>INDEX($E$5:$E$40,MATCH(B6,$D$5:$D$40,0))</f>
        <v>1.25</v>
      </c>
      <c r="C7" s="4" t="s">
        <v>35</v>
      </c>
      <c r="D7" s="10">
        <v>2003</v>
      </c>
      <c r="E7" s="11">
        <v>1.7</v>
      </c>
    </row>
    <row r="8" spans="1:5" x14ac:dyDescent="0.3">
      <c r="A8" s="7" t="s">
        <v>36</v>
      </c>
      <c r="B8" s="14">
        <f>B5*B7</f>
        <v>1.3525</v>
      </c>
      <c r="C8" s="4" t="s">
        <v>37</v>
      </c>
      <c r="D8" s="10">
        <v>2004</v>
      </c>
      <c r="E8" s="11">
        <v>1.66</v>
      </c>
    </row>
    <row r="9" spans="1:5" x14ac:dyDescent="0.3">
      <c r="A9" s="7" t="s">
        <v>38</v>
      </c>
      <c r="B9" s="12">
        <v>2020</v>
      </c>
      <c r="C9" s="4" t="s">
        <v>39</v>
      </c>
      <c r="D9" s="10">
        <v>2005</v>
      </c>
      <c r="E9" s="11">
        <v>1.61</v>
      </c>
    </row>
    <row r="10" spans="1:5" x14ac:dyDescent="0.3">
      <c r="A10" s="7" t="s">
        <v>40</v>
      </c>
      <c r="B10" s="12">
        <v>2025</v>
      </c>
      <c r="C10" s="4" t="s">
        <v>41</v>
      </c>
      <c r="D10" s="10">
        <v>2006</v>
      </c>
      <c r="E10" s="11">
        <v>1.56</v>
      </c>
    </row>
    <row r="11" spans="1:5" x14ac:dyDescent="0.3">
      <c r="A11" s="7" t="s">
        <v>42</v>
      </c>
      <c r="B11" s="12">
        <v>2024</v>
      </c>
      <c r="C11" s="4" t="s">
        <v>43</v>
      </c>
      <c r="D11" s="10">
        <v>2007</v>
      </c>
      <c r="E11" s="11">
        <v>1.51</v>
      </c>
    </row>
    <row r="12" spans="1:5" x14ac:dyDescent="0.3">
      <c r="A12" s="7" t="s">
        <v>44</v>
      </c>
      <c r="B12" s="12">
        <v>1</v>
      </c>
      <c r="C12" s="7" t="s">
        <v>45</v>
      </c>
      <c r="D12" s="10">
        <v>2008</v>
      </c>
      <c r="E12" s="11">
        <v>1.46</v>
      </c>
    </row>
    <row r="13" spans="1:5" ht="26.4" x14ac:dyDescent="0.3">
      <c r="A13" s="8" t="s">
        <v>46</v>
      </c>
      <c r="B13" s="8" t="s">
        <v>47</v>
      </c>
      <c r="C13" s="8" t="s">
        <v>48</v>
      </c>
      <c r="D13" s="10">
        <v>2009</v>
      </c>
      <c r="E13" s="11">
        <v>1.46</v>
      </c>
    </row>
    <row r="14" spans="1:5" x14ac:dyDescent="0.3">
      <c r="A14" s="7" t="s">
        <v>49</v>
      </c>
      <c r="B14" s="14">
        <f>1</f>
        <v>1</v>
      </c>
      <c r="C14" s="7" t="s">
        <v>50</v>
      </c>
      <c r="D14" s="10">
        <v>2010</v>
      </c>
      <c r="E14" s="11">
        <v>1.44</v>
      </c>
    </row>
    <row r="15" spans="1:5" x14ac:dyDescent="0.3">
      <c r="A15" s="7" t="s">
        <v>51</v>
      </c>
      <c r="B15" s="14">
        <f>B8</f>
        <v>1.3525</v>
      </c>
      <c r="C15" s="7" t="s">
        <v>52</v>
      </c>
      <c r="D15" s="10">
        <v>2011</v>
      </c>
      <c r="E15" s="11">
        <v>1.39</v>
      </c>
    </row>
    <row r="16" spans="1:5" x14ac:dyDescent="0.3">
      <c r="A16" s="7" t="s">
        <v>53</v>
      </c>
      <c r="B16" s="14">
        <f>B5*1</f>
        <v>1.0820000000000001</v>
      </c>
      <c r="C16" s="7" t="s">
        <v>54</v>
      </c>
      <c r="D16" s="10">
        <v>2012</v>
      </c>
      <c r="E16" s="11">
        <v>1.37</v>
      </c>
    </row>
    <row r="17" spans="1:5" x14ac:dyDescent="0.3">
      <c r="A17" s="7" t="s">
        <v>55</v>
      </c>
      <c r="B17" s="14">
        <f>1</f>
        <v>1</v>
      </c>
      <c r="C17" s="7" t="s">
        <v>56</v>
      </c>
      <c r="D17" s="10">
        <v>2013</v>
      </c>
      <c r="E17" s="11">
        <v>1.35</v>
      </c>
    </row>
    <row r="18" spans="1:5" x14ac:dyDescent="0.3">
      <c r="A18" s="7" t="s">
        <v>57</v>
      </c>
      <c r="B18" s="14">
        <f>$B$5*INDEX($E$5:$E$40,MATCH(2015,$D$5:$D$40,0))</f>
        <v>1.4282400000000002</v>
      </c>
      <c r="C18" s="7" t="s">
        <v>58</v>
      </c>
      <c r="D18" s="10">
        <v>2014</v>
      </c>
      <c r="E18" s="11">
        <v>1.32</v>
      </c>
    </row>
    <row r="19" spans="1:5" x14ac:dyDescent="0.3">
      <c r="A19" s="7" t="s">
        <v>59</v>
      </c>
      <c r="B19" s="14">
        <f>$B$5*INDEX($E$5:$E$40,MATCH(2016,$D$5:$D$40,0))</f>
        <v>1.4174200000000001</v>
      </c>
      <c r="C19" s="7" t="s">
        <v>60</v>
      </c>
      <c r="D19" s="10">
        <v>2015</v>
      </c>
      <c r="E19" s="11">
        <v>1.32</v>
      </c>
    </row>
    <row r="20" spans="1:5" x14ac:dyDescent="0.3">
      <c r="A20" s="7" t="s">
        <v>61</v>
      </c>
      <c r="B20" s="14">
        <f>$B$5*INDEX($E$5:$E$40,MATCH(2017,$D$5:$D$40,0))</f>
        <v>1.3849600000000002</v>
      </c>
      <c r="C20" s="7" t="s">
        <v>62</v>
      </c>
      <c r="D20" s="10">
        <v>2016</v>
      </c>
      <c r="E20" s="11">
        <v>1.31</v>
      </c>
    </row>
    <row r="21" spans="1:5" x14ac:dyDescent="0.3">
      <c r="A21" s="7" t="s">
        <v>63</v>
      </c>
      <c r="B21" s="14">
        <f>$B$5*INDEX($E$5:$E$40,MATCH(2018,$D$5:$D$40,0))</f>
        <v>1.3525</v>
      </c>
      <c r="C21" s="7" t="s">
        <v>64</v>
      </c>
      <c r="D21" s="10">
        <v>2017</v>
      </c>
      <c r="E21" s="11">
        <v>1.28</v>
      </c>
    </row>
    <row r="22" spans="1:5" x14ac:dyDescent="0.3">
      <c r="A22" s="7" t="s">
        <v>65</v>
      </c>
      <c r="B22" s="14">
        <f>$B$5*INDEX($E$5:$E$40,MATCH(2019,$D$5:$D$40,0))</f>
        <v>1.3308600000000002</v>
      </c>
      <c r="C22" s="7" t="s">
        <v>66</v>
      </c>
      <c r="D22" s="10">
        <v>2018</v>
      </c>
      <c r="E22" s="11">
        <v>1.25</v>
      </c>
    </row>
    <row r="23" spans="1:5" x14ac:dyDescent="0.3">
      <c r="D23" s="10">
        <v>2019</v>
      </c>
      <c r="E23" s="11">
        <v>1.23</v>
      </c>
    </row>
    <row r="24" spans="1:5" x14ac:dyDescent="0.3">
      <c r="A24" s="15" t="s">
        <v>67</v>
      </c>
      <c r="D24" s="10">
        <v>2020</v>
      </c>
      <c r="E24" s="11">
        <v>1.21</v>
      </c>
    </row>
    <row r="25" spans="1:5" x14ac:dyDescent="0.3">
      <c r="D25" s="10">
        <v>2021</v>
      </c>
      <c r="E25" s="11">
        <v>1.1599999999999999</v>
      </c>
    </row>
    <row r="26" spans="1:5" x14ac:dyDescent="0.3">
      <c r="D26" s="10">
        <v>2022</v>
      </c>
      <c r="E26" s="11">
        <v>1.07</v>
      </c>
    </row>
    <row r="27" spans="1:5" x14ac:dyDescent="0.3">
      <c r="D27" s="10">
        <v>2023</v>
      </c>
      <c r="E27" s="11">
        <v>1.03</v>
      </c>
    </row>
    <row r="28" spans="1:5" x14ac:dyDescent="0.3">
      <c r="D28" s="10">
        <v>2024</v>
      </c>
      <c r="E28" s="1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38" customWidth="1"/>
    <col min="2" max="2" width="11" customWidth="1"/>
    <col min="3" max="3" width="38" customWidth="1"/>
    <col min="4" max="4" width="55" customWidth="1"/>
    <col min="5" max="5" width="8" customWidth="1"/>
    <col min="6" max="6" width="50" customWidth="1"/>
    <col min="7" max="7" width="22" customWidth="1"/>
    <col min="8" max="8" width="14" customWidth="1"/>
    <col min="9" max="9" width="12" customWidth="1"/>
    <col min="10" max="10" width="55" customWidth="1"/>
  </cols>
  <sheetData>
    <row r="1" spans="1:10" ht="26.4" x14ac:dyDescent="0.3">
      <c r="A1" s="8" t="s">
        <v>68</v>
      </c>
      <c r="B1" s="8" t="s">
        <v>69</v>
      </c>
      <c r="C1" s="8" t="s">
        <v>70</v>
      </c>
      <c r="D1" s="8" t="s">
        <v>71</v>
      </c>
      <c r="E1" s="8" t="s">
        <v>28</v>
      </c>
      <c r="F1" s="8" t="s">
        <v>72</v>
      </c>
      <c r="G1" s="8" t="s">
        <v>73</v>
      </c>
      <c r="H1" s="8" t="s">
        <v>74</v>
      </c>
      <c r="I1" s="8" t="s">
        <v>75</v>
      </c>
      <c r="J1" s="8" t="s">
        <v>76</v>
      </c>
    </row>
    <row r="2" spans="1:10" ht="39.6" x14ac:dyDescent="0.3">
      <c r="A2" s="16" t="s">
        <v>77</v>
      </c>
      <c r="B2" s="16" t="s">
        <v>78</v>
      </c>
      <c r="C2" s="16" t="s">
        <v>79</v>
      </c>
      <c r="D2" s="16" t="s">
        <v>80</v>
      </c>
      <c r="E2" s="16"/>
      <c r="F2" s="16" t="s">
        <v>81</v>
      </c>
      <c r="G2" s="16" t="s">
        <v>82</v>
      </c>
      <c r="H2" s="16" t="s">
        <v>83</v>
      </c>
      <c r="I2" s="16" t="s">
        <v>84</v>
      </c>
      <c r="J2" s="16" t="s">
        <v>85</v>
      </c>
    </row>
    <row r="3" spans="1:10" ht="39.6" x14ac:dyDescent="0.3">
      <c r="A3" s="16" t="s">
        <v>86</v>
      </c>
      <c r="B3" s="16" t="s">
        <v>78</v>
      </c>
      <c r="C3" s="16" t="s">
        <v>87</v>
      </c>
      <c r="D3" s="16" t="s">
        <v>80</v>
      </c>
      <c r="E3" s="16"/>
      <c r="F3" s="16" t="s">
        <v>81</v>
      </c>
      <c r="G3" s="16" t="s">
        <v>82</v>
      </c>
      <c r="H3" s="16" t="s">
        <v>83</v>
      </c>
      <c r="I3" s="16" t="s">
        <v>84</v>
      </c>
      <c r="J3" s="16" t="s">
        <v>85</v>
      </c>
    </row>
    <row r="4" spans="1:10" ht="39.6" x14ac:dyDescent="0.3">
      <c r="A4" s="16" t="s">
        <v>88</v>
      </c>
      <c r="B4" s="16" t="s">
        <v>78</v>
      </c>
      <c r="C4" s="16" t="s">
        <v>89</v>
      </c>
      <c r="D4" s="16" t="s">
        <v>80</v>
      </c>
      <c r="E4" s="16"/>
      <c r="F4" s="16" t="s">
        <v>81</v>
      </c>
      <c r="G4" s="16" t="s">
        <v>82</v>
      </c>
      <c r="H4" s="16" t="s">
        <v>83</v>
      </c>
      <c r="I4" s="16" t="s">
        <v>84</v>
      </c>
      <c r="J4" s="16" t="s">
        <v>85</v>
      </c>
    </row>
    <row r="5" spans="1:10" ht="39.6" x14ac:dyDescent="0.3">
      <c r="A5" s="16" t="s">
        <v>90</v>
      </c>
      <c r="B5" s="16" t="s">
        <v>78</v>
      </c>
      <c r="C5" s="16" t="s">
        <v>91</v>
      </c>
      <c r="D5" s="16" t="s">
        <v>80</v>
      </c>
      <c r="E5" s="16"/>
      <c r="F5" s="16" t="s">
        <v>81</v>
      </c>
      <c r="G5" s="16" t="s">
        <v>82</v>
      </c>
      <c r="H5" s="16" t="s">
        <v>83</v>
      </c>
      <c r="I5" s="16" t="s">
        <v>84</v>
      </c>
      <c r="J5" s="16" t="s">
        <v>85</v>
      </c>
    </row>
    <row r="6" spans="1:10" ht="39.6" x14ac:dyDescent="0.3">
      <c r="A6" s="16" t="s">
        <v>92</v>
      </c>
      <c r="B6" s="16" t="s">
        <v>78</v>
      </c>
      <c r="C6" s="16" t="s">
        <v>93</v>
      </c>
      <c r="D6" s="16" t="s">
        <v>80</v>
      </c>
      <c r="E6" s="16"/>
      <c r="F6" s="16" t="s">
        <v>81</v>
      </c>
      <c r="G6" s="16" t="s">
        <v>82</v>
      </c>
      <c r="H6" s="16" t="s">
        <v>83</v>
      </c>
      <c r="I6" s="16" t="s">
        <v>84</v>
      </c>
      <c r="J6" s="16" t="s">
        <v>85</v>
      </c>
    </row>
    <row r="7" spans="1:10" ht="39.6" x14ac:dyDescent="0.3">
      <c r="A7" s="16" t="s">
        <v>94</v>
      </c>
      <c r="B7" s="16" t="s">
        <v>78</v>
      </c>
      <c r="C7" s="16" t="s">
        <v>95</v>
      </c>
      <c r="D7" s="16" t="s">
        <v>80</v>
      </c>
      <c r="E7" s="16"/>
      <c r="F7" s="16" t="s">
        <v>81</v>
      </c>
      <c r="G7" s="16" t="s">
        <v>82</v>
      </c>
      <c r="H7" s="16" t="s">
        <v>83</v>
      </c>
      <c r="I7" s="16" t="s">
        <v>84</v>
      </c>
      <c r="J7" s="16" t="s">
        <v>85</v>
      </c>
    </row>
    <row r="8" spans="1:10" ht="39.6" x14ac:dyDescent="0.3">
      <c r="A8" s="16" t="s">
        <v>96</v>
      </c>
      <c r="B8" s="16" t="s">
        <v>78</v>
      </c>
      <c r="C8" s="16" t="s">
        <v>97</v>
      </c>
      <c r="D8" s="16" t="s">
        <v>80</v>
      </c>
      <c r="E8" s="16"/>
      <c r="F8" s="16" t="s">
        <v>81</v>
      </c>
      <c r="G8" s="16" t="s">
        <v>82</v>
      </c>
      <c r="H8" s="16" t="s">
        <v>83</v>
      </c>
      <c r="I8" s="16" t="s">
        <v>84</v>
      </c>
      <c r="J8" s="16" t="s">
        <v>85</v>
      </c>
    </row>
    <row r="9" spans="1:10" ht="39.6" x14ac:dyDescent="0.3">
      <c r="A9" s="16" t="s">
        <v>98</v>
      </c>
      <c r="B9" s="16" t="s">
        <v>78</v>
      </c>
      <c r="C9" s="16" t="s">
        <v>99</v>
      </c>
      <c r="D9" s="16" t="s">
        <v>80</v>
      </c>
      <c r="E9" s="16"/>
      <c r="F9" s="16" t="s">
        <v>81</v>
      </c>
      <c r="G9" s="16" t="s">
        <v>82</v>
      </c>
      <c r="H9" s="16" t="s">
        <v>83</v>
      </c>
      <c r="I9" s="16" t="s">
        <v>84</v>
      </c>
      <c r="J9" s="16" t="s">
        <v>85</v>
      </c>
    </row>
    <row r="10" spans="1:10" ht="39.6" x14ac:dyDescent="0.3">
      <c r="A10" s="16" t="s">
        <v>100</v>
      </c>
      <c r="B10" s="16" t="s">
        <v>78</v>
      </c>
      <c r="C10" s="16" t="s">
        <v>101</v>
      </c>
      <c r="D10" s="16" t="s">
        <v>80</v>
      </c>
      <c r="E10" s="16"/>
      <c r="F10" s="16" t="s">
        <v>81</v>
      </c>
      <c r="G10" s="16" t="s">
        <v>82</v>
      </c>
      <c r="H10" s="16" t="s">
        <v>83</v>
      </c>
      <c r="I10" s="16" t="s">
        <v>84</v>
      </c>
      <c r="J10" s="16" t="s">
        <v>85</v>
      </c>
    </row>
    <row r="11" spans="1:10" ht="39.6" x14ac:dyDescent="0.3">
      <c r="A11" s="16" t="s">
        <v>102</v>
      </c>
      <c r="B11" s="16" t="s">
        <v>78</v>
      </c>
      <c r="C11" s="16" t="s">
        <v>103</v>
      </c>
      <c r="D11" s="16" t="s">
        <v>80</v>
      </c>
      <c r="E11" s="16"/>
      <c r="F11" s="16" t="s">
        <v>81</v>
      </c>
      <c r="G11" s="16" t="s">
        <v>82</v>
      </c>
      <c r="H11" s="16" t="s">
        <v>83</v>
      </c>
      <c r="I11" s="16" t="s">
        <v>84</v>
      </c>
      <c r="J11" s="16" t="s">
        <v>85</v>
      </c>
    </row>
    <row r="12" spans="1:10" ht="39.6" x14ac:dyDescent="0.3">
      <c r="A12" s="16" t="s">
        <v>104</v>
      </c>
      <c r="B12" s="16" t="s">
        <v>78</v>
      </c>
      <c r="C12" s="16" t="s">
        <v>105</v>
      </c>
      <c r="D12" s="16" t="s">
        <v>80</v>
      </c>
      <c r="E12" s="16"/>
      <c r="F12" s="16" t="s">
        <v>81</v>
      </c>
      <c r="G12" s="16" t="s">
        <v>82</v>
      </c>
      <c r="H12" s="16" t="s">
        <v>83</v>
      </c>
      <c r="I12" s="16" t="s">
        <v>84</v>
      </c>
      <c r="J12" s="16" t="s">
        <v>85</v>
      </c>
    </row>
    <row r="13" spans="1:10" ht="39.6" x14ac:dyDescent="0.3">
      <c r="A13" s="16" t="s">
        <v>106</v>
      </c>
      <c r="B13" s="16" t="s">
        <v>78</v>
      </c>
      <c r="C13" s="16" t="s">
        <v>107</v>
      </c>
      <c r="D13" s="16" t="s">
        <v>80</v>
      </c>
      <c r="E13" s="16"/>
      <c r="F13" s="16" t="s">
        <v>81</v>
      </c>
      <c r="G13" s="16" t="s">
        <v>82</v>
      </c>
      <c r="H13" s="16" t="s">
        <v>83</v>
      </c>
      <c r="I13" s="16" t="s">
        <v>84</v>
      </c>
      <c r="J13" s="16" t="s">
        <v>85</v>
      </c>
    </row>
    <row r="14" spans="1:10" ht="39.6" x14ac:dyDescent="0.3">
      <c r="A14" s="16" t="s">
        <v>108</v>
      </c>
      <c r="B14" s="16" t="s">
        <v>78</v>
      </c>
      <c r="C14" s="16" t="s">
        <v>109</v>
      </c>
      <c r="D14" s="16" t="s">
        <v>80</v>
      </c>
      <c r="E14" s="16"/>
      <c r="F14" s="16" t="s">
        <v>81</v>
      </c>
      <c r="G14" s="16" t="s">
        <v>82</v>
      </c>
      <c r="H14" s="16" t="s">
        <v>83</v>
      </c>
      <c r="I14" s="16" t="s">
        <v>84</v>
      </c>
      <c r="J14" s="16" t="s">
        <v>85</v>
      </c>
    </row>
    <row r="15" spans="1:10" ht="39.6" x14ac:dyDescent="0.3">
      <c r="A15" s="16" t="s">
        <v>110</v>
      </c>
      <c r="B15" s="16" t="s">
        <v>78</v>
      </c>
      <c r="C15" s="16" t="s">
        <v>111</v>
      </c>
      <c r="D15" s="16" t="s">
        <v>80</v>
      </c>
      <c r="E15" s="16"/>
      <c r="F15" s="16" t="s">
        <v>81</v>
      </c>
      <c r="G15" s="16" t="s">
        <v>82</v>
      </c>
      <c r="H15" s="16" t="s">
        <v>83</v>
      </c>
      <c r="I15" s="16" t="s">
        <v>84</v>
      </c>
      <c r="J15" s="16" t="s">
        <v>85</v>
      </c>
    </row>
    <row r="16" spans="1:10" ht="39.6" x14ac:dyDescent="0.3">
      <c r="A16" s="16" t="s">
        <v>112</v>
      </c>
      <c r="B16" s="16" t="s">
        <v>78</v>
      </c>
      <c r="C16" s="16" t="s">
        <v>113</v>
      </c>
      <c r="D16" s="16" t="s">
        <v>80</v>
      </c>
      <c r="E16" s="16"/>
      <c r="F16" s="16" t="s">
        <v>81</v>
      </c>
      <c r="G16" s="16" t="s">
        <v>82</v>
      </c>
      <c r="H16" s="16" t="s">
        <v>83</v>
      </c>
      <c r="I16" s="16" t="s">
        <v>84</v>
      </c>
      <c r="J16" s="16" t="s">
        <v>85</v>
      </c>
    </row>
    <row r="17" spans="1:10" ht="39.6" x14ac:dyDescent="0.3">
      <c r="A17" s="16" t="s">
        <v>114</v>
      </c>
      <c r="B17" s="16" t="s">
        <v>78</v>
      </c>
      <c r="C17" s="16" t="s">
        <v>115</v>
      </c>
      <c r="D17" s="16" t="s">
        <v>80</v>
      </c>
      <c r="E17" s="16"/>
      <c r="F17" s="16" t="s">
        <v>81</v>
      </c>
      <c r="G17" s="16" t="s">
        <v>82</v>
      </c>
      <c r="H17" s="16" t="s">
        <v>83</v>
      </c>
      <c r="I17" s="16" t="s">
        <v>84</v>
      </c>
      <c r="J17" s="16" t="s">
        <v>85</v>
      </c>
    </row>
    <row r="18" spans="1:10" ht="39.6" x14ac:dyDescent="0.3">
      <c r="A18" s="16" t="s">
        <v>116</v>
      </c>
      <c r="B18" s="16" t="s">
        <v>78</v>
      </c>
      <c r="C18" s="16" t="s">
        <v>117</v>
      </c>
      <c r="D18" s="16" t="s">
        <v>80</v>
      </c>
      <c r="E18" s="16"/>
      <c r="F18" s="16" t="s">
        <v>81</v>
      </c>
      <c r="G18" s="16" t="s">
        <v>82</v>
      </c>
      <c r="H18" s="16" t="s">
        <v>83</v>
      </c>
      <c r="I18" s="16" t="s">
        <v>84</v>
      </c>
      <c r="J18" s="16" t="s">
        <v>85</v>
      </c>
    </row>
    <row r="19" spans="1:10" ht="39.6" x14ac:dyDescent="0.3">
      <c r="A19" s="16" t="s">
        <v>118</v>
      </c>
      <c r="B19" s="16" t="s">
        <v>78</v>
      </c>
      <c r="C19" s="16" t="s">
        <v>119</v>
      </c>
      <c r="D19" s="16" t="s">
        <v>80</v>
      </c>
      <c r="E19" s="16"/>
      <c r="F19" s="16" t="s">
        <v>81</v>
      </c>
      <c r="G19" s="16" t="s">
        <v>82</v>
      </c>
      <c r="H19" s="16" t="s">
        <v>83</v>
      </c>
      <c r="I19" s="16" t="s">
        <v>84</v>
      </c>
      <c r="J19" s="16" t="s">
        <v>85</v>
      </c>
    </row>
    <row r="20" spans="1:10" ht="39.6" x14ac:dyDescent="0.3">
      <c r="A20" s="16" t="s">
        <v>120</v>
      </c>
      <c r="B20" s="16" t="s">
        <v>78</v>
      </c>
      <c r="C20" s="16" t="s">
        <v>121</v>
      </c>
      <c r="D20" s="16" t="s">
        <v>80</v>
      </c>
      <c r="E20" s="16"/>
      <c r="F20" s="16" t="s">
        <v>81</v>
      </c>
      <c r="G20" s="16" t="s">
        <v>82</v>
      </c>
      <c r="H20" s="16" t="s">
        <v>83</v>
      </c>
      <c r="I20" s="16" t="s">
        <v>84</v>
      </c>
      <c r="J20" s="16" t="s">
        <v>85</v>
      </c>
    </row>
    <row r="21" spans="1:10" ht="39.6" x14ac:dyDescent="0.3">
      <c r="A21" s="16" t="s">
        <v>122</v>
      </c>
      <c r="B21" s="16" t="s">
        <v>78</v>
      </c>
      <c r="C21" s="16" t="s">
        <v>123</v>
      </c>
      <c r="D21" s="16" t="s">
        <v>80</v>
      </c>
      <c r="E21" s="16"/>
      <c r="F21" s="16" t="s">
        <v>81</v>
      </c>
      <c r="G21" s="16" t="s">
        <v>82</v>
      </c>
      <c r="H21" s="16" t="s">
        <v>83</v>
      </c>
      <c r="I21" s="16" t="s">
        <v>84</v>
      </c>
      <c r="J21" s="16" t="s">
        <v>85</v>
      </c>
    </row>
    <row r="22" spans="1:10" ht="39.6" x14ac:dyDescent="0.3">
      <c r="A22" s="16" t="s">
        <v>124</v>
      </c>
      <c r="B22" s="16" t="s">
        <v>78</v>
      </c>
      <c r="C22" s="16" t="s">
        <v>125</v>
      </c>
      <c r="D22" s="16" t="s">
        <v>80</v>
      </c>
      <c r="E22" s="16"/>
      <c r="F22" s="16" t="s">
        <v>81</v>
      </c>
      <c r="G22" s="16" t="s">
        <v>82</v>
      </c>
      <c r="H22" s="16" t="s">
        <v>83</v>
      </c>
      <c r="I22" s="16" t="s">
        <v>84</v>
      </c>
      <c r="J22" s="16" t="s">
        <v>85</v>
      </c>
    </row>
    <row r="23" spans="1:10" ht="39.6" x14ac:dyDescent="0.3">
      <c r="A23" s="16" t="s">
        <v>126</v>
      </c>
      <c r="B23" s="16" t="s">
        <v>78</v>
      </c>
      <c r="C23" s="16" t="s">
        <v>127</v>
      </c>
      <c r="D23" s="16" t="s">
        <v>80</v>
      </c>
      <c r="E23" s="16"/>
      <c r="F23" s="16" t="s">
        <v>81</v>
      </c>
      <c r="G23" s="16" t="s">
        <v>82</v>
      </c>
      <c r="H23" s="16" t="s">
        <v>83</v>
      </c>
      <c r="I23" s="16" t="s">
        <v>84</v>
      </c>
      <c r="J23" s="16" t="s">
        <v>85</v>
      </c>
    </row>
    <row r="24" spans="1:10" ht="39.6" x14ac:dyDescent="0.3">
      <c r="A24" s="16" t="s">
        <v>128</v>
      </c>
      <c r="B24" s="16" t="s">
        <v>78</v>
      </c>
      <c r="C24" s="16" t="s">
        <v>129</v>
      </c>
      <c r="D24" s="16" t="s">
        <v>80</v>
      </c>
      <c r="E24" s="16"/>
      <c r="F24" s="16" t="s">
        <v>81</v>
      </c>
      <c r="G24" s="16" t="s">
        <v>82</v>
      </c>
      <c r="H24" s="16" t="s">
        <v>83</v>
      </c>
      <c r="I24" s="16" t="s">
        <v>84</v>
      </c>
      <c r="J24" s="16" t="s">
        <v>85</v>
      </c>
    </row>
    <row r="25" spans="1:10" ht="39.6" x14ac:dyDescent="0.3">
      <c r="A25" s="16" t="s">
        <v>130</v>
      </c>
      <c r="B25" s="16" t="s">
        <v>78</v>
      </c>
      <c r="C25" s="16" t="s">
        <v>131</v>
      </c>
      <c r="D25" s="16" t="s">
        <v>80</v>
      </c>
      <c r="E25" s="16"/>
      <c r="F25" s="16" t="s">
        <v>81</v>
      </c>
      <c r="G25" s="16" t="s">
        <v>82</v>
      </c>
      <c r="H25" s="16" t="s">
        <v>83</v>
      </c>
      <c r="I25" s="16" t="s">
        <v>84</v>
      </c>
      <c r="J25" s="16" t="s">
        <v>85</v>
      </c>
    </row>
    <row r="26" spans="1:10" ht="39.6" x14ac:dyDescent="0.3">
      <c r="A26" s="16" t="s">
        <v>132</v>
      </c>
      <c r="B26" s="16" t="s">
        <v>78</v>
      </c>
      <c r="C26" s="16" t="s">
        <v>133</v>
      </c>
      <c r="D26" s="16" t="s">
        <v>80</v>
      </c>
      <c r="E26" s="16"/>
      <c r="F26" s="16" t="s">
        <v>81</v>
      </c>
      <c r="G26" s="16" t="s">
        <v>82</v>
      </c>
      <c r="H26" s="16" t="s">
        <v>83</v>
      </c>
      <c r="I26" s="16" t="s">
        <v>84</v>
      </c>
      <c r="J26" s="16" t="s">
        <v>85</v>
      </c>
    </row>
    <row r="27" spans="1:10" ht="39.6" x14ac:dyDescent="0.3">
      <c r="A27" s="16" t="s">
        <v>134</v>
      </c>
      <c r="B27" s="16" t="s">
        <v>78</v>
      </c>
      <c r="C27" s="16" t="s">
        <v>135</v>
      </c>
      <c r="D27" s="16" t="s">
        <v>80</v>
      </c>
      <c r="E27" s="16"/>
      <c r="F27" s="16" t="s">
        <v>81</v>
      </c>
      <c r="G27" s="16" t="s">
        <v>82</v>
      </c>
      <c r="H27" s="16" t="s">
        <v>83</v>
      </c>
      <c r="I27" s="16" t="s">
        <v>84</v>
      </c>
      <c r="J27" s="16" t="s">
        <v>85</v>
      </c>
    </row>
    <row r="28" spans="1:10" ht="39.6" x14ac:dyDescent="0.3">
      <c r="A28" s="16" t="s">
        <v>136</v>
      </c>
      <c r="B28" s="16" t="s">
        <v>78</v>
      </c>
      <c r="C28" s="16" t="s">
        <v>137</v>
      </c>
      <c r="D28" s="16" t="s">
        <v>80</v>
      </c>
      <c r="E28" s="16"/>
      <c r="F28" s="16" t="s">
        <v>81</v>
      </c>
      <c r="G28" s="16" t="s">
        <v>82</v>
      </c>
      <c r="H28" s="16" t="s">
        <v>83</v>
      </c>
      <c r="I28" s="16" t="s">
        <v>84</v>
      </c>
      <c r="J28" s="16" t="s">
        <v>85</v>
      </c>
    </row>
    <row r="29" spans="1:10" ht="39.6" x14ac:dyDescent="0.3">
      <c r="A29" s="16" t="s">
        <v>138</v>
      </c>
      <c r="B29" s="16" t="s">
        <v>78</v>
      </c>
      <c r="C29" s="16" t="s">
        <v>139</v>
      </c>
      <c r="D29" s="16" t="s">
        <v>80</v>
      </c>
      <c r="E29" s="16"/>
      <c r="F29" s="16" t="s">
        <v>81</v>
      </c>
      <c r="G29" s="16" t="s">
        <v>82</v>
      </c>
      <c r="H29" s="16" t="s">
        <v>83</v>
      </c>
      <c r="I29" s="16" t="s">
        <v>84</v>
      </c>
      <c r="J29" s="16" t="s">
        <v>85</v>
      </c>
    </row>
    <row r="30" spans="1:10" ht="39.6" x14ac:dyDescent="0.3">
      <c r="A30" s="16" t="s">
        <v>140</v>
      </c>
      <c r="B30" s="16" t="s">
        <v>78</v>
      </c>
      <c r="C30" s="16" t="s">
        <v>141</v>
      </c>
      <c r="D30" s="16" t="s">
        <v>80</v>
      </c>
      <c r="E30" s="16"/>
      <c r="F30" s="16" t="s">
        <v>81</v>
      </c>
      <c r="G30" s="16" t="s">
        <v>82</v>
      </c>
      <c r="H30" s="16" t="s">
        <v>83</v>
      </c>
      <c r="I30" s="16" t="s">
        <v>84</v>
      </c>
      <c r="J30" s="16" t="s">
        <v>85</v>
      </c>
    </row>
    <row r="31" spans="1:10" ht="39.6" x14ac:dyDescent="0.3">
      <c r="A31" s="16" t="s">
        <v>142</v>
      </c>
      <c r="B31" s="16" t="s">
        <v>78</v>
      </c>
      <c r="C31" s="16" t="s">
        <v>143</v>
      </c>
      <c r="D31" s="16" t="s">
        <v>80</v>
      </c>
      <c r="E31" s="16"/>
      <c r="F31" s="16" t="s">
        <v>81</v>
      </c>
      <c r="G31" s="16" t="s">
        <v>82</v>
      </c>
      <c r="H31" s="16" t="s">
        <v>83</v>
      </c>
      <c r="I31" s="16" t="s">
        <v>84</v>
      </c>
      <c r="J31" s="16" t="s">
        <v>85</v>
      </c>
    </row>
    <row r="32" spans="1:10" ht="39.6" x14ac:dyDescent="0.3">
      <c r="A32" s="16" t="s">
        <v>144</v>
      </c>
      <c r="B32" s="16" t="s">
        <v>78</v>
      </c>
      <c r="C32" s="16" t="s">
        <v>145</v>
      </c>
      <c r="D32" s="16" t="s">
        <v>80</v>
      </c>
      <c r="E32" s="16"/>
      <c r="F32" s="16" t="s">
        <v>81</v>
      </c>
      <c r="G32" s="16" t="s">
        <v>82</v>
      </c>
      <c r="H32" s="16" t="s">
        <v>83</v>
      </c>
      <c r="I32" s="16" t="s">
        <v>84</v>
      </c>
      <c r="J32" s="16" t="s">
        <v>85</v>
      </c>
    </row>
    <row r="33" spans="1:10" ht="39.6" x14ac:dyDescent="0.3">
      <c r="A33" s="16" t="s">
        <v>146</v>
      </c>
      <c r="B33" s="16" t="s">
        <v>78</v>
      </c>
      <c r="C33" s="16" t="s">
        <v>147</v>
      </c>
      <c r="D33" s="16" t="s">
        <v>80</v>
      </c>
      <c r="E33" s="16"/>
      <c r="F33" s="16" t="s">
        <v>81</v>
      </c>
      <c r="G33" s="16" t="s">
        <v>82</v>
      </c>
      <c r="H33" s="16" t="s">
        <v>83</v>
      </c>
      <c r="I33" s="16" t="s">
        <v>84</v>
      </c>
      <c r="J33" s="16" t="s">
        <v>85</v>
      </c>
    </row>
    <row r="34" spans="1:10" ht="39.6" x14ac:dyDescent="0.3">
      <c r="A34" s="16" t="s">
        <v>148</v>
      </c>
      <c r="B34" s="16" t="s">
        <v>78</v>
      </c>
      <c r="C34" s="16" t="s">
        <v>149</v>
      </c>
      <c r="D34" s="16" t="s">
        <v>80</v>
      </c>
      <c r="E34" s="16"/>
      <c r="F34" s="16" t="s">
        <v>81</v>
      </c>
      <c r="G34" s="16" t="s">
        <v>82</v>
      </c>
      <c r="H34" s="16" t="s">
        <v>83</v>
      </c>
      <c r="I34" s="16" t="s">
        <v>84</v>
      </c>
      <c r="J34" s="16" t="s">
        <v>85</v>
      </c>
    </row>
    <row r="35" spans="1:10" ht="39.6" x14ac:dyDescent="0.3">
      <c r="A35" s="16" t="s">
        <v>150</v>
      </c>
      <c r="B35" s="16" t="s">
        <v>78</v>
      </c>
      <c r="C35" s="16" t="s">
        <v>151</v>
      </c>
      <c r="D35" s="16" t="s">
        <v>80</v>
      </c>
      <c r="E35" s="16"/>
      <c r="F35" s="16" t="s">
        <v>81</v>
      </c>
      <c r="G35" s="16" t="s">
        <v>82</v>
      </c>
      <c r="H35" s="16" t="s">
        <v>83</v>
      </c>
      <c r="I35" s="16" t="s">
        <v>84</v>
      </c>
      <c r="J35" s="16" t="s">
        <v>85</v>
      </c>
    </row>
    <row r="36" spans="1:10" ht="26.4" x14ac:dyDescent="0.3">
      <c r="A36" s="16" t="s">
        <v>152</v>
      </c>
      <c r="B36" s="16" t="s">
        <v>153</v>
      </c>
      <c r="C36" s="16" t="s">
        <v>154</v>
      </c>
      <c r="D36" s="16" t="s">
        <v>155</v>
      </c>
      <c r="E36" s="16">
        <v>2019</v>
      </c>
      <c r="F36" s="16" t="s">
        <v>156</v>
      </c>
      <c r="G36" s="16" t="s">
        <v>157</v>
      </c>
      <c r="H36" s="16" t="s">
        <v>83</v>
      </c>
      <c r="I36" s="16" t="s">
        <v>84</v>
      </c>
      <c r="J36" s="16" t="s">
        <v>158</v>
      </c>
    </row>
    <row r="37" spans="1:10" ht="26.4" x14ac:dyDescent="0.3">
      <c r="A37" s="16" t="s">
        <v>159</v>
      </c>
      <c r="B37" s="16" t="s">
        <v>153</v>
      </c>
      <c r="C37" s="16" t="s">
        <v>160</v>
      </c>
      <c r="D37" s="16" t="s">
        <v>161</v>
      </c>
      <c r="E37" s="16">
        <v>2019</v>
      </c>
      <c r="F37" s="16" t="s">
        <v>162</v>
      </c>
      <c r="G37" s="16" t="s">
        <v>157</v>
      </c>
      <c r="H37" s="16" t="s">
        <v>83</v>
      </c>
      <c r="I37" s="16" t="s">
        <v>84</v>
      </c>
      <c r="J37" s="16" t="s">
        <v>158</v>
      </c>
    </row>
    <row r="38" spans="1:10" ht="26.4" x14ac:dyDescent="0.3">
      <c r="A38" s="16" t="s">
        <v>163</v>
      </c>
      <c r="B38" s="16" t="s">
        <v>153</v>
      </c>
      <c r="C38" s="16" t="s">
        <v>160</v>
      </c>
      <c r="D38" s="16" t="s">
        <v>164</v>
      </c>
      <c r="E38" s="16">
        <v>2021</v>
      </c>
      <c r="F38" s="16" t="s">
        <v>162</v>
      </c>
      <c r="G38" s="16" t="s">
        <v>157</v>
      </c>
      <c r="H38" s="16" t="s">
        <v>83</v>
      </c>
      <c r="I38" s="16" t="s">
        <v>84</v>
      </c>
      <c r="J38" s="16" t="s">
        <v>158</v>
      </c>
    </row>
    <row r="39" spans="1:10" ht="26.4" x14ac:dyDescent="0.3">
      <c r="A39" s="16" t="s">
        <v>165</v>
      </c>
      <c r="B39" s="16" t="s">
        <v>153</v>
      </c>
      <c r="C39" s="16" t="s">
        <v>160</v>
      </c>
      <c r="D39" s="16" t="s">
        <v>166</v>
      </c>
      <c r="E39" s="16">
        <v>2022</v>
      </c>
      <c r="F39" s="16" t="s">
        <v>162</v>
      </c>
      <c r="G39" s="16" t="s">
        <v>157</v>
      </c>
      <c r="H39" s="16" t="s">
        <v>83</v>
      </c>
      <c r="I39" s="16" t="s">
        <v>84</v>
      </c>
      <c r="J39" s="16" t="s">
        <v>158</v>
      </c>
    </row>
    <row r="40" spans="1:10" ht="26.4" x14ac:dyDescent="0.3">
      <c r="A40" s="16" t="s">
        <v>167</v>
      </c>
      <c r="B40" s="16" t="s">
        <v>153</v>
      </c>
      <c r="C40" s="16" t="s">
        <v>160</v>
      </c>
      <c r="D40" s="16" t="s">
        <v>168</v>
      </c>
      <c r="E40" s="16">
        <v>2023</v>
      </c>
      <c r="F40" s="16" t="s">
        <v>162</v>
      </c>
      <c r="G40" s="16" t="s">
        <v>157</v>
      </c>
      <c r="H40" s="16" t="s">
        <v>83</v>
      </c>
      <c r="I40" s="16" t="s">
        <v>84</v>
      </c>
      <c r="J40" s="16" t="s">
        <v>158</v>
      </c>
    </row>
    <row r="41" spans="1:10" ht="26.4" x14ac:dyDescent="0.3">
      <c r="A41" s="16" t="s">
        <v>169</v>
      </c>
      <c r="B41" s="16" t="s">
        <v>153</v>
      </c>
      <c r="C41" s="16" t="s">
        <v>160</v>
      </c>
      <c r="D41" s="16" t="s">
        <v>170</v>
      </c>
      <c r="E41" s="16">
        <v>2024</v>
      </c>
      <c r="F41" s="16" t="s">
        <v>162</v>
      </c>
      <c r="G41" s="16" t="s">
        <v>157</v>
      </c>
      <c r="H41" s="16" t="s">
        <v>83</v>
      </c>
      <c r="I41" s="16" t="s">
        <v>84</v>
      </c>
      <c r="J41" s="16" t="s">
        <v>158</v>
      </c>
    </row>
    <row r="42" spans="1:10" ht="39.6" x14ac:dyDescent="0.3">
      <c r="A42" s="16" t="s">
        <v>171</v>
      </c>
      <c r="B42" s="16" t="s">
        <v>172</v>
      </c>
      <c r="C42" s="16" t="s">
        <v>173</v>
      </c>
      <c r="D42" s="16" t="s">
        <v>174</v>
      </c>
      <c r="E42" s="16">
        <v>2024</v>
      </c>
      <c r="F42" s="16" t="s">
        <v>175</v>
      </c>
      <c r="G42" s="16" t="s">
        <v>157</v>
      </c>
      <c r="H42" s="16" t="s">
        <v>83</v>
      </c>
      <c r="I42" s="16" t="s">
        <v>84</v>
      </c>
      <c r="J42" s="16" t="s">
        <v>176</v>
      </c>
    </row>
    <row r="43" spans="1:10" ht="39.6" x14ac:dyDescent="0.3">
      <c r="A43" s="16" t="s">
        <v>177</v>
      </c>
      <c r="B43" s="16" t="s">
        <v>178</v>
      </c>
      <c r="C43" s="16" t="s">
        <v>179</v>
      </c>
      <c r="D43" s="16" t="s">
        <v>180</v>
      </c>
      <c r="E43" s="16"/>
      <c r="F43" s="16" t="s">
        <v>181</v>
      </c>
      <c r="G43" s="16" t="s">
        <v>182</v>
      </c>
      <c r="H43" s="16" t="s">
        <v>83</v>
      </c>
      <c r="I43" s="16" t="s">
        <v>84</v>
      </c>
      <c r="J43" s="16" t="s">
        <v>183</v>
      </c>
    </row>
    <row r="44" spans="1:10" x14ac:dyDescent="0.3">
      <c r="A44" s="16" t="s">
        <v>184</v>
      </c>
      <c r="B44" s="16" t="s">
        <v>178</v>
      </c>
      <c r="C44" s="16" t="s">
        <v>185</v>
      </c>
      <c r="D44" s="16" t="s">
        <v>186</v>
      </c>
      <c r="E44" s="16">
        <v>2018</v>
      </c>
      <c r="F44" s="16" t="s">
        <v>187</v>
      </c>
      <c r="G44" s="16" t="s">
        <v>157</v>
      </c>
      <c r="H44" s="16" t="s">
        <v>83</v>
      </c>
      <c r="I44" s="16" t="s">
        <v>84</v>
      </c>
      <c r="J44" s="16" t="s">
        <v>188</v>
      </c>
    </row>
    <row r="45" spans="1:10" x14ac:dyDescent="0.3">
      <c r="A45" s="16" t="s">
        <v>189</v>
      </c>
      <c r="B45" s="16" t="s">
        <v>178</v>
      </c>
      <c r="C45" s="16" t="s">
        <v>190</v>
      </c>
      <c r="D45" s="16" t="s">
        <v>186</v>
      </c>
      <c r="E45" s="16">
        <v>2018</v>
      </c>
      <c r="F45" s="16" t="s">
        <v>187</v>
      </c>
      <c r="G45" s="16" t="s">
        <v>157</v>
      </c>
      <c r="H45" s="16" t="s">
        <v>83</v>
      </c>
      <c r="I45" s="16" t="s">
        <v>84</v>
      </c>
      <c r="J45" s="16" t="s">
        <v>191</v>
      </c>
    </row>
    <row r="46" spans="1:10" x14ac:dyDescent="0.3">
      <c r="A46" s="16" t="s">
        <v>192</v>
      </c>
      <c r="B46" s="16" t="s">
        <v>178</v>
      </c>
      <c r="C46" s="16" t="s">
        <v>193</v>
      </c>
      <c r="D46" s="16" t="s">
        <v>186</v>
      </c>
      <c r="E46" s="16">
        <v>2017</v>
      </c>
      <c r="F46" s="16" t="s">
        <v>187</v>
      </c>
      <c r="G46" s="16" t="s">
        <v>157</v>
      </c>
      <c r="H46" s="16" t="s">
        <v>83</v>
      </c>
      <c r="I46" s="16" t="s">
        <v>84</v>
      </c>
      <c r="J46" s="16" t="s">
        <v>191</v>
      </c>
    </row>
    <row r="47" spans="1:10" x14ac:dyDescent="0.3">
      <c r="A47" s="16" t="s">
        <v>194</v>
      </c>
      <c r="B47" s="16" t="s">
        <v>178</v>
      </c>
      <c r="C47" s="16" t="s">
        <v>195</v>
      </c>
      <c r="D47" s="16" t="s">
        <v>186</v>
      </c>
      <c r="E47" s="16">
        <v>2019</v>
      </c>
      <c r="F47" s="16" t="s">
        <v>187</v>
      </c>
      <c r="G47" s="16" t="s">
        <v>157</v>
      </c>
      <c r="H47" s="16" t="s">
        <v>83</v>
      </c>
      <c r="I47" s="16" t="s">
        <v>84</v>
      </c>
      <c r="J47" s="16" t="s">
        <v>196</v>
      </c>
    </row>
    <row r="48" spans="1:10" x14ac:dyDescent="0.3">
      <c r="A48" s="16" t="s">
        <v>197</v>
      </c>
      <c r="B48" s="16" t="s">
        <v>178</v>
      </c>
      <c r="C48" s="16" t="s">
        <v>198</v>
      </c>
      <c r="D48" s="16" t="s">
        <v>186</v>
      </c>
      <c r="E48" s="16">
        <v>2017</v>
      </c>
      <c r="F48" s="16" t="s">
        <v>187</v>
      </c>
      <c r="G48" s="16" t="s">
        <v>157</v>
      </c>
      <c r="H48" s="16" t="s">
        <v>83</v>
      </c>
      <c r="I48" s="16" t="s">
        <v>84</v>
      </c>
      <c r="J48" s="16" t="s">
        <v>199</v>
      </c>
    </row>
    <row r="49" spans="1:10" x14ac:dyDescent="0.3">
      <c r="A49" s="16" t="s">
        <v>200</v>
      </c>
      <c r="B49" s="16" t="s">
        <v>178</v>
      </c>
      <c r="C49" s="16" t="s">
        <v>201</v>
      </c>
      <c r="D49" s="16" t="s">
        <v>186</v>
      </c>
      <c r="E49" s="16">
        <v>2017</v>
      </c>
      <c r="F49" s="16" t="s">
        <v>187</v>
      </c>
      <c r="G49" s="16" t="s">
        <v>157</v>
      </c>
      <c r="H49" s="16" t="s">
        <v>83</v>
      </c>
      <c r="I49" s="16" t="s">
        <v>84</v>
      </c>
      <c r="J49" s="16" t="s">
        <v>199</v>
      </c>
    </row>
    <row r="50" spans="1:10" ht="26.4" x14ac:dyDescent="0.3">
      <c r="A50" s="16" t="s">
        <v>202</v>
      </c>
      <c r="B50" s="16" t="s">
        <v>178</v>
      </c>
      <c r="C50" s="16" t="s">
        <v>203</v>
      </c>
      <c r="D50" s="16" t="s">
        <v>186</v>
      </c>
      <c r="E50" s="16">
        <v>2018</v>
      </c>
      <c r="F50" s="16" t="s">
        <v>187</v>
      </c>
      <c r="G50" s="16" t="s">
        <v>157</v>
      </c>
      <c r="H50" s="16" t="s">
        <v>83</v>
      </c>
      <c r="I50" s="16" t="s">
        <v>84</v>
      </c>
      <c r="J50" s="16" t="s">
        <v>204</v>
      </c>
    </row>
    <row r="51" spans="1:10" x14ac:dyDescent="0.3">
      <c r="A51" s="16" t="s">
        <v>205</v>
      </c>
      <c r="B51" s="16" t="s">
        <v>178</v>
      </c>
      <c r="C51" s="16" t="s">
        <v>206</v>
      </c>
      <c r="D51" s="16" t="s">
        <v>186</v>
      </c>
      <c r="E51" s="16">
        <v>2018</v>
      </c>
      <c r="F51" s="16" t="s">
        <v>187</v>
      </c>
      <c r="G51" s="16" t="s">
        <v>157</v>
      </c>
      <c r="H51" s="16" t="s">
        <v>83</v>
      </c>
      <c r="I51" s="16" t="s">
        <v>84</v>
      </c>
      <c r="J51" s="16" t="s">
        <v>191</v>
      </c>
    </row>
    <row r="52" spans="1:10" x14ac:dyDescent="0.3">
      <c r="A52" s="16" t="s">
        <v>207</v>
      </c>
      <c r="B52" s="16" t="s">
        <v>178</v>
      </c>
      <c r="C52" s="16" t="s">
        <v>208</v>
      </c>
      <c r="D52" s="16" t="s">
        <v>186</v>
      </c>
      <c r="E52" s="16">
        <v>2017</v>
      </c>
      <c r="F52" s="16" t="s">
        <v>187</v>
      </c>
      <c r="G52" s="16" t="s">
        <v>157</v>
      </c>
      <c r="H52" s="16" t="s">
        <v>83</v>
      </c>
      <c r="I52" s="16" t="s">
        <v>84</v>
      </c>
      <c r="J52" s="16" t="s">
        <v>191</v>
      </c>
    </row>
    <row r="53" spans="1:10" x14ac:dyDescent="0.3">
      <c r="A53" s="16" t="s">
        <v>209</v>
      </c>
      <c r="B53" s="16" t="s">
        <v>178</v>
      </c>
      <c r="C53" s="16" t="s">
        <v>210</v>
      </c>
      <c r="D53" s="16" t="s">
        <v>186</v>
      </c>
      <c r="E53" s="16">
        <v>2017</v>
      </c>
      <c r="F53" s="16" t="s">
        <v>187</v>
      </c>
      <c r="G53" s="16" t="s">
        <v>157</v>
      </c>
      <c r="H53" s="16" t="s">
        <v>83</v>
      </c>
      <c r="I53" s="16" t="s">
        <v>84</v>
      </c>
      <c r="J53" s="16" t="s">
        <v>188</v>
      </c>
    </row>
    <row r="54" spans="1:10" x14ac:dyDescent="0.3">
      <c r="A54" s="16" t="s">
        <v>211</v>
      </c>
      <c r="B54" s="16" t="s">
        <v>178</v>
      </c>
      <c r="C54" s="16" t="s">
        <v>212</v>
      </c>
      <c r="D54" s="16" t="s">
        <v>186</v>
      </c>
      <c r="E54" s="16">
        <v>2018</v>
      </c>
      <c r="F54" s="16" t="s">
        <v>187</v>
      </c>
      <c r="G54" s="16" t="s">
        <v>157</v>
      </c>
      <c r="H54" s="16" t="s">
        <v>83</v>
      </c>
      <c r="I54" s="16" t="s">
        <v>84</v>
      </c>
      <c r="J54" s="16" t="s">
        <v>191</v>
      </c>
    </row>
    <row r="55" spans="1:10" ht="26.4" x14ac:dyDescent="0.3">
      <c r="A55" s="16" t="s">
        <v>213</v>
      </c>
      <c r="B55" s="16" t="s">
        <v>178</v>
      </c>
      <c r="C55" s="16" t="s">
        <v>214</v>
      </c>
      <c r="D55" s="16" t="s">
        <v>186</v>
      </c>
      <c r="E55" s="16">
        <v>2017</v>
      </c>
      <c r="F55" s="16" t="s">
        <v>187</v>
      </c>
      <c r="G55" s="16" t="s">
        <v>157</v>
      </c>
      <c r="H55" s="16" t="s">
        <v>83</v>
      </c>
      <c r="I55" s="16" t="s">
        <v>84</v>
      </c>
      <c r="J55" s="16" t="s">
        <v>204</v>
      </c>
    </row>
    <row r="56" spans="1:10" x14ac:dyDescent="0.3">
      <c r="A56" s="16" t="s">
        <v>215</v>
      </c>
      <c r="B56" s="16" t="s">
        <v>178</v>
      </c>
      <c r="C56" s="16" t="s">
        <v>216</v>
      </c>
      <c r="D56" s="16" t="s">
        <v>186</v>
      </c>
      <c r="E56" s="16">
        <v>2019</v>
      </c>
      <c r="F56" s="16" t="s">
        <v>187</v>
      </c>
      <c r="G56" s="16" t="s">
        <v>157</v>
      </c>
      <c r="H56" s="16" t="s">
        <v>83</v>
      </c>
      <c r="I56" s="16" t="s">
        <v>84</v>
      </c>
      <c r="J56" s="16" t="s">
        <v>191</v>
      </c>
    </row>
    <row r="57" spans="1:10" x14ac:dyDescent="0.3">
      <c r="A57" s="16" t="s">
        <v>160</v>
      </c>
      <c r="B57" s="16" t="s">
        <v>178</v>
      </c>
      <c r="C57" s="16" t="s">
        <v>217</v>
      </c>
      <c r="D57" s="16" t="s">
        <v>186</v>
      </c>
      <c r="E57" s="16">
        <v>2019</v>
      </c>
      <c r="F57" s="16" t="s">
        <v>187</v>
      </c>
      <c r="G57" s="16" t="s">
        <v>157</v>
      </c>
      <c r="H57" s="16" t="s">
        <v>83</v>
      </c>
      <c r="I57" s="16" t="s">
        <v>84</v>
      </c>
      <c r="J57" s="16" t="s">
        <v>191</v>
      </c>
    </row>
    <row r="58" spans="1:10" x14ac:dyDescent="0.3">
      <c r="A58" s="16" t="s">
        <v>218</v>
      </c>
      <c r="B58" s="16" t="s">
        <v>178</v>
      </c>
      <c r="C58" s="16" t="s">
        <v>219</v>
      </c>
      <c r="D58" s="16" t="s">
        <v>186</v>
      </c>
      <c r="E58" s="16">
        <v>2018</v>
      </c>
      <c r="F58" s="16" t="s">
        <v>187</v>
      </c>
      <c r="G58" s="16" t="s">
        <v>157</v>
      </c>
      <c r="H58" s="16" t="s">
        <v>83</v>
      </c>
      <c r="I58" s="16" t="s">
        <v>84</v>
      </c>
      <c r="J58" s="16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8" customWidth="1"/>
    <col min="2" max="2" width="11" customWidth="1"/>
    <col min="3" max="3" width="34" customWidth="1"/>
    <col min="4" max="4" width="12" customWidth="1"/>
    <col min="5" max="5" width="24" customWidth="1"/>
    <col min="6" max="6" width="18" customWidth="1"/>
    <col min="7" max="7" width="11" customWidth="1"/>
    <col min="8" max="8" width="12" customWidth="1"/>
    <col min="9" max="9" width="11" customWidth="1"/>
    <col min="10" max="10" width="16" customWidth="1"/>
    <col min="11" max="13" width="9" customWidth="1"/>
    <col min="14" max="14" width="22" customWidth="1"/>
    <col min="15" max="15" width="10" customWidth="1"/>
    <col min="16" max="16" width="18" customWidth="1"/>
    <col min="17" max="17" width="13" customWidth="1"/>
    <col min="18" max="19" width="11" customWidth="1"/>
    <col min="20" max="20" width="12" customWidth="1"/>
    <col min="21" max="21" width="11" customWidth="1"/>
    <col min="22" max="22" width="16" customWidth="1"/>
    <col min="23" max="23" width="11" customWidth="1"/>
    <col min="24" max="24" width="70" customWidth="1"/>
    <col min="25" max="25" width="14" customWidth="1"/>
    <col min="26" max="26" width="30" customWidth="1"/>
    <col min="27" max="27" width="12" customWidth="1"/>
  </cols>
  <sheetData>
    <row r="1" spans="1:27" ht="39.6" x14ac:dyDescent="0.3">
      <c r="A1" s="8" t="s">
        <v>220</v>
      </c>
      <c r="B1" s="8" t="s">
        <v>221</v>
      </c>
      <c r="C1" s="8" t="s">
        <v>68</v>
      </c>
      <c r="D1" s="8" t="s">
        <v>222</v>
      </c>
      <c r="E1" s="8" t="s">
        <v>25</v>
      </c>
      <c r="F1" s="8" t="s">
        <v>223</v>
      </c>
      <c r="G1" s="8" t="s">
        <v>224</v>
      </c>
      <c r="H1" s="8" t="s">
        <v>225</v>
      </c>
      <c r="I1" s="8" t="s">
        <v>226</v>
      </c>
      <c r="J1" s="8" t="s">
        <v>227</v>
      </c>
      <c r="K1" s="8" t="s">
        <v>228</v>
      </c>
      <c r="L1" s="8" t="s">
        <v>229</v>
      </c>
      <c r="M1" s="8" t="s">
        <v>230</v>
      </c>
      <c r="N1" s="8" t="s">
        <v>231</v>
      </c>
      <c r="O1" s="8" t="s">
        <v>232</v>
      </c>
      <c r="P1" s="8" t="s">
        <v>233</v>
      </c>
      <c r="Q1" s="8" t="s">
        <v>46</v>
      </c>
      <c r="R1" s="8" t="s">
        <v>234</v>
      </c>
      <c r="S1" s="8" t="s">
        <v>235</v>
      </c>
      <c r="T1" s="8" t="s">
        <v>236</v>
      </c>
      <c r="U1" s="8" t="s">
        <v>237</v>
      </c>
      <c r="V1" s="8" t="s">
        <v>238</v>
      </c>
      <c r="W1" s="8" t="s">
        <v>75</v>
      </c>
      <c r="X1" s="8" t="s">
        <v>239</v>
      </c>
      <c r="Y1" s="8" t="s">
        <v>240</v>
      </c>
      <c r="Z1" s="8" t="s">
        <v>241</v>
      </c>
      <c r="AA1" s="8" t="s">
        <v>242</v>
      </c>
    </row>
    <row r="2" spans="1:27" x14ac:dyDescent="0.3">
      <c r="A2" s="7" t="s">
        <v>243</v>
      </c>
      <c r="B2" s="7" t="s">
        <v>78</v>
      </c>
      <c r="C2" s="7" t="s">
        <v>77</v>
      </c>
      <c r="D2" s="7" t="s">
        <v>244</v>
      </c>
      <c r="E2" s="7" t="s">
        <v>245</v>
      </c>
      <c r="F2" s="7" t="s">
        <v>246</v>
      </c>
      <c r="G2" s="17">
        <v>837.45901000000003</v>
      </c>
      <c r="H2" s="17">
        <v>1164.5900999999999</v>
      </c>
      <c r="I2" s="17">
        <v>1596.4073000000001</v>
      </c>
      <c r="J2" s="7" t="s">
        <v>247</v>
      </c>
      <c r="K2" s="7">
        <v>2015</v>
      </c>
      <c r="L2" s="7" t="str">
        <f>IF(Y2&lt;&gt;"",Y2,IF(AND(K2&gt;=Hypothèses!$B$9,K2&lt;=Hypothèses!$B$10),"actuel",IF(K2=2030,"2030",IF(K2=2050,"2050","autre"))))</f>
        <v>autre</v>
      </c>
      <c r="M2" s="7"/>
      <c r="N2" s="7" t="s">
        <v>248</v>
      </c>
      <c r="O2" s="7"/>
      <c r="P2" s="7" t="s">
        <v>249</v>
      </c>
      <c r="Q2" s="7" t="s">
        <v>49</v>
      </c>
      <c r="R2" s="14">
        <f>INDEX(Hypothèses!$B$14:$B$22,MATCH(Q2,Hypothèses!$A$14:$A$22,0))</f>
        <v>1</v>
      </c>
      <c r="S2" s="17">
        <f t="shared" ref="S2:S65" si="0">IF(G2="","",G2*R2)</f>
        <v>837.45901000000003</v>
      </c>
      <c r="T2" s="17">
        <f t="shared" ref="T2:T65" si="1">IF(H2="","",H2*R2)</f>
        <v>1164.5900999999999</v>
      </c>
      <c r="U2" s="17">
        <f t="shared" ref="U2:U65" si="2">IF(I2="","",I2*R2)</f>
        <v>1596.4073000000001</v>
      </c>
      <c r="V2" s="7" t="s">
        <v>247</v>
      </c>
      <c r="W2" s="7" t="s">
        <v>84</v>
      </c>
      <c r="X2" s="7" t="s">
        <v>250</v>
      </c>
      <c r="Y2" s="7"/>
      <c r="Z2" s="7"/>
      <c r="AA2" s="7">
        <f>IF(AND(Hypothèses!$B$12=1,Z2="Secondary_Source"),0,1)</f>
        <v>1</v>
      </c>
    </row>
    <row r="3" spans="1:27" x14ac:dyDescent="0.3">
      <c r="A3" s="7" t="s">
        <v>251</v>
      </c>
      <c r="B3" s="7" t="s">
        <v>78</v>
      </c>
      <c r="C3" s="7" t="s">
        <v>77</v>
      </c>
      <c r="D3" s="7" t="s">
        <v>244</v>
      </c>
      <c r="E3" s="7" t="s">
        <v>245</v>
      </c>
      <c r="F3" s="7" t="s">
        <v>246</v>
      </c>
      <c r="G3" s="17">
        <v>850.54413</v>
      </c>
      <c r="H3" s="17">
        <v>1138.4177999999999</v>
      </c>
      <c r="I3" s="17">
        <v>1478.6370999999999</v>
      </c>
      <c r="J3" s="7" t="s">
        <v>247</v>
      </c>
      <c r="K3" s="7">
        <v>2016</v>
      </c>
      <c r="L3" s="7" t="str">
        <f>IF(Y3&lt;&gt;"",Y3,IF(AND(K3&gt;=Hypothèses!$B$9,K3&lt;=Hypothèses!$B$10),"actuel",IF(K3=2030,"2030",IF(K3=2050,"2050","autre"))))</f>
        <v>autre</v>
      </c>
      <c r="M3" s="7"/>
      <c r="N3" s="7" t="s">
        <v>248</v>
      </c>
      <c r="O3" s="7"/>
      <c r="P3" s="7" t="s">
        <v>249</v>
      </c>
      <c r="Q3" s="7" t="s">
        <v>49</v>
      </c>
      <c r="R3" s="14">
        <f>INDEX(Hypothèses!$B$14:$B$22,MATCH(Q3,Hypothèses!$A$14:$A$22,0))</f>
        <v>1</v>
      </c>
      <c r="S3" s="17">
        <f t="shared" si="0"/>
        <v>850.54413</v>
      </c>
      <c r="T3" s="17">
        <f t="shared" si="1"/>
        <v>1138.4177999999999</v>
      </c>
      <c r="U3" s="17">
        <f t="shared" si="2"/>
        <v>1478.6370999999999</v>
      </c>
      <c r="V3" s="7" t="s">
        <v>247</v>
      </c>
      <c r="W3" s="7" t="s">
        <v>84</v>
      </c>
      <c r="X3" s="7" t="s">
        <v>250</v>
      </c>
      <c r="Y3" s="7"/>
      <c r="Z3" s="7"/>
      <c r="AA3" s="7">
        <f>IF(AND(Hypothèses!$B$12=1,Z3="Secondary_Source"),0,1)</f>
        <v>1</v>
      </c>
    </row>
    <row r="4" spans="1:27" x14ac:dyDescent="0.3">
      <c r="A4" s="7" t="s">
        <v>252</v>
      </c>
      <c r="B4" s="7" t="s">
        <v>78</v>
      </c>
      <c r="C4" s="7" t="s">
        <v>77</v>
      </c>
      <c r="D4" s="7" t="s">
        <v>244</v>
      </c>
      <c r="E4" s="7" t="s">
        <v>245</v>
      </c>
      <c r="F4" s="7" t="s">
        <v>246</v>
      </c>
      <c r="G4" s="17">
        <v>1417.6096</v>
      </c>
      <c r="H4" s="17">
        <v>978.5</v>
      </c>
      <c r="I4" s="17">
        <v>1498.9177999999999</v>
      </c>
      <c r="J4" s="7" t="s">
        <v>247</v>
      </c>
      <c r="K4" s="7">
        <v>2017</v>
      </c>
      <c r="L4" s="7" t="str">
        <f>IF(Y4&lt;&gt;"",Y4,IF(AND(K4&gt;=Hypothèses!$B$9,K4&lt;=Hypothèses!$B$10),"actuel",IF(K4=2030,"2030",IF(K4=2050,"2050","autre"))))</f>
        <v>autre</v>
      </c>
      <c r="M4" s="7"/>
      <c r="N4" s="7" t="s">
        <v>248</v>
      </c>
      <c r="O4" s="7"/>
      <c r="P4" s="7" t="s">
        <v>249</v>
      </c>
      <c r="Q4" s="7" t="s">
        <v>49</v>
      </c>
      <c r="R4" s="14">
        <f>INDEX(Hypothèses!$B$14:$B$22,MATCH(Q4,Hypothèses!$A$14:$A$22,0))</f>
        <v>1</v>
      </c>
      <c r="S4" s="17">
        <f t="shared" si="0"/>
        <v>1417.6096</v>
      </c>
      <c r="T4" s="17">
        <f t="shared" si="1"/>
        <v>978.5</v>
      </c>
      <c r="U4" s="17">
        <f t="shared" si="2"/>
        <v>1498.9177999999999</v>
      </c>
      <c r="V4" s="7" t="s">
        <v>247</v>
      </c>
      <c r="W4" s="7" t="s">
        <v>84</v>
      </c>
      <c r="X4" s="7" t="s">
        <v>250</v>
      </c>
      <c r="Y4" s="7"/>
      <c r="Z4" s="7"/>
      <c r="AA4" s="7">
        <f>IF(AND(Hypothèses!$B$12=1,Z4="Secondary_Source"),0,1)</f>
        <v>1</v>
      </c>
    </row>
    <row r="5" spans="1:27" x14ac:dyDescent="0.3">
      <c r="A5" s="7" t="s">
        <v>253</v>
      </c>
      <c r="B5" s="7" t="s">
        <v>78</v>
      </c>
      <c r="C5" s="7" t="s">
        <v>77</v>
      </c>
      <c r="D5" s="7" t="s">
        <v>244</v>
      </c>
      <c r="E5" s="7" t="s">
        <v>245</v>
      </c>
      <c r="F5" s="7" t="s">
        <v>246</v>
      </c>
      <c r="G5" s="17">
        <v>824</v>
      </c>
      <c r="H5" s="17">
        <v>1184.5</v>
      </c>
      <c r="I5" s="17">
        <v>1545</v>
      </c>
      <c r="J5" s="7" t="s">
        <v>247</v>
      </c>
      <c r="K5" s="7">
        <v>2019</v>
      </c>
      <c r="L5" s="7" t="str">
        <f>IF(Y5&lt;&gt;"",Y5,IF(AND(K5&gt;=Hypothèses!$B$9,K5&lt;=Hypothèses!$B$10),"actuel",IF(K5=2030,"2030",IF(K5=2050,"2050","autre"))))</f>
        <v>autre</v>
      </c>
      <c r="M5" s="7"/>
      <c r="N5" s="7" t="s">
        <v>248</v>
      </c>
      <c r="O5" s="7"/>
      <c r="P5" s="7" t="s">
        <v>249</v>
      </c>
      <c r="Q5" s="7" t="s">
        <v>49</v>
      </c>
      <c r="R5" s="14">
        <f>INDEX(Hypothèses!$B$14:$B$22,MATCH(Q5,Hypothèses!$A$14:$A$22,0))</f>
        <v>1</v>
      </c>
      <c r="S5" s="17">
        <f t="shared" si="0"/>
        <v>824</v>
      </c>
      <c r="T5" s="17">
        <f t="shared" si="1"/>
        <v>1184.5</v>
      </c>
      <c r="U5" s="17">
        <f t="shared" si="2"/>
        <v>1545</v>
      </c>
      <c r="V5" s="7" t="s">
        <v>247</v>
      </c>
      <c r="W5" s="7" t="s">
        <v>84</v>
      </c>
      <c r="X5" s="7" t="s">
        <v>250</v>
      </c>
      <c r="Y5" s="7"/>
      <c r="Z5" s="7"/>
      <c r="AA5" s="7">
        <f>IF(AND(Hypothèses!$B$12=1,Z5="Secondary_Source"),0,1)</f>
        <v>1</v>
      </c>
    </row>
    <row r="6" spans="1:27" x14ac:dyDescent="0.3">
      <c r="A6" s="7" t="s">
        <v>254</v>
      </c>
      <c r="B6" s="7" t="s">
        <v>78</v>
      </c>
      <c r="C6" s="7" t="s">
        <v>77</v>
      </c>
      <c r="D6" s="7" t="s">
        <v>244</v>
      </c>
      <c r="E6" s="7" t="s">
        <v>245</v>
      </c>
      <c r="F6" s="7" t="s">
        <v>246</v>
      </c>
      <c r="G6" s="17">
        <v>772.5</v>
      </c>
      <c r="H6" s="17">
        <v>983.65</v>
      </c>
      <c r="I6" s="17">
        <v>1194.8</v>
      </c>
      <c r="J6" s="7" t="s">
        <v>247</v>
      </c>
      <c r="K6" s="7">
        <v>2020</v>
      </c>
      <c r="L6" s="7" t="str">
        <f>IF(Y6&lt;&gt;"",Y6,IF(AND(K6&gt;=Hypothèses!$B$9,K6&lt;=Hypothèses!$B$10),"actuel",IF(K6=2030,"2030",IF(K6=2050,"2050","autre"))))</f>
        <v>actuel</v>
      </c>
      <c r="M6" s="7"/>
      <c r="N6" s="7" t="s">
        <v>248</v>
      </c>
      <c r="O6" s="7"/>
      <c r="P6" s="7" t="s">
        <v>249</v>
      </c>
      <c r="Q6" s="7" t="s">
        <v>49</v>
      </c>
      <c r="R6" s="14">
        <f>INDEX(Hypothèses!$B$14:$B$22,MATCH(Q6,Hypothèses!$A$14:$A$22,0))</f>
        <v>1</v>
      </c>
      <c r="S6" s="17">
        <f t="shared" si="0"/>
        <v>772.5</v>
      </c>
      <c r="T6" s="17">
        <f t="shared" si="1"/>
        <v>983.65</v>
      </c>
      <c r="U6" s="17">
        <f t="shared" si="2"/>
        <v>1194.8</v>
      </c>
      <c r="V6" s="7" t="s">
        <v>247</v>
      </c>
      <c r="W6" s="7" t="s">
        <v>84</v>
      </c>
      <c r="X6" s="7" t="s">
        <v>250</v>
      </c>
      <c r="Y6" s="7"/>
      <c r="Z6" s="7"/>
      <c r="AA6" s="7">
        <f>IF(AND(Hypothèses!$B$12=1,Z6="Secondary_Source"),0,1)</f>
        <v>1</v>
      </c>
    </row>
    <row r="7" spans="1:27" x14ac:dyDescent="0.3">
      <c r="A7" s="7" t="s">
        <v>255</v>
      </c>
      <c r="B7" s="7" t="s">
        <v>78</v>
      </c>
      <c r="C7" s="7" t="s">
        <v>77</v>
      </c>
      <c r="D7" s="7" t="s">
        <v>244</v>
      </c>
      <c r="E7" s="7" t="s">
        <v>245</v>
      </c>
      <c r="F7" s="7" t="s">
        <v>246</v>
      </c>
      <c r="G7" s="17">
        <v>613.88</v>
      </c>
      <c r="H7" s="17">
        <v>965.625</v>
      </c>
      <c r="I7" s="17">
        <v>1317.37</v>
      </c>
      <c r="J7" s="7" t="s">
        <v>247</v>
      </c>
      <c r="K7" s="7">
        <v>2021</v>
      </c>
      <c r="L7" s="7" t="str">
        <f>IF(Y7&lt;&gt;"",Y7,IF(AND(K7&gt;=Hypothèses!$B$9,K7&lt;=Hypothèses!$B$10),"actuel",IF(K7=2030,"2030",IF(K7=2050,"2050","autre"))))</f>
        <v>actuel</v>
      </c>
      <c r="M7" s="7"/>
      <c r="N7" s="7" t="s">
        <v>248</v>
      </c>
      <c r="O7" s="7"/>
      <c r="P7" s="7" t="s">
        <v>249</v>
      </c>
      <c r="Q7" s="7" t="s">
        <v>49</v>
      </c>
      <c r="R7" s="14">
        <f>INDEX(Hypothèses!$B$14:$B$22,MATCH(Q7,Hypothèses!$A$14:$A$22,0))</f>
        <v>1</v>
      </c>
      <c r="S7" s="17">
        <f t="shared" si="0"/>
        <v>613.88</v>
      </c>
      <c r="T7" s="17">
        <f t="shared" si="1"/>
        <v>965.625</v>
      </c>
      <c r="U7" s="17">
        <f t="shared" si="2"/>
        <v>1317.37</v>
      </c>
      <c r="V7" s="7" t="s">
        <v>247</v>
      </c>
      <c r="W7" s="7" t="s">
        <v>84</v>
      </c>
      <c r="X7" s="7" t="s">
        <v>250</v>
      </c>
      <c r="Y7" s="7"/>
      <c r="Z7" s="7"/>
      <c r="AA7" s="7">
        <f>IF(AND(Hypothèses!$B$12=1,Z7="Secondary_Source"),0,1)</f>
        <v>1</v>
      </c>
    </row>
    <row r="8" spans="1:27" x14ac:dyDescent="0.3">
      <c r="A8" s="7" t="s">
        <v>256</v>
      </c>
      <c r="B8" s="7" t="s">
        <v>78</v>
      </c>
      <c r="C8" s="7" t="s">
        <v>77</v>
      </c>
      <c r="D8" s="7" t="s">
        <v>244</v>
      </c>
      <c r="E8" s="7" t="s">
        <v>245</v>
      </c>
      <c r="F8" s="7" t="s">
        <v>246</v>
      </c>
      <c r="G8" s="17">
        <v>515</v>
      </c>
      <c r="H8" s="17">
        <v>978.5</v>
      </c>
      <c r="I8" s="17">
        <v>1442</v>
      </c>
      <c r="J8" s="7" t="s">
        <v>247</v>
      </c>
      <c r="K8" s="7">
        <v>2022</v>
      </c>
      <c r="L8" s="7" t="str">
        <f>IF(Y8&lt;&gt;"",Y8,IF(AND(K8&gt;=Hypothèses!$B$9,K8&lt;=Hypothèses!$B$10),"actuel",IF(K8=2030,"2030",IF(K8=2050,"2050","autre"))))</f>
        <v>actuel</v>
      </c>
      <c r="M8" s="7"/>
      <c r="N8" s="7" t="s">
        <v>248</v>
      </c>
      <c r="O8" s="7"/>
      <c r="P8" s="7" t="s">
        <v>249</v>
      </c>
      <c r="Q8" s="7" t="s">
        <v>49</v>
      </c>
      <c r="R8" s="14">
        <f>INDEX(Hypothèses!$B$14:$B$22,MATCH(Q8,Hypothèses!$A$14:$A$22,0))</f>
        <v>1</v>
      </c>
      <c r="S8" s="17">
        <f t="shared" si="0"/>
        <v>515</v>
      </c>
      <c r="T8" s="17">
        <f t="shared" si="1"/>
        <v>978.5</v>
      </c>
      <c r="U8" s="17">
        <f t="shared" si="2"/>
        <v>1442</v>
      </c>
      <c r="V8" s="7" t="s">
        <v>247</v>
      </c>
      <c r="W8" s="7" t="s">
        <v>84</v>
      </c>
      <c r="X8" s="7" t="s">
        <v>250</v>
      </c>
      <c r="Y8" s="7"/>
      <c r="Z8" s="7"/>
      <c r="AA8" s="7">
        <f>IF(AND(Hypothèses!$B$12=1,Z8="Secondary_Source"),0,1)</f>
        <v>1</v>
      </c>
    </row>
    <row r="9" spans="1:27" x14ac:dyDescent="0.3">
      <c r="A9" s="7" t="s">
        <v>257</v>
      </c>
      <c r="B9" s="7" t="s">
        <v>78</v>
      </c>
      <c r="C9" s="7" t="s">
        <v>88</v>
      </c>
      <c r="D9" s="7" t="s">
        <v>244</v>
      </c>
      <c r="E9" s="7" t="s">
        <v>245</v>
      </c>
      <c r="F9" s="7" t="s">
        <v>258</v>
      </c>
      <c r="G9" s="17"/>
      <c r="H9" s="17">
        <v>206</v>
      </c>
      <c r="I9" s="17"/>
      <c r="J9" s="7" t="s">
        <v>247</v>
      </c>
      <c r="K9" s="7">
        <v>2020</v>
      </c>
      <c r="L9" s="7" t="str">
        <f>IF(Y9&lt;&gt;"",Y9,IF(AND(K9&gt;=Hypothèses!$B$9,K9&lt;=Hypothèses!$B$10),"actuel",IF(K9=2030,"2030",IF(K9=2050,"2050","autre"))))</f>
        <v>actuel</v>
      </c>
      <c r="M9" s="7"/>
      <c r="N9" s="7" t="s">
        <v>248</v>
      </c>
      <c r="O9" s="7"/>
      <c r="P9" s="7" t="s">
        <v>259</v>
      </c>
      <c r="Q9" s="7" t="s">
        <v>49</v>
      </c>
      <c r="R9" s="14">
        <f>INDEX(Hypothèses!$B$14:$B$22,MATCH(Q9,Hypothèses!$A$14:$A$22,0))</f>
        <v>1</v>
      </c>
      <c r="S9" s="17" t="str">
        <f t="shared" si="0"/>
        <v/>
      </c>
      <c r="T9" s="17">
        <f t="shared" si="1"/>
        <v>206</v>
      </c>
      <c r="U9" s="17" t="str">
        <f t="shared" si="2"/>
        <v/>
      </c>
      <c r="V9" s="7" t="s">
        <v>247</v>
      </c>
      <c r="W9" s="7" t="s">
        <v>84</v>
      </c>
      <c r="X9" s="7" t="s">
        <v>250</v>
      </c>
      <c r="Y9" s="7"/>
      <c r="Z9" s="7"/>
      <c r="AA9" s="7">
        <f>IF(AND(Hypothèses!$B$12=1,Z9="Secondary_Source"),0,1)</f>
        <v>1</v>
      </c>
    </row>
    <row r="10" spans="1:27" x14ac:dyDescent="0.3">
      <c r="A10" s="7" t="s">
        <v>260</v>
      </c>
      <c r="B10" s="7" t="s">
        <v>78</v>
      </c>
      <c r="C10" s="7" t="s">
        <v>88</v>
      </c>
      <c r="D10" s="7" t="s">
        <v>244</v>
      </c>
      <c r="E10" s="7" t="s">
        <v>245</v>
      </c>
      <c r="F10" s="7" t="s">
        <v>258</v>
      </c>
      <c r="G10" s="17"/>
      <c r="H10" s="17">
        <v>128.75</v>
      </c>
      <c r="I10" s="17"/>
      <c r="J10" s="7" t="s">
        <v>247</v>
      </c>
      <c r="K10" s="7">
        <v>2030</v>
      </c>
      <c r="L10" s="7" t="str">
        <f>IF(Y10&lt;&gt;"",Y10,IF(AND(K10&gt;=Hypothèses!$B$9,K10&lt;=Hypothèses!$B$10),"actuel",IF(K10=2030,"2030",IF(K10=2050,"2050","autre"))))</f>
        <v>2030</v>
      </c>
      <c r="M10" s="7"/>
      <c r="N10" s="7" t="s">
        <v>248</v>
      </c>
      <c r="O10" s="7"/>
      <c r="P10" s="7" t="s">
        <v>259</v>
      </c>
      <c r="Q10" s="7" t="s">
        <v>49</v>
      </c>
      <c r="R10" s="14">
        <f>INDEX(Hypothèses!$B$14:$B$22,MATCH(Q10,Hypothèses!$A$14:$A$22,0))</f>
        <v>1</v>
      </c>
      <c r="S10" s="17" t="str">
        <f t="shared" si="0"/>
        <v/>
      </c>
      <c r="T10" s="17">
        <f t="shared" si="1"/>
        <v>128.75</v>
      </c>
      <c r="U10" s="17" t="str">
        <f t="shared" si="2"/>
        <v/>
      </c>
      <c r="V10" s="7" t="s">
        <v>247</v>
      </c>
      <c r="W10" s="7" t="s">
        <v>84</v>
      </c>
      <c r="X10" s="7" t="s">
        <v>250</v>
      </c>
      <c r="Y10" s="7"/>
      <c r="Z10" s="7"/>
      <c r="AA10" s="7">
        <f>IF(AND(Hypothèses!$B$12=1,Z10="Secondary_Source"),0,1)</f>
        <v>1</v>
      </c>
    </row>
    <row r="11" spans="1:27" x14ac:dyDescent="0.3">
      <c r="A11" s="7" t="s">
        <v>261</v>
      </c>
      <c r="B11" s="7" t="s">
        <v>78</v>
      </c>
      <c r="C11" s="7" t="s">
        <v>88</v>
      </c>
      <c r="D11" s="7" t="s">
        <v>244</v>
      </c>
      <c r="E11" s="7" t="s">
        <v>245</v>
      </c>
      <c r="F11" s="7" t="s">
        <v>258</v>
      </c>
      <c r="G11" s="17"/>
      <c r="H11" s="17">
        <v>92.7</v>
      </c>
      <c r="I11" s="17"/>
      <c r="J11" s="7" t="s">
        <v>247</v>
      </c>
      <c r="K11" s="7">
        <v>2050</v>
      </c>
      <c r="L11" s="7" t="str">
        <f>IF(Y11&lt;&gt;"",Y11,IF(AND(K11&gt;=Hypothèses!$B$9,K11&lt;=Hypothèses!$B$10),"actuel",IF(K11=2030,"2030",IF(K11=2050,"2050","autre"))))</f>
        <v>2050</v>
      </c>
      <c r="M11" s="7"/>
      <c r="N11" s="7" t="s">
        <v>248</v>
      </c>
      <c r="O11" s="7"/>
      <c r="P11" s="7" t="s">
        <v>259</v>
      </c>
      <c r="Q11" s="7" t="s">
        <v>49</v>
      </c>
      <c r="R11" s="14">
        <f>INDEX(Hypothèses!$B$14:$B$22,MATCH(Q11,Hypothèses!$A$14:$A$22,0))</f>
        <v>1</v>
      </c>
      <c r="S11" s="17" t="str">
        <f t="shared" si="0"/>
        <v/>
      </c>
      <c r="T11" s="17">
        <f t="shared" si="1"/>
        <v>92.7</v>
      </c>
      <c r="U11" s="17" t="str">
        <f t="shared" si="2"/>
        <v/>
      </c>
      <c r="V11" s="7" t="s">
        <v>247</v>
      </c>
      <c r="W11" s="7" t="s">
        <v>84</v>
      </c>
      <c r="X11" s="7" t="s">
        <v>250</v>
      </c>
      <c r="Y11" s="7"/>
      <c r="Z11" s="7"/>
      <c r="AA11" s="7">
        <f>IF(AND(Hypothèses!$B$12=1,Z11="Secondary_Source"),0,1)</f>
        <v>1</v>
      </c>
    </row>
    <row r="12" spans="1:27" x14ac:dyDescent="0.3">
      <c r="A12" s="7" t="s">
        <v>262</v>
      </c>
      <c r="B12" s="7" t="s">
        <v>78</v>
      </c>
      <c r="C12" s="7" t="s">
        <v>94</v>
      </c>
      <c r="D12" s="7" t="s">
        <v>244</v>
      </c>
      <c r="E12" s="7" t="s">
        <v>245</v>
      </c>
      <c r="F12" s="7" t="s">
        <v>258</v>
      </c>
      <c r="G12" s="17">
        <v>1647</v>
      </c>
      <c r="H12" s="17">
        <v>2052</v>
      </c>
      <c r="I12" s="17">
        <v>2457</v>
      </c>
      <c r="J12" s="7" t="s">
        <v>247</v>
      </c>
      <c r="K12" s="7">
        <v>2020</v>
      </c>
      <c r="L12" s="7" t="str">
        <f>IF(Y12&lt;&gt;"",Y12,IF(AND(K12&gt;=Hypothèses!$B$9,K12&lt;=Hypothèses!$B$10),"actuel",IF(K12=2030,"2030",IF(K12=2050,"2050","autre"))))</f>
        <v>actuel</v>
      </c>
      <c r="M12" s="7" t="s">
        <v>263</v>
      </c>
      <c r="N12" s="7" t="s">
        <v>248</v>
      </c>
      <c r="O12" s="7"/>
      <c r="P12" s="7" t="s">
        <v>264</v>
      </c>
      <c r="Q12" s="7" t="s">
        <v>49</v>
      </c>
      <c r="R12" s="14">
        <f>INDEX(Hypothèses!$B$14:$B$22,MATCH(Q12,Hypothèses!$A$14:$A$22,0))</f>
        <v>1</v>
      </c>
      <c r="S12" s="17">
        <f t="shared" si="0"/>
        <v>1647</v>
      </c>
      <c r="T12" s="17">
        <f t="shared" si="1"/>
        <v>2052</v>
      </c>
      <c r="U12" s="17">
        <f t="shared" si="2"/>
        <v>2457</v>
      </c>
      <c r="V12" s="7" t="s">
        <v>247</v>
      </c>
      <c r="W12" s="7" t="s">
        <v>84</v>
      </c>
      <c r="X12" s="7" t="s">
        <v>250</v>
      </c>
      <c r="Y12" s="7"/>
      <c r="Z12" s="7"/>
      <c r="AA12" s="7">
        <f>IF(AND(Hypothèses!$B$12=1,Z12="Secondary_Source"),0,1)</f>
        <v>1</v>
      </c>
    </row>
    <row r="13" spans="1:27" x14ac:dyDescent="0.3">
      <c r="A13" s="7" t="s">
        <v>265</v>
      </c>
      <c r="B13" s="7" t="s">
        <v>78</v>
      </c>
      <c r="C13" s="7" t="s">
        <v>94</v>
      </c>
      <c r="D13" s="7" t="s">
        <v>244</v>
      </c>
      <c r="E13" s="7" t="s">
        <v>245</v>
      </c>
      <c r="F13" s="7" t="s">
        <v>258</v>
      </c>
      <c r="G13" s="17"/>
      <c r="H13" s="17">
        <v>1512</v>
      </c>
      <c r="I13" s="17"/>
      <c r="J13" s="7" t="s">
        <v>247</v>
      </c>
      <c r="K13" s="7">
        <v>2025</v>
      </c>
      <c r="L13" s="7" t="str">
        <f>IF(Y13&lt;&gt;"",Y13,IF(AND(K13&gt;=Hypothèses!$B$9,K13&lt;=Hypothèses!$B$10),"actuel",IF(K13=2030,"2030",IF(K13=2050,"2050","autre"))))</f>
        <v>actuel</v>
      </c>
      <c r="M13" s="7" t="s">
        <v>263</v>
      </c>
      <c r="N13" s="7" t="s">
        <v>248</v>
      </c>
      <c r="O13" s="7"/>
      <c r="P13" s="7" t="s">
        <v>264</v>
      </c>
      <c r="Q13" s="7" t="s">
        <v>49</v>
      </c>
      <c r="R13" s="14">
        <f>INDEX(Hypothèses!$B$14:$B$22,MATCH(Q13,Hypothèses!$A$14:$A$22,0))</f>
        <v>1</v>
      </c>
      <c r="S13" s="17" t="str">
        <f t="shared" si="0"/>
        <v/>
      </c>
      <c r="T13" s="17">
        <f t="shared" si="1"/>
        <v>1512</v>
      </c>
      <c r="U13" s="17" t="str">
        <f t="shared" si="2"/>
        <v/>
      </c>
      <c r="V13" s="7" t="s">
        <v>247</v>
      </c>
      <c r="W13" s="7" t="s">
        <v>84</v>
      </c>
      <c r="X13" s="7" t="s">
        <v>250</v>
      </c>
      <c r="Y13" s="7"/>
      <c r="Z13" s="7"/>
      <c r="AA13" s="7">
        <f>IF(AND(Hypothèses!$B$12=1,Z13="Secondary_Source"),0,1)</f>
        <v>1</v>
      </c>
    </row>
    <row r="14" spans="1:27" x14ac:dyDescent="0.3">
      <c r="A14" s="7" t="s">
        <v>266</v>
      </c>
      <c r="B14" s="7" t="s">
        <v>78</v>
      </c>
      <c r="C14" s="7" t="s">
        <v>94</v>
      </c>
      <c r="D14" s="7" t="s">
        <v>244</v>
      </c>
      <c r="E14" s="7" t="s">
        <v>245</v>
      </c>
      <c r="F14" s="7" t="s">
        <v>258</v>
      </c>
      <c r="G14" s="17"/>
      <c r="H14" s="17">
        <v>945</v>
      </c>
      <c r="I14" s="17"/>
      <c r="J14" s="7" t="s">
        <v>247</v>
      </c>
      <c r="K14" s="7">
        <v>2030</v>
      </c>
      <c r="L14" s="7" t="str">
        <f>IF(Y14&lt;&gt;"",Y14,IF(AND(K14&gt;=Hypothèses!$B$9,K14&lt;=Hypothèses!$B$10),"actuel",IF(K14=2030,"2030",IF(K14=2050,"2050","autre"))))</f>
        <v>2030</v>
      </c>
      <c r="M14" s="7" t="s">
        <v>263</v>
      </c>
      <c r="N14" s="7" t="s">
        <v>248</v>
      </c>
      <c r="O14" s="7"/>
      <c r="P14" s="7" t="s">
        <v>264</v>
      </c>
      <c r="Q14" s="7" t="s">
        <v>49</v>
      </c>
      <c r="R14" s="14">
        <f>INDEX(Hypothèses!$B$14:$B$22,MATCH(Q14,Hypothèses!$A$14:$A$22,0))</f>
        <v>1</v>
      </c>
      <c r="S14" s="17" t="str">
        <f t="shared" si="0"/>
        <v/>
      </c>
      <c r="T14" s="17">
        <f t="shared" si="1"/>
        <v>945</v>
      </c>
      <c r="U14" s="17" t="str">
        <f t="shared" si="2"/>
        <v/>
      </c>
      <c r="V14" s="7" t="s">
        <v>247</v>
      </c>
      <c r="W14" s="7" t="s">
        <v>84</v>
      </c>
      <c r="X14" s="7" t="s">
        <v>250</v>
      </c>
      <c r="Y14" s="7"/>
      <c r="Z14" s="7"/>
      <c r="AA14" s="7">
        <f>IF(AND(Hypothèses!$B$12=1,Z14="Secondary_Source"),0,1)</f>
        <v>1</v>
      </c>
    </row>
    <row r="15" spans="1:27" x14ac:dyDescent="0.3">
      <c r="A15" s="7" t="s">
        <v>267</v>
      </c>
      <c r="B15" s="7" t="s">
        <v>78</v>
      </c>
      <c r="C15" s="7" t="s">
        <v>94</v>
      </c>
      <c r="D15" s="7" t="s">
        <v>244</v>
      </c>
      <c r="E15" s="7" t="s">
        <v>245</v>
      </c>
      <c r="F15" s="7" t="s">
        <v>258</v>
      </c>
      <c r="G15" s="17"/>
      <c r="H15" s="17">
        <v>729</v>
      </c>
      <c r="I15" s="17"/>
      <c r="J15" s="7" t="s">
        <v>247</v>
      </c>
      <c r="K15" s="7">
        <v>2040</v>
      </c>
      <c r="L15" s="7" t="str">
        <f>IF(Y15&lt;&gt;"",Y15,IF(AND(K15&gt;=Hypothèses!$B$9,K15&lt;=Hypothèses!$B$10),"actuel",IF(K15=2030,"2030",IF(K15=2050,"2050","autre"))))</f>
        <v>autre</v>
      </c>
      <c r="M15" s="7" t="s">
        <v>263</v>
      </c>
      <c r="N15" s="7" t="s">
        <v>248</v>
      </c>
      <c r="O15" s="7"/>
      <c r="P15" s="7" t="s">
        <v>264</v>
      </c>
      <c r="Q15" s="7" t="s">
        <v>49</v>
      </c>
      <c r="R15" s="14">
        <f>INDEX(Hypothèses!$B$14:$B$22,MATCH(Q15,Hypothèses!$A$14:$A$22,0))</f>
        <v>1</v>
      </c>
      <c r="S15" s="17" t="str">
        <f t="shared" si="0"/>
        <v/>
      </c>
      <c r="T15" s="17">
        <f t="shared" si="1"/>
        <v>729</v>
      </c>
      <c r="U15" s="17" t="str">
        <f t="shared" si="2"/>
        <v/>
      </c>
      <c r="V15" s="7" t="s">
        <v>247</v>
      </c>
      <c r="W15" s="7" t="s">
        <v>84</v>
      </c>
      <c r="X15" s="7" t="s">
        <v>250</v>
      </c>
      <c r="Y15" s="7"/>
      <c r="Z15" s="7"/>
      <c r="AA15" s="7">
        <f>IF(AND(Hypothèses!$B$12=1,Z15="Secondary_Source"),0,1)</f>
        <v>1</v>
      </c>
    </row>
    <row r="16" spans="1:27" x14ac:dyDescent="0.3">
      <c r="A16" s="7" t="s">
        <v>268</v>
      </c>
      <c r="B16" s="7" t="s">
        <v>78</v>
      </c>
      <c r="C16" s="7" t="s">
        <v>94</v>
      </c>
      <c r="D16" s="7" t="s">
        <v>244</v>
      </c>
      <c r="E16" s="7" t="s">
        <v>245</v>
      </c>
      <c r="F16" s="7" t="s">
        <v>258</v>
      </c>
      <c r="G16" s="17">
        <v>405</v>
      </c>
      <c r="H16" s="17">
        <v>513</v>
      </c>
      <c r="I16" s="17">
        <v>621</v>
      </c>
      <c r="J16" s="7" t="s">
        <v>247</v>
      </c>
      <c r="K16" s="7">
        <v>2050</v>
      </c>
      <c r="L16" s="7" t="str">
        <f>IF(Y16&lt;&gt;"",Y16,IF(AND(K16&gt;=Hypothèses!$B$9,K16&lt;=Hypothèses!$B$10),"actuel",IF(K16=2030,"2030",IF(K16=2050,"2050","autre"))))</f>
        <v>2050</v>
      </c>
      <c r="M16" s="7" t="s">
        <v>263</v>
      </c>
      <c r="N16" s="7" t="s">
        <v>248</v>
      </c>
      <c r="O16" s="7"/>
      <c r="P16" s="7" t="s">
        <v>264</v>
      </c>
      <c r="Q16" s="7" t="s">
        <v>49</v>
      </c>
      <c r="R16" s="14">
        <f>INDEX(Hypothèses!$B$14:$B$22,MATCH(Q16,Hypothèses!$A$14:$A$22,0))</f>
        <v>1</v>
      </c>
      <c r="S16" s="17">
        <f t="shared" si="0"/>
        <v>405</v>
      </c>
      <c r="T16" s="17">
        <f t="shared" si="1"/>
        <v>513</v>
      </c>
      <c r="U16" s="17">
        <f t="shared" si="2"/>
        <v>621</v>
      </c>
      <c r="V16" s="7" t="s">
        <v>247</v>
      </c>
      <c r="W16" s="7" t="s">
        <v>84</v>
      </c>
      <c r="X16" s="7" t="s">
        <v>250</v>
      </c>
      <c r="Y16" s="7"/>
      <c r="Z16" s="7"/>
      <c r="AA16" s="7">
        <f>IF(AND(Hypothèses!$B$12=1,Z16="Secondary_Source"),0,1)</f>
        <v>1</v>
      </c>
    </row>
    <row r="17" spans="1:27" x14ac:dyDescent="0.3">
      <c r="A17" s="7" t="s">
        <v>269</v>
      </c>
      <c r="B17" s="7" t="s">
        <v>78</v>
      </c>
      <c r="C17" s="7" t="s">
        <v>96</v>
      </c>
      <c r="D17" s="7" t="s">
        <v>244</v>
      </c>
      <c r="E17" s="7" t="s">
        <v>245</v>
      </c>
      <c r="F17" s="7" t="s">
        <v>258</v>
      </c>
      <c r="G17" s="17">
        <v>1026</v>
      </c>
      <c r="H17" s="17">
        <v>1296</v>
      </c>
      <c r="I17" s="17">
        <v>1566</v>
      </c>
      <c r="J17" s="7" t="s">
        <v>247</v>
      </c>
      <c r="K17" s="7">
        <v>2020</v>
      </c>
      <c r="L17" s="7" t="str">
        <f>IF(Y17&lt;&gt;"",Y17,IF(AND(K17&gt;=Hypothèses!$B$9,K17&lt;=Hypothèses!$B$10),"actuel",IF(K17=2030,"2030",IF(K17=2050,"2050","autre"))))</f>
        <v>actuel</v>
      </c>
      <c r="M17" s="7" t="s">
        <v>270</v>
      </c>
      <c r="N17" s="7" t="s">
        <v>248</v>
      </c>
      <c r="O17" s="7"/>
      <c r="P17" s="7" t="s">
        <v>264</v>
      </c>
      <c r="Q17" s="7" t="s">
        <v>49</v>
      </c>
      <c r="R17" s="14">
        <f>INDEX(Hypothèses!$B$14:$B$22,MATCH(Q17,Hypothèses!$A$14:$A$22,0))</f>
        <v>1</v>
      </c>
      <c r="S17" s="17">
        <f t="shared" si="0"/>
        <v>1026</v>
      </c>
      <c r="T17" s="17">
        <f t="shared" si="1"/>
        <v>1296</v>
      </c>
      <c r="U17" s="17">
        <f t="shared" si="2"/>
        <v>1566</v>
      </c>
      <c r="V17" s="7" t="s">
        <v>247</v>
      </c>
      <c r="W17" s="7" t="s">
        <v>84</v>
      </c>
      <c r="X17" s="7" t="s">
        <v>250</v>
      </c>
      <c r="Y17" s="7"/>
      <c r="Z17" s="7"/>
      <c r="AA17" s="7">
        <f>IF(AND(Hypothèses!$B$12=1,Z17="Secondary_Source"),0,1)</f>
        <v>1</v>
      </c>
    </row>
    <row r="18" spans="1:27" x14ac:dyDescent="0.3">
      <c r="A18" s="7" t="s">
        <v>271</v>
      </c>
      <c r="B18" s="7" t="s">
        <v>78</v>
      </c>
      <c r="C18" s="7" t="s">
        <v>96</v>
      </c>
      <c r="D18" s="7" t="s">
        <v>244</v>
      </c>
      <c r="E18" s="7" t="s">
        <v>245</v>
      </c>
      <c r="F18" s="7" t="s">
        <v>258</v>
      </c>
      <c r="G18" s="17"/>
      <c r="H18" s="17">
        <v>945</v>
      </c>
      <c r="I18" s="17"/>
      <c r="J18" s="7" t="s">
        <v>247</v>
      </c>
      <c r="K18" s="7">
        <v>2025</v>
      </c>
      <c r="L18" s="7" t="str">
        <f>IF(Y18&lt;&gt;"",Y18,IF(AND(K18&gt;=Hypothèses!$B$9,K18&lt;=Hypothèses!$B$10),"actuel",IF(K18=2030,"2030",IF(K18=2050,"2050","autre"))))</f>
        <v>actuel</v>
      </c>
      <c r="M18" s="7" t="s">
        <v>270</v>
      </c>
      <c r="N18" s="7" t="s">
        <v>248</v>
      </c>
      <c r="O18" s="7"/>
      <c r="P18" s="7" t="s">
        <v>264</v>
      </c>
      <c r="Q18" s="7" t="s">
        <v>49</v>
      </c>
      <c r="R18" s="14">
        <f>INDEX(Hypothèses!$B$14:$B$22,MATCH(Q18,Hypothèses!$A$14:$A$22,0))</f>
        <v>1</v>
      </c>
      <c r="S18" s="17" t="str">
        <f t="shared" si="0"/>
        <v/>
      </c>
      <c r="T18" s="17">
        <f t="shared" si="1"/>
        <v>945</v>
      </c>
      <c r="U18" s="17" t="str">
        <f t="shared" si="2"/>
        <v/>
      </c>
      <c r="V18" s="7" t="s">
        <v>247</v>
      </c>
      <c r="W18" s="7" t="s">
        <v>84</v>
      </c>
      <c r="X18" s="7" t="s">
        <v>250</v>
      </c>
      <c r="Y18" s="7"/>
      <c r="Z18" s="7"/>
      <c r="AA18" s="7">
        <f>IF(AND(Hypothèses!$B$12=1,Z18="Secondary_Source"),0,1)</f>
        <v>1</v>
      </c>
    </row>
    <row r="19" spans="1:27" x14ac:dyDescent="0.3">
      <c r="A19" s="7" t="s">
        <v>272</v>
      </c>
      <c r="B19" s="7" t="s">
        <v>78</v>
      </c>
      <c r="C19" s="7" t="s">
        <v>96</v>
      </c>
      <c r="D19" s="7" t="s">
        <v>244</v>
      </c>
      <c r="E19" s="7" t="s">
        <v>245</v>
      </c>
      <c r="F19" s="7" t="s">
        <v>258</v>
      </c>
      <c r="G19" s="17"/>
      <c r="H19" s="17">
        <v>594</v>
      </c>
      <c r="I19" s="17"/>
      <c r="J19" s="7" t="s">
        <v>247</v>
      </c>
      <c r="K19" s="7">
        <v>2030</v>
      </c>
      <c r="L19" s="7" t="str">
        <f>IF(Y19&lt;&gt;"",Y19,IF(AND(K19&gt;=Hypothèses!$B$9,K19&lt;=Hypothèses!$B$10),"actuel",IF(K19=2030,"2030",IF(K19=2050,"2050","autre"))))</f>
        <v>2030</v>
      </c>
      <c r="M19" s="7" t="s">
        <v>270</v>
      </c>
      <c r="N19" s="7" t="s">
        <v>248</v>
      </c>
      <c r="O19" s="7"/>
      <c r="P19" s="7" t="s">
        <v>264</v>
      </c>
      <c r="Q19" s="7" t="s">
        <v>49</v>
      </c>
      <c r="R19" s="14">
        <f>INDEX(Hypothèses!$B$14:$B$22,MATCH(Q19,Hypothèses!$A$14:$A$22,0))</f>
        <v>1</v>
      </c>
      <c r="S19" s="17" t="str">
        <f t="shared" si="0"/>
        <v/>
      </c>
      <c r="T19" s="17">
        <f t="shared" si="1"/>
        <v>594</v>
      </c>
      <c r="U19" s="17" t="str">
        <f t="shared" si="2"/>
        <v/>
      </c>
      <c r="V19" s="7" t="s">
        <v>247</v>
      </c>
      <c r="W19" s="7" t="s">
        <v>84</v>
      </c>
      <c r="X19" s="7" t="s">
        <v>250</v>
      </c>
      <c r="Y19" s="7"/>
      <c r="Z19" s="7"/>
      <c r="AA19" s="7">
        <f>IF(AND(Hypothèses!$B$12=1,Z19="Secondary_Source"),0,1)</f>
        <v>1</v>
      </c>
    </row>
    <row r="20" spans="1:27" x14ac:dyDescent="0.3">
      <c r="A20" s="7" t="s">
        <v>273</v>
      </c>
      <c r="B20" s="7" t="s">
        <v>78</v>
      </c>
      <c r="C20" s="7" t="s">
        <v>96</v>
      </c>
      <c r="D20" s="7" t="s">
        <v>244</v>
      </c>
      <c r="E20" s="7" t="s">
        <v>245</v>
      </c>
      <c r="F20" s="7" t="s">
        <v>258</v>
      </c>
      <c r="G20" s="17"/>
      <c r="H20" s="17">
        <v>459</v>
      </c>
      <c r="I20" s="17"/>
      <c r="J20" s="7" t="s">
        <v>247</v>
      </c>
      <c r="K20" s="7">
        <v>2040</v>
      </c>
      <c r="L20" s="7" t="str">
        <f>IF(Y20&lt;&gt;"",Y20,IF(AND(K20&gt;=Hypothèses!$B$9,K20&lt;=Hypothèses!$B$10),"actuel",IF(K20=2030,"2030",IF(K20=2050,"2050","autre"))))</f>
        <v>autre</v>
      </c>
      <c r="M20" s="7" t="s">
        <v>270</v>
      </c>
      <c r="N20" s="7" t="s">
        <v>248</v>
      </c>
      <c r="O20" s="7"/>
      <c r="P20" s="7" t="s">
        <v>264</v>
      </c>
      <c r="Q20" s="7" t="s">
        <v>49</v>
      </c>
      <c r="R20" s="14">
        <f>INDEX(Hypothèses!$B$14:$B$22,MATCH(Q20,Hypothèses!$A$14:$A$22,0))</f>
        <v>1</v>
      </c>
      <c r="S20" s="17" t="str">
        <f t="shared" si="0"/>
        <v/>
      </c>
      <c r="T20" s="17">
        <f t="shared" si="1"/>
        <v>459</v>
      </c>
      <c r="U20" s="17" t="str">
        <f t="shared" si="2"/>
        <v/>
      </c>
      <c r="V20" s="7" t="s">
        <v>247</v>
      </c>
      <c r="W20" s="7" t="s">
        <v>84</v>
      </c>
      <c r="X20" s="7" t="s">
        <v>250</v>
      </c>
      <c r="Y20" s="7"/>
      <c r="Z20" s="7"/>
      <c r="AA20" s="7">
        <f>IF(AND(Hypothèses!$B$12=1,Z20="Secondary_Source"),0,1)</f>
        <v>1</v>
      </c>
    </row>
    <row r="21" spans="1:27" x14ac:dyDescent="0.3">
      <c r="A21" s="7" t="s">
        <v>274</v>
      </c>
      <c r="B21" s="7" t="s">
        <v>78</v>
      </c>
      <c r="C21" s="7" t="s">
        <v>96</v>
      </c>
      <c r="D21" s="7" t="s">
        <v>244</v>
      </c>
      <c r="E21" s="7" t="s">
        <v>245</v>
      </c>
      <c r="F21" s="7" t="s">
        <v>258</v>
      </c>
      <c r="G21" s="17">
        <v>270</v>
      </c>
      <c r="H21" s="17">
        <v>324</v>
      </c>
      <c r="I21" s="17">
        <v>378</v>
      </c>
      <c r="J21" s="7" t="s">
        <v>247</v>
      </c>
      <c r="K21" s="7">
        <v>2050</v>
      </c>
      <c r="L21" s="7" t="str">
        <f>IF(Y21&lt;&gt;"",Y21,IF(AND(K21&gt;=Hypothèses!$B$9,K21&lt;=Hypothèses!$B$10),"actuel",IF(K21=2030,"2030",IF(K21=2050,"2050","autre"))))</f>
        <v>2050</v>
      </c>
      <c r="M21" s="7" t="s">
        <v>270</v>
      </c>
      <c r="N21" s="7" t="s">
        <v>248</v>
      </c>
      <c r="O21" s="7"/>
      <c r="P21" s="7" t="s">
        <v>264</v>
      </c>
      <c r="Q21" s="7" t="s">
        <v>49</v>
      </c>
      <c r="R21" s="14">
        <f>INDEX(Hypothèses!$B$14:$B$22,MATCH(Q21,Hypothèses!$A$14:$A$22,0))</f>
        <v>1</v>
      </c>
      <c r="S21" s="17">
        <f t="shared" si="0"/>
        <v>270</v>
      </c>
      <c r="T21" s="17">
        <f t="shared" si="1"/>
        <v>324</v>
      </c>
      <c r="U21" s="17">
        <f t="shared" si="2"/>
        <v>378</v>
      </c>
      <c r="V21" s="7" t="s">
        <v>247</v>
      </c>
      <c r="W21" s="7" t="s">
        <v>84</v>
      </c>
      <c r="X21" s="7" t="s">
        <v>250</v>
      </c>
      <c r="Y21" s="7"/>
      <c r="Z21" s="7"/>
      <c r="AA21" s="7">
        <f>IF(AND(Hypothèses!$B$12=1,Z21="Secondary_Source"),0,1)</f>
        <v>1</v>
      </c>
    </row>
    <row r="22" spans="1:27" x14ac:dyDescent="0.3">
      <c r="A22" s="7" t="s">
        <v>275</v>
      </c>
      <c r="B22" s="7" t="s">
        <v>78</v>
      </c>
      <c r="C22" s="7" t="s">
        <v>98</v>
      </c>
      <c r="D22" s="7" t="s">
        <v>244</v>
      </c>
      <c r="E22" s="7" t="s">
        <v>245</v>
      </c>
      <c r="F22" s="7" t="s">
        <v>258</v>
      </c>
      <c r="G22" s="17">
        <v>945</v>
      </c>
      <c r="H22" s="17">
        <v>1188</v>
      </c>
      <c r="I22" s="17">
        <v>1431</v>
      </c>
      <c r="J22" s="7" t="s">
        <v>247</v>
      </c>
      <c r="K22" s="7">
        <v>2020</v>
      </c>
      <c r="L22" s="7" t="str">
        <f>IF(Y22&lt;&gt;"",Y22,IF(AND(K22&gt;=Hypothèses!$B$9,K22&lt;=Hypothèses!$B$10),"actuel",IF(K22=2030,"2030",IF(K22=2050,"2050","autre"))))</f>
        <v>actuel</v>
      </c>
      <c r="M22" s="7" t="s">
        <v>276</v>
      </c>
      <c r="N22" s="7" t="s">
        <v>248</v>
      </c>
      <c r="O22" s="7"/>
      <c r="P22" s="7" t="s">
        <v>264</v>
      </c>
      <c r="Q22" s="7" t="s">
        <v>49</v>
      </c>
      <c r="R22" s="14">
        <f>INDEX(Hypothèses!$B$14:$B$22,MATCH(Q22,Hypothèses!$A$14:$A$22,0))</f>
        <v>1</v>
      </c>
      <c r="S22" s="17">
        <f t="shared" si="0"/>
        <v>945</v>
      </c>
      <c r="T22" s="17">
        <f t="shared" si="1"/>
        <v>1188</v>
      </c>
      <c r="U22" s="17">
        <f t="shared" si="2"/>
        <v>1431</v>
      </c>
      <c r="V22" s="7" t="s">
        <v>247</v>
      </c>
      <c r="W22" s="7" t="s">
        <v>84</v>
      </c>
      <c r="X22" s="7" t="s">
        <v>250</v>
      </c>
      <c r="Y22" s="7"/>
      <c r="Z22" s="7"/>
      <c r="AA22" s="7">
        <f>IF(AND(Hypothèses!$B$12=1,Z22="Secondary_Source"),0,1)</f>
        <v>1</v>
      </c>
    </row>
    <row r="23" spans="1:27" x14ac:dyDescent="0.3">
      <c r="A23" s="7" t="s">
        <v>277</v>
      </c>
      <c r="B23" s="7" t="s">
        <v>78</v>
      </c>
      <c r="C23" s="7" t="s">
        <v>98</v>
      </c>
      <c r="D23" s="7" t="s">
        <v>244</v>
      </c>
      <c r="E23" s="7" t="s">
        <v>245</v>
      </c>
      <c r="F23" s="7" t="s">
        <v>258</v>
      </c>
      <c r="G23" s="17"/>
      <c r="H23" s="17">
        <v>864</v>
      </c>
      <c r="I23" s="17"/>
      <c r="J23" s="7" t="s">
        <v>247</v>
      </c>
      <c r="K23" s="7">
        <v>2025</v>
      </c>
      <c r="L23" s="7" t="str">
        <f>IF(Y23&lt;&gt;"",Y23,IF(AND(K23&gt;=Hypothèses!$B$9,K23&lt;=Hypothèses!$B$10),"actuel",IF(K23=2030,"2030",IF(K23=2050,"2050","autre"))))</f>
        <v>actuel</v>
      </c>
      <c r="M23" s="7" t="s">
        <v>276</v>
      </c>
      <c r="N23" s="7" t="s">
        <v>248</v>
      </c>
      <c r="O23" s="7"/>
      <c r="P23" s="7" t="s">
        <v>264</v>
      </c>
      <c r="Q23" s="7" t="s">
        <v>49</v>
      </c>
      <c r="R23" s="14">
        <f>INDEX(Hypothèses!$B$14:$B$22,MATCH(Q23,Hypothèses!$A$14:$A$22,0))</f>
        <v>1</v>
      </c>
      <c r="S23" s="17" t="str">
        <f t="shared" si="0"/>
        <v/>
      </c>
      <c r="T23" s="17">
        <f t="shared" si="1"/>
        <v>864</v>
      </c>
      <c r="U23" s="17" t="str">
        <f t="shared" si="2"/>
        <v/>
      </c>
      <c r="V23" s="7" t="s">
        <v>247</v>
      </c>
      <c r="W23" s="7" t="s">
        <v>84</v>
      </c>
      <c r="X23" s="7" t="s">
        <v>250</v>
      </c>
      <c r="Y23" s="7"/>
      <c r="Z23" s="7"/>
      <c r="AA23" s="7">
        <f>IF(AND(Hypothèses!$B$12=1,Z23="Secondary_Source"),0,1)</f>
        <v>1</v>
      </c>
    </row>
    <row r="24" spans="1:27" x14ac:dyDescent="0.3">
      <c r="A24" s="7" t="s">
        <v>278</v>
      </c>
      <c r="B24" s="7" t="s">
        <v>78</v>
      </c>
      <c r="C24" s="7" t="s">
        <v>98</v>
      </c>
      <c r="D24" s="7" t="s">
        <v>244</v>
      </c>
      <c r="E24" s="7" t="s">
        <v>245</v>
      </c>
      <c r="F24" s="7" t="s">
        <v>258</v>
      </c>
      <c r="G24" s="17"/>
      <c r="H24" s="17">
        <v>540</v>
      </c>
      <c r="I24" s="17"/>
      <c r="J24" s="7" t="s">
        <v>247</v>
      </c>
      <c r="K24" s="7">
        <v>2030</v>
      </c>
      <c r="L24" s="7" t="str">
        <f>IF(Y24&lt;&gt;"",Y24,IF(AND(K24&gt;=Hypothèses!$B$9,K24&lt;=Hypothèses!$B$10),"actuel",IF(K24=2030,"2030",IF(K24=2050,"2050","autre"))))</f>
        <v>2030</v>
      </c>
      <c r="M24" s="7" t="s">
        <v>276</v>
      </c>
      <c r="N24" s="7" t="s">
        <v>248</v>
      </c>
      <c r="O24" s="7"/>
      <c r="P24" s="7" t="s">
        <v>264</v>
      </c>
      <c r="Q24" s="7" t="s">
        <v>49</v>
      </c>
      <c r="R24" s="14">
        <f>INDEX(Hypothèses!$B$14:$B$22,MATCH(Q24,Hypothèses!$A$14:$A$22,0))</f>
        <v>1</v>
      </c>
      <c r="S24" s="17" t="str">
        <f t="shared" si="0"/>
        <v/>
      </c>
      <c r="T24" s="17">
        <f t="shared" si="1"/>
        <v>540</v>
      </c>
      <c r="U24" s="17" t="str">
        <f t="shared" si="2"/>
        <v/>
      </c>
      <c r="V24" s="7" t="s">
        <v>247</v>
      </c>
      <c r="W24" s="7" t="s">
        <v>84</v>
      </c>
      <c r="X24" s="7" t="s">
        <v>250</v>
      </c>
      <c r="Y24" s="7"/>
      <c r="Z24" s="7"/>
      <c r="AA24" s="7">
        <f>IF(AND(Hypothèses!$B$12=1,Z24="Secondary_Source"),0,1)</f>
        <v>1</v>
      </c>
    </row>
    <row r="25" spans="1:27" x14ac:dyDescent="0.3">
      <c r="A25" s="7" t="s">
        <v>279</v>
      </c>
      <c r="B25" s="7" t="s">
        <v>78</v>
      </c>
      <c r="C25" s="7" t="s">
        <v>98</v>
      </c>
      <c r="D25" s="7" t="s">
        <v>244</v>
      </c>
      <c r="E25" s="7" t="s">
        <v>245</v>
      </c>
      <c r="F25" s="7" t="s">
        <v>258</v>
      </c>
      <c r="G25" s="17"/>
      <c r="H25" s="17">
        <v>432</v>
      </c>
      <c r="I25" s="17"/>
      <c r="J25" s="7" t="s">
        <v>247</v>
      </c>
      <c r="K25" s="7">
        <v>2040</v>
      </c>
      <c r="L25" s="7" t="str">
        <f>IF(Y25&lt;&gt;"",Y25,IF(AND(K25&gt;=Hypothèses!$B$9,K25&lt;=Hypothèses!$B$10),"actuel",IF(K25=2030,"2030",IF(K25=2050,"2050","autre"))))</f>
        <v>autre</v>
      </c>
      <c r="M25" s="7" t="s">
        <v>276</v>
      </c>
      <c r="N25" s="7" t="s">
        <v>248</v>
      </c>
      <c r="O25" s="7"/>
      <c r="P25" s="7" t="s">
        <v>264</v>
      </c>
      <c r="Q25" s="7" t="s">
        <v>49</v>
      </c>
      <c r="R25" s="14">
        <f>INDEX(Hypothèses!$B$14:$B$22,MATCH(Q25,Hypothèses!$A$14:$A$22,0))</f>
        <v>1</v>
      </c>
      <c r="S25" s="17" t="str">
        <f t="shared" si="0"/>
        <v/>
      </c>
      <c r="T25" s="17">
        <f t="shared" si="1"/>
        <v>432</v>
      </c>
      <c r="U25" s="17" t="str">
        <f t="shared" si="2"/>
        <v/>
      </c>
      <c r="V25" s="7" t="s">
        <v>247</v>
      </c>
      <c r="W25" s="7" t="s">
        <v>84</v>
      </c>
      <c r="X25" s="7" t="s">
        <v>250</v>
      </c>
      <c r="Y25" s="7"/>
      <c r="Z25" s="7"/>
      <c r="AA25" s="7">
        <f>IF(AND(Hypothèses!$B$12=1,Z25="Secondary_Source"),0,1)</f>
        <v>1</v>
      </c>
    </row>
    <row r="26" spans="1:27" x14ac:dyDescent="0.3">
      <c r="A26" s="7" t="s">
        <v>280</v>
      </c>
      <c r="B26" s="7" t="s">
        <v>78</v>
      </c>
      <c r="C26" s="7" t="s">
        <v>98</v>
      </c>
      <c r="D26" s="7" t="s">
        <v>244</v>
      </c>
      <c r="E26" s="7" t="s">
        <v>245</v>
      </c>
      <c r="F26" s="7" t="s">
        <v>258</v>
      </c>
      <c r="G26" s="17">
        <v>243</v>
      </c>
      <c r="H26" s="17">
        <v>297</v>
      </c>
      <c r="I26" s="17">
        <v>351</v>
      </c>
      <c r="J26" s="7" t="s">
        <v>247</v>
      </c>
      <c r="K26" s="7">
        <v>2050</v>
      </c>
      <c r="L26" s="7" t="str">
        <f>IF(Y26&lt;&gt;"",Y26,IF(AND(K26&gt;=Hypothèses!$B$9,K26&lt;=Hypothèses!$B$10),"actuel",IF(K26=2030,"2030",IF(K26=2050,"2050","autre"))))</f>
        <v>2050</v>
      </c>
      <c r="M26" s="7" t="s">
        <v>276</v>
      </c>
      <c r="N26" s="7" t="s">
        <v>248</v>
      </c>
      <c r="O26" s="7"/>
      <c r="P26" s="7" t="s">
        <v>264</v>
      </c>
      <c r="Q26" s="7" t="s">
        <v>49</v>
      </c>
      <c r="R26" s="14">
        <f>INDEX(Hypothèses!$B$14:$B$22,MATCH(Q26,Hypothèses!$A$14:$A$22,0))</f>
        <v>1</v>
      </c>
      <c r="S26" s="17">
        <f t="shared" si="0"/>
        <v>243</v>
      </c>
      <c r="T26" s="17">
        <f t="shared" si="1"/>
        <v>297</v>
      </c>
      <c r="U26" s="17">
        <f t="shared" si="2"/>
        <v>351</v>
      </c>
      <c r="V26" s="7" t="s">
        <v>247</v>
      </c>
      <c r="W26" s="7" t="s">
        <v>84</v>
      </c>
      <c r="X26" s="7" t="s">
        <v>250</v>
      </c>
      <c r="Y26" s="7"/>
      <c r="Z26" s="7"/>
      <c r="AA26" s="7">
        <f>IF(AND(Hypothèses!$B$12=1,Z26="Secondary_Source"),0,1)</f>
        <v>1</v>
      </c>
    </row>
    <row r="27" spans="1:27" x14ac:dyDescent="0.3">
      <c r="A27" s="7" t="s">
        <v>281</v>
      </c>
      <c r="B27" s="7" t="s">
        <v>78</v>
      </c>
      <c r="C27" s="7" t="s">
        <v>100</v>
      </c>
      <c r="D27" s="7" t="s">
        <v>244</v>
      </c>
      <c r="E27" s="7" t="s">
        <v>245</v>
      </c>
      <c r="F27" s="7" t="s">
        <v>258</v>
      </c>
      <c r="G27" s="17">
        <v>926.28517999999997</v>
      </c>
      <c r="H27" s="17">
        <v>1051.4549</v>
      </c>
      <c r="I27" s="17">
        <v>1166.6192000000001</v>
      </c>
      <c r="J27" s="7" t="s">
        <v>247</v>
      </c>
      <c r="K27" s="7">
        <v>2020</v>
      </c>
      <c r="L27" s="7" t="str">
        <f>IF(Y27&lt;&gt;"",Y27,IF(AND(K27&gt;=Hypothèses!$B$9,K27&lt;=Hypothèses!$B$10),"actuel",IF(K27=2030,"2030",IF(K27=2050,"2050","autre"))))</f>
        <v>actuel</v>
      </c>
      <c r="M27" s="7"/>
      <c r="N27" s="7" t="s">
        <v>248</v>
      </c>
      <c r="O27" s="7"/>
      <c r="P27" s="7" t="s">
        <v>282</v>
      </c>
      <c r="Q27" s="7" t="s">
        <v>49</v>
      </c>
      <c r="R27" s="14">
        <f>INDEX(Hypothèses!$B$14:$B$22,MATCH(Q27,Hypothèses!$A$14:$A$22,0))</f>
        <v>1</v>
      </c>
      <c r="S27" s="17">
        <f t="shared" si="0"/>
        <v>926.28517999999997</v>
      </c>
      <c r="T27" s="17">
        <f t="shared" si="1"/>
        <v>1051.4549</v>
      </c>
      <c r="U27" s="17">
        <f t="shared" si="2"/>
        <v>1166.6192000000001</v>
      </c>
      <c r="V27" s="7" t="s">
        <v>247</v>
      </c>
      <c r="W27" s="7" t="s">
        <v>84</v>
      </c>
      <c r="X27" s="7" t="s">
        <v>250</v>
      </c>
      <c r="Y27" s="7"/>
      <c r="Z27" s="7"/>
      <c r="AA27" s="7">
        <f>IF(AND(Hypothèses!$B$12=1,Z27="Secondary_Source"),0,1)</f>
        <v>1</v>
      </c>
    </row>
    <row r="28" spans="1:27" x14ac:dyDescent="0.3">
      <c r="A28" s="7" t="s">
        <v>283</v>
      </c>
      <c r="B28" s="7" t="s">
        <v>78</v>
      </c>
      <c r="C28" s="7" t="s">
        <v>100</v>
      </c>
      <c r="D28" s="7" t="s">
        <v>244</v>
      </c>
      <c r="E28" s="7" t="s">
        <v>245</v>
      </c>
      <c r="F28" s="7" t="s">
        <v>258</v>
      </c>
      <c r="G28" s="17">
        <v>841.16701</v>
      </c>
      <c r="H28" s="17">
        <v>936.29884000000004</v>
      </c>
      <c r="I28" s="17">
        <v>1031.4317000000001</v>
      </c>
      <c r="J28" s="7" t="s">
        <v>247</v>
      </c>
      <c r="K28" s="7">
        <v>2025</v>
      </c>
      <c r="L28" s="7" t="str">
        <f>IF(Y28&lt;&gt;"",Y28,IF(AND(K28&gt;=Hypothèses!$B$9,K28&lt;=Hypothèses!$B$10),"actuel",IF(K28=2030,"2030",IF(K28=2050,"2050","autre"))))</f>
        <v>actuel</v>
      </c>
      <c r="M28" s="7"/>
      <c r="N28" s="7" t="s">
        <v>248</v>
      </c>
      <c r="O28" s="7"/>
      <c r="P28" s="7" t="s">
        <v>282</v>
      </c>
      <c r="Q28" s="7" t="s">
        <v>49</v>
      </c>
      <c r="R28" s="14">
        <f>INDEX(Hypothèses!$B$14:$B$22,MATCH(Q28,Hypothèses!$A$14:$A$22,0))</f>
        <v>1</v>
      </c>
      <c r="S28" s="17">
        <f t="shared" si="0"/>
        <v>841.16701</v>
      </c>
      <c r="T28" s="17">
        <f t="shared" si="1"/>
        <v>936.29884000000004</v>
      </c>
      <c r="U28" s="17">
        <f t="shared" si="2"/>
        <v>1031.4317000000001</v>
      </c>
      <c r="V28" s="7" t="s">
        <v>247</v>
      </c>
      <c r="W28" s="7" t="s">
        <v>84</v>
      </c>
      <c r="X28" s="7" t="s">
        <v>250</v>
      </c>
      <c r="Y28" s="7"/>
      <c r="Z28" s="7"/>
      <c r="AA28" s="7">
        <f>IF(AND(Hypothèses!$B$12=1,Z28="Secondary_Source"),0,1)</f>
        <v>1</v>
      </c>
    </row>
    <row r="29" spans="1:27" x14ac:dyDescent="0.3">
      <c r="A29" s="7" t="s">
        <v>284</v>
      </c>
      <c r="B29" s="7" t="s">
        <v>78</v>
      </c>
      <c r="C29" s="7" t="s">
        <v>100</v>
      </c>
      <c r="D29" s="7" t="s">
        <v>244</v>
      </c>
      <c r="E29" s="7" t="s">
        <v>245</v>
      </c>
      <c r="F29" s="7" t="s">
        <v>258</v>
      </c>
      <c r="G29" s="17">
        <v>736.02049</v>
      </c>
      <c r="H29" s="17">
        <v>836.16017999999997</v>
      </c>
      <c r="I29" s="17">
        <v>941.30566999999996</v>
      </c>
      <c r="J29" s="7" t="s">
        <v>247</v>
      </c>
      <c r="K29" s="7">
        <v>2030</v>
      </c>
      <c r="L29" s="7" t="str">
        <f>IF(Y29&lt;&gt;"",Y29,IF(AND(K29&gt;=Hypothèses!$B$9,K29&lt;=Hypothèses!$B$10),"actuel",IF(K29=2030,"2030",IF(K29=2050,"2050","autre"))))</f>
        <v>2030</v>
      </c>
      <c r="M29" s="7"/>
      <c r="N29" s="7" t="s">
        <v>248</v>
      </c>
      <c r="O29" s="7"/>
      <c r="P29" s="7" t="s">
        <v>282</v>
      </c>
      <c r="Q29" s="7" t="s">
        <v>49</v>
      </c>
      <c r="R29" s="14">
        <f>INDEX(Hypothèses!$B$14:$B$22,MATCH(Q29,Hypothèses!$A$14:$A$22,0))</f>
        <v>1</v>
      </c>
      <c r="S29" s="17">
        <f t="shared" si="0"/>
        <v>736.02049</v>
      </c>
      <c r="T29" s="17">
        <f t="shared" si="1"/>
        <v>836.16017999999997</v>
      </c>
      <c r="U29" s="17">
        <f t="shared" si="2"/>
        <v>941.30566999999996</v>
      </c>
      <c r="V29" s="7" t="s">
        <v>247</v>
      </c>
      <c r="W29" s="7" t="s">
        <v>84</v>
      </c>
      <c r="X29" s="7" t="s">
        <v>250</v>
      </c>
      <c r="Y29" s="7"/>
      <c r="Z29" s="7"/>
      <c r="AA29" s="7">
        <f>IF(AND(Hypothèses!$B$12=1,Z29="Secondary_Source"),0,1)</f>
        <v>1</v>
      </c>
    </row>
    <row r="30" spans="1:27" x14ac:dyDescent="0.3">
      <c r="A30" s="7" t="s">
        <v>285</v>
      </c>
      <c r="B30" s="7" t="s">
        <v>78</v>
      </c>
      <c r="C30" s="7" t="s">
        <v>100</v>
      </c>
      <c r="D30" s="7" t="s">
        <v>244</v>
      </c>
      <c r="E30" s="7" t="s">
        <v>245</v>
      </c>
      <c r="F30" s="7" t="s">
        <v>258</v>
      </c>
      <c r="G30" s="17">
        <v>620.86134000000004</v>
      </c>
      <c r="H30" s="17">
        <v>751.04201</v>
      </c>
      <c r="I30" s="17">
        <v>881.22267999999997</v>
      </c>
      <c r="J30" s="7" t="s">
        <v>247</v>
      </c>
      <c r="K30" s="7">
        <v>2035</v>
      </c>
      <c r="L30" s="7" t="str">
        <f>IF(Y30&lt;&gt;"",Y30,IF(AND(K30&gt;=Hypothèses!$B$9,K30&lt;=Hypothèses!$B$10),"actuel",IF(K30=2030,"2030",IF(K30=2050,"2050","autre"))))</f>
        <v>autre</v>
      </c>
      <c r="M30" s="7"/>
      <c r="N30" s="7" t="s">
        <v>248</v>
      </c>
      <c r="O30" s="7"/>
      <c r="P30" s="7" t="s">
        <v>282</v>
      </c>
      <c r="Q30" s="7" t="s">
        <v>49</v>
      </c>
      <c r="R30" s="14">
        <f>INDEX(Hypothèses!$B$14:$B$22,MATCH(Q30,Hypothèses!$A$14:$A$22,0))</f>
        <v>1</v>
      </c>
      <c r="S30" s="17">
        <f t="shared" si="0"/>
        <v>620.86134000000004</v>
      </c>
      <c r="T30" s="17">
        <f t="shared" si="1"/>
        <v>751.04201</v>
      </c>
      <c r="U30" s="17">
        <f t="shared" si="2"/>
        <v>881.22267999999997</v>
      </c>
      <c r="V30" s="7" t="s">
        <v>247</v>
      </c>
      <c r="W30" s="7" t="s">
        <v>84</v>
      </c>
      <c r="X30" s="7" t="s">
        <v>250</v>
      </c>
      <c r="Y30" s="7"/>
      <c r="Z30" s="7"/>
      <c r="AA30" s="7">
        <f>IF(AND(Hypothèses!$B$12=1,Z30="Secondary_Source"),0,1)</f>
        <v>1</v>
      </c>
    </row>
    <row r="31" spans="1:27" x14ac:dyDescent="0.3">
      <c r="A31" s="7" t="s">
        <v>286</v>
      </c>
      <c r="B31" s="7" t="s">
        <v>78</v>
      </c>
      <c r="C31" s="7" t="s">
        <v>100</v>
      </c>
      <c r="D31" s="7" t="s">
        <v>244</v>
      </c>
      <c r="E31" s="7" t="s">
        <v>245</v>
      </c>
      <c r="F31" s="7" t="s">
        <v>258</v>
      </c>
      <c r="G31" s="17">
        <v>520.72267999999997</v>
      </c>
      <c r="H31" s="17">
        <v>670.93066999999996</v>
      </c>
      <c r="I31" s="17">
        <v>826.14549</v>
      </c>
      <c r="J31" s="7" t="s">
        <v>247</v>
      </c>
      <c r="K31" s="7">
        <v>2040</v>
      </c>
      <c r="L31" s="7" t="str">
        <f>IF(Y31&lt;&gt;"",Y31,IF(AND(K31&gt;=Hypothèses!$B$9,K31&lt;=Hypothèses!$B$10),"actuel",IF(K31=2030,"2030",IF(K31=2050,"2050","autre"))))</f>
        <v>autre</v>
      </c>
      <c r="M31" s="7"/>
      <c r="N31" s="7" t="s">
        <v>248</v>
      </c>
      <c r="O31" s="7"/>
      <c r="P31" s="7" t="s">
        <v>282</v>
      </c>
      <c r="Q31" s="7" t="s">
        <v>49</v>
      </c>
      <c r="R31" s="14">
        <f>INDEX(Hypothèses!$B$14:$B$22,MATCH(Q31,Hypothèses!$A$14:$A$22,0))</f>
        <v>1</v>
      </c>
      <c r="S31" s="17">
        <f t="shared" si="0"/>
        <v>520.72267999999997</v>
      </c>
      <c r="T31" s="17">
        <f t="shared" si="1"/>
        <v>670.93066999999996</v>
      </c>
      <c r="U31" s="17">
        <f t="shared" si="2"/>
        <v>826.14549</v>
      </c>
      <c r="V31" s="7" t="s">
        <v>247</v>
      </c>
      <c r="W31" s="7" t="s">
        <v>84</v>
      </c>
      <c r="X31" s="7" t="s">
        <v>250</v>
      </c>
      <c r="Y31" s="7"/>
      <c r="Z31" s="7"/>
      <c r="AA31" s="7">
        <f>IF(AND(Hypothèses!$B$12=1,Z31="Secondary_Source"),0,1)</f>
        <v>1</v>
      </c>
    </row>
    <row r="32" spans="1:27" x14ac:dyDescent="0.3">
      <c r="A32" s="7" t="s">
        <v>287</v>
      </c>
      <c r="B32" s="7" t="s">
        <v>78</v>
      </c>
      <c r="C32" s="7" t="s">
        <v>100</v>
      </c>
      <c r="D32" s="7" t="s">
        <v>244</v>
      </c>
      <c r="E32" s="7" t="s">
        <v>245</v>
      </c>
      <c r="F32" s="7" t="s">
        <v>258</v>
      </c>
      <c r="G32" s="17">
        <v>430.59768000000003</v>
      </c>
      <c r="H32" s="17">
        <v>600.83299</v>
      </c>
      <c r="I32" s="17">
        <v>776.07615999999996</v>
      </c>
      <c r="J32" s="7" t="s">
        <v>247</v>
      </c>
      <c r="K32" s="7">
        <v>2045</v>
      </c>
      <c r="L32" s="7" t="str">
        <f>IF(Y32&lt;&gt;"",Y32,IF(AND(K32&gt;=Hypothèses!$B$9,K32&lt;=Hypothèses!$B$10),"actuel",IF(K32=2030,"2030",IF(K32=2050,"2050","autre"))))</f>
        <v>autre</v>
      </c>
      <c r="M32" s="7"/>
      <c r="N32" s="7" t="s">
        <v>248</v>
      </c>
      <c r="O32" s="7"/>
      <c r="P32" s="7" t="s">
        <v>282</v>
      </c>
      <c r="Q32" s="7" t="s">
        <v>49</v>
      </c>
      <c r="R32" s="14">
        <f>INDEX(Hypothèses!$B$14:$B$22,MATCH(Q32,Hypothèses!$A$14:$A$22,0))</f>
        <v>1</v>
      </c>
      <c r="S32" s="17">
        <f t="shared" si="0"/>
        <v>430.59768000000003</v>
      </c>
      <c r="T32" s="17">
        <f t="shared" si="1"/>
        <v>600.83299</v>
      </c>
      <c r="U32" s="17">
        <f t="shared" si="2"/>
        <v>776.07615999999996</v>
      </c>
      <c r="V32" s="7" t="s">
        <v>247</v>
      </c>
      <c r="W32" s="7" t="s">
        <v>84</v>
      </c>
      <c r="X32" s="7" t="s">
        <v>250</v>
      </c>
      <c r="Y32" s="7"/>
      <c r="Z32" s="7"/>
      <c r="AA32" s="7">
        <f>IF(AND(Hypothèses!$B$12=1,Z32="Secondary_Source"),0,1)</f>
        <v>1</v>
      </c>
    </row>
    <row r="33" spans="1:27" x14ac:dyDescent="0.3">
      <c r="A33" s="7" t="s">
        <v>288</v>
      </c>
      <c r="B33" s="7" t="s">
        <v>78</v>
      </c>
      <c r="C33" s="7" t="s">
        <v>100</v>
      </c>
      <c r="D33" s="7" t="s">
        <v>244</v>
      </c>
      <c r="E33" s="7" t="s">
        <v>245</v>
      </c>
      <c r="F33" s="7" t="s">
        <v>258</v>
      </c>
      <c r="G33" s="17">
        <v>355.49317000000002</v>
      </c>
      <c r="H33" s="17">
        <v>535.74316999999996</v>
      </c>
      <c r="I33" s="17">
        <v>731.01365999999996</v>
      </c>
      <c r="J33" s="7" t="s">
        <v>247</v>
      </c>
      <c r="K33" s="7">
        <v>2050</v>
      </c>
      <c r="L33" s="7" t="str">
        <f>IF(Y33&lt;&gt;"",Y33,IF(AND(K33&gt;=Hypothèses!$B$9,K33&lt;=Hypothèses!$B$10),"actuel",IF(K33=2030,"2030",IF(K33=2050,"2050","autre"))))</f>
        <v>2050</v>
      </c>
      <c r="M33" s="7"/>
      <c r="N33" s="7" t="s">
        <v>248</v>
      </c>
      <c r="O33" s="7"/>
      <c r="P33" s="7" t="s">
        <v>282</v>
      </c>
      <c r="Q33" s="7" t="s">
        <v>49</v>
      </c>
      <c r="R33" s="14">
        <f>INDEX(Hypothèses!$B$14:$B$22,MATCH(Q33,Hypothèses!$A$14:$A$22,0))</f>
        <v>1</v>
      </c>
      <c r="S33" s="17">
        <f t="shared" si="0"/>
        <v>355.49317000000002</v>
      </c>
      <c r="T33" s="17">
        <f t="shared" si="1"/>
        <v>535.74316999999996</v>
      </c>
      <c r="U33" s="17">
        <f t="shared" si="2"/>
        <v>731.01365999999996</v>
      </c>
      <c r="V33" s="7" t="s">
        <v>247</v>
      </c>
      <c r="W33" s="7" t="s">
        <v>84</v>
      </c>
      <c r="X33" s="7" t="s">
        <v>250</v>
      </c>
      <c r="Y33" s="7"/>
      <c r="Z33" s="7"/>
      <c r="AA33" s="7">
        <f>IF(AND(Hypothèses!$B$12=1,Z33="Secondary_Source"),0,1)</f>
        <v>1</v>
      </c>
    </row>
    <row r="34" spans="1:27" x14ac:dyDescent="0.3">
      <c r="A34" s="7" t="s">
        <v>289</v>
      </c>
      <c r="B34" s="7" t="s">
        <v>78</v>
      </c>
      <c r="C34" s="7" t="s">
        <v>106</v>
      </c>
      <c r="D34" s="7" t="s">
        <v>244</v>
      </c>
      <c r="E34" s="7" t="s">
        <v>245</v>
      </c>
      <c r="F34" s="7" t="s">
        <v>258</v>
      </c>
      <c r="G34" s="17">
        <v>824</v>
      </c>
      <c r="H34" s="17"/>
      <c r="I34" s="17"/>
      <c r="J34" s="7" t="s">
        <v>247</v>
      </c>
      <c r="K34" s="7">
        <v>2020</v>
      </c>
      <c r="L34" s="7" t="str">
        <f>IF(Y34&lt;&gt;"",Y34,IF(AND(K34&gt;=Hypothèses!$B$9,K34&lt;=Hypothèses!$B$10),"actuel",IF(K34=2030,"2030",IF(K34=2050,"2050","autre"))))</f>
        <v>actuel</v>
      </c>
      <c r="M34" s="7"/>
      <c r="N34" s="7" t="s">
        <v>248</v>
      </c>
      <c r="O34" s="7"/>
      <c r="P34" s="7" t="s">
        <v>290</v>
      </c>
      <c r="Q34" s="7" t="s">
        <v>49</v>
      </c>
      <c r="R34" s="14">
        <f>INDEX(Hypothèses!$B$14:$B$22,MATCH(Q34,Hypothèses!$A$14:$A$22,0))</f>
        <v>1</v>
      </c>
      <c r="S34" s="17">
        <f t="shared" si="0"/>
        <v>824</v>
      </c>
      <c r="T34" s="17" t="str">
        <f t="shared" si="1"/>
        <v/>
      </c>
      <c r="U34" s="17" t="str">
        <f t="shared" si="2"/>
        <v/>
      </c>
      <c r="V34" s="7" t="s">
        <v>247</v>
      </c>
      <c r="W34" s="7" t="s">
        <v>84</v>
      </c>
      <c r="X34" s="7" t="s">
        <v>250</v>
      </c>
      <c r="Y34" s="7"/>
      <c r="Z34" s="7"/>
      <c r="AA34" s="7">
        <f>IF(AND(Hypothèses!$B$12=1,Z34="Secondary_Source"),0,1)</f>
        <v>1</v>
      </c>
    </row>
    <row r="35" spans="1:27" x14ac:dyDescent="0.3">
      <c r="A35" s="7" t="s">
        <v>291</v>
      </c>
      <c r="B35" s="7" t="s">
        <v>78</v>
      </c>
      <c r="C35" s="7" t="s">
        <v>106</v>
      </c>
      <c r="D35" s="7" t="s">
        <v>244</v>
      </c>
      <c r="E35" s="7" t="s">
        <v>245</v>
      </c>
      <c r="F35" s="7" t="s">
        <v>258</v>
      </c>
      <c r="G35" s="17">
        <v>352.26</v>
      </c>
      <c r="H35" s="17"/>
      <c r="I35" s="17"/>
      <c r="J35" s="7" t="s">
        <v>247</v>
      </c>
      <c r="K35" s="7">
        <v>2025</v>
      </c>
      <c r="L35" s="7" t="str">
        <f>IF(Y35&lt;&gt;"",Y35,IF(AND(K35&gt;=Hypothèses!$B$9,K35&lt;=Hypothèses!$B$10),"actuel",IF(K35=2030,"2030",IF(K35=2050,"2050","autre"))))</f>
        <v>actuel</v>
      </c>
      <c r="M35" s="7"/>
      <c r="N35" s="7" t="s">
        <v>248</v>
      </c>
      <c r="O35" s="7"/>
      <c r="P35" s="7" t="s">
        <v>290</v>
      </c>
      <c r="Q35" s="7" t="s">
        <v>49</v>
      </c>
      <c r="R35" s="14">
        <f>INDEX(Hypothèses!$B$14:$B$22,MATCH(Q35,Hypothèses!$A$14:$A$22,0))</f>
        <v>1</v>
      </c>
      <c r="S35" s="17">
        <f t="shared" si="0"/>
        <v>352.26</v>
      </c>
      <c r="T35" s="17" t="str">
        <f t="shared" si="1"/>
        <v/>
      </c>
      <c r="U35" s="17" t="str">
        <f t="shared" si="2"/>
        <v/>
      </c>
      <c r="V35" s="7" t="s">
        <v>247</v>
      </c>
      <c r="W35" s="7" t="s">
        <v>84</v>
      </c>
      <c r="X35" s="7" t="s">
        <v>250</v>
      </c>
      <c r="Y35" s="7"/>
      <c r="Z35" s="7"/>
      <c r="AA35" s="7">
        <f>IF(AND(Hypothèses!$B$12=1,Z35="Secondary_Source"),0,1)</f>
        <v>1</v>
      </c>
    </row>
    <row r="36" spans="1:27" x14ac:dyDescent="0.3">
      <c r="A36" s="7" t="s">
        <v>292</v>
      </c>
      <c r="B36" s="7" t="s">
        <v>78</v>
      </c>
      <c r="C36" s="7" t="s">
        <v>106</v>
      </c>
      <c r="D36" s="7" t="s">
        <v>244</v>
      </c>
      <c r="E36" s="7" t="s">
        <v>245</v>
      </c>
      <c r="F36" s="7" t="s">
        <v>258</v>
      </c>
      <c r="G36" s="17">
        <v>196.73</v>
      </c>
      <c r="H36" s="17"/>
      <c r="I36" s="17"/>
      <c r="J36" s="7" t="s">
        <v>247</v>
      </c>
      <c r="K36" s="7">
        <v>2030</v>
      </c>
      <c r="L36" s="7" t="str">
        <f>IF(Y36&lt;&gt;"",Y36,IF(AND(K36&gt;=Hypothèses!$B$9,K36&lt;=Hypothèses!$B$10),"actuel",IF(K36=2030,"2030",IF(K36=2050,"2050","autre"))))</f>
        <v>2030</v>
      </c>
      <c r="M36" s="7"/>
      <c r="N36" s="7" t="s">
        <v>248</v>
      </c>
      <c r="O36" s="7"/>
      <c r="P36" s="7" t="s">
        <v>290</v>
      </c>
      <c r="Q36" s="7" t="s">
        <v>49</v>
      </c>
      <c r="R36" s="14">
        <f>INDEX(Hypothèses!$B$14:$B$22,MATCH(Q36,Hypothèses!$A$14:$A$22,0))</f>
        <v>1</v>
      </c>
      <c r="S36" s="17">
        <f t="shared" si="0"/>
        <v>196.73</v>
      </c>
      <c r="T36" s="17" t="str">
        <f t="shared" si="1"/>
        <v/>
      </c>
      <c r="U36" s="17" t="str">
        <f t="shared" si="2"/>
        <v/>
      </c>
      <c r="V36" s="7" t="s">
        <v>247</v>
      </c>
      <c r="W36" s="7" t="s">
        <v>84</v>
      </c>
      <c r="X36" s="7" t="s">
        <v>250</v>
      </c>
      <c r="Y36" s="7"/>
      <c r="Z36" s="7"/>
      <c r="AA36" s="7">
        <f>IF(AND(Hypothèses!$B$12=1,Z36="Secondary_Source"),0,1)</f>
        <v>1</v>
      </c>
    </row>
    <row r="37" spans="1:27" x14ac:dyDescent="0.3">
      <c r="A37" s="7" t="s">
        <v>293</v>
      </c>
      <c r="B37" s="7" t="s">
        <v>78</v>
      </c>
      <c r="C37" s="7" t="s">
        <v>106</v>
      </c>
      <c r="D37" s="7" t="s">
        <v>244</v>
      </c>
      <c r="E37" s="7" t="s">
        <v>245</v>
      </c>
      <c r="F37" s="7" t="s">
        <v>258</v>
      </c>
      <c r="G37" s="17">
        <v>76.22</v>
      </c>
      <c r="H37" s="17"/>
      <c r="I37" s="17"/>
      <c r="J37" s="7" t="s">
        <v>247</v>
      </c>
      <c r="K37" s="7">
        <v>2050</v>
      </c>
      <c r="L37" s="7" t="str">
        <f>IF(Y37&lt;&gt;"",Y37,IF(AND(K37&gt;=Hypothèses!$B$9,K37&lt;=Hypothèses!$B$10),"actuel",IF(K37=2030,"2030",IF(K37=2050,"2050","autre"))))</f>
        <v>2050</v>
      </c>
      <c r="M37" s="7"/>
      <c r="N37" s="7" t="s">
        <v>248</v>
      </c>
      <c r="O37" s="7"/>
      <c r="P37" s="7" t="s">
        <v>290</v>
      </c>
      <c r="Q37" s="7" t="s">
        <v>49</v>
      </c>
      <c r="R37" s="14">
        <f>INDEX(Hypothèses!$B$14:$B$22,MATCH(Q37,Hypothèses!$A$14:$A$22,0))</f>
        <v>1</v>
      </c>
      <c r="S37" s="17">
        <f t="shared" si="0"/>
        <v>76.22</v>
      </c>
      <c r="T37" s="17" t="str">
        <f t="shared" si="1"/>
        <v/>
      </c>
      <c r="U37" s="17" t="str">
        <f t="shared" si="2"/>
        <v/>
      </c>
      <c r="V37" s="7" t="s">
        <v>247</v>
      </c>
      <c r="W37" s="7" t="s">
        <v>84</v>
      </c>
      <c r="X37" s="7" t="s">
        <v>250</v>
      </c>
      <c r="Y37" s="7"/>
      <c r="Z37" s="7"/>
      <c r="AA37" s="7">
        <f>IF(AND(Hypothèses!$B$12=1,Z37="Secondary_Source"),0,1)</f>
        <v>1</v>
      </c>
    </row>
    <row r="38" spans="1:27" x14ac:dyDescent="0.3">
      <c r="A38" s="7" t="s">
        <v>294</v>
      </c>
      <c r="B38" s="7" t="s">
        <v>78</v>
      </c>
      <c r="C38" s="7" t="s">
        <v>108</v>
      </c>
      <c r="D38" s="7" t="s">
        <v>244</v>
      </c>
      <c r="E38" s="7" t="s">
        <v>245</v>
      </c>
      <c r="F38" s="7" t="s">
        <v>258</v>
      </c>
      <c r="G38" s="17">
        <v>667.36374038461497</v>
      </c>
      <c r="H38" s="17">
        <v>742.78846153846098</v>
      </c>
      <c r="I38" s="17">
        <v>811.33793269230796</v>
      </c>
      <c r="J38" s="7" t="s">
        <v>247</v>
      </c>
      <c r="K38" s="7">
        <v>2020</v>
      </c>
      <c r="L38" s="7" t="str">
        <f>IF(Y38&lt;&gt;"",Y38,IF(AND(K38&gt;=Hypothèses!$B$9,K38&lt;=Hypothèses!$B$10),"actuel",IF(K38=2030,"2030",IF(K38=2050,"2050","autre"))))</f>
        <v>actuel</v>
      </c>
      <c r="M38" s="7"/>
      <c r="N38" s="7" t="s">
        <v>248</v>
      </c>
      <c r="O38" s="7"/>
      <c r="P38" s="7" t="s">
        <v>295</v>
      </c>
      <c r="Q38" s="7" t="s">
        <v>49</v>
      </c>
      <c r="R38" s="14">
        <f>INDEX(Hypothèses!$B$14:$B$22,MATCH(Q38,Hypothèses!$A$14:$A$22,0))</f>
        <v>1</v>
      </c>
      <c r="S38" s="17">
        <f t="shared" si="0"/>
        <v>667.36374038461497</v>
      </c>
      <c r="T38" s="17">
        <f t="shared" si="1"/>
        <v>742.78846153846098</v>
      </c>
      <c r="U38" s="17">
        <f t="shared" si="2"/>
        <v>811.33793269230796</v>
      </c>
      <c r="V38" s="7" t="s">
        <v>247</v>
      </c>
      <c r="W38" s="7" t="s">
        <v>84</v>
      </c>
      <c r="X38" s="7" t="s">
        <v>250</v>
      </c>
      <c r="Y38" s="7"/>
      <c r="Z38" s="7"/>
      <c r="AA38" s="7">
        <f>IF(AND(Hypothèses!$B$12=1,Z38="Secondary_Source"),0,1)</f>
        <v>1</v>
      </c>
    </row>
    <row r="39" spans="1:27" x14ac:dyDescent="0.3">
      <c r="A39" s="7" t="s">
        <v>296</v>
      </c>
      <c r="B39" s="7" t="s">
        <v>78</v>
      </c>
      <c r="C39" s="7" t="s">
        <v>108</v>
      </c>
      <c r="D39" s="7" t="s">
        <v>244</v>
      </c>
      <c r="E39" s="7" t="s">
        <v>245</v>
      </c>
      <c r="F39" s="7" t="s">
        <v>258</v>
      </c>
      <c r="G39" s="17">
        <v>397.19969230769198</v>
      </c>
      <c r="H39" s="17">
        <v>575.89775961538498</v>
      </c>
      <c r="I39" s="17">
        <v>775.76826923076896</v>
      </c>
      <c r="J39" s="7" t="s">
        <v>247</v>
      </c>
      <c r="K39" s="7">
        <v>2025</v>
      </c>
      <c r="L39" s="7" t="str">
        <f>IF(Y39&lt;&gt;"",Y39,IF(AND(K39&gt;=Hypothèses!$B$9,K39&lt;=Hypothèses!$B$10),"actuel",IF(K39=2030,"2030",IF(K39=2050,"2050","autre"))))</f>
        <v>actuel</v>
      </c>
      <c r="M39" s="7"/>
      <c r="N39" s="7" t="s">
        <v>248</v>
      </c>
      <c r="O39" s="7"/>
      <c r="P39" s="7" t="s">
        <v>295</v>
      </c>
      <c r="Q39" s="7" t="s">
        <v>49</v>
      </c>
      <c r="R39" s="14">
        <f>INDEX(Hypothèses!$B$14:$B$22,MATCH(Q39,Hypothèses!$A$14:$A$22,0))</f>
        <v>1</v>
      </c>
      <c r="S39" s="17">
        <f t="shared" si="0"/>
        <v>397.19969230769198</v>
      </c>
      <c r="T39" s="17">
        <f t="shared" si="1"/>
        <v>575.89775961538498</v>
      </c>
      <c r="U39" s="17">
        <f t="shared" si="2"/>
        <v>775.76826923076896</v>
      </c>
      <c r="V39" s="7" t="s">
        <v>247</v>
      </c>
      <c r="W39" s="7" t="s">
        <v>84</v>
      </c>
      <c r="X39" s="7" t="s">
        <v>250</v>
      </c>
      <c r="Y39" s="7"/>
      <c r="Z39" s="7"/>
      <c r="AA39" s="7">
        <f>IF(AND(Hypothèses!$B$12=1,Z39="Secondary_Source"),0,1)</f>
        <v>1</v>
      </c>
    </row>
    <row r="40" spans="1:27" x14ac:dyDescent="0.3">
      <c r="A40" s="7" t="s">
        <v>297</v>
      </c>
      <c r="B40" s="7" t="s">
        <v>78</v>
      </c>
      <c r="C40" s="7" t="s">
        <v>108</v>
      </c>
      <c r="D40" s="7" t="s">
        <v>244</v>
      </c>
      <c r="E40" s="7" t="s">
        <v>245</v>
      </c>
      <c r="F40" s="7" t="s">
        <v>258</v>
      </c>
      <c r="G40" s="17">
        <v>245.6035</v>
      </c>
      <c r="H40" s="17">
        <v>444.62723076923101</v>
      </c>
      <c r="I40" s="17">
        <v>744.4325</v>
      </c>
      <c r="J40" s="7" t="s">
        <v>247</v>
      </c>
      <c r="K40" s="7">
        <v>2030</v>
      </c>
      <c r="L40" s="7" t="str">
        <f>IF(Y40&lt;&gt;"",Y40,IF(AND(K40&gt;=Hypothèses!$B$9,K40&lt;=Hypothèses!$B$10),"actuel",IF(K40=2030,"2030",IF(K40=2050,"2050","autre"))))</f>
        <v>2030</v>
      </c>
      <c r="M40" s="7"/>
      <c r="N40" s="7" t="s">
        <v>248</v>
      </c>
      <c r="O40" s="7"/>
      <c r="P40" s="7" t="s">
        <v>295</v>
      </c>
      <c r="Q40" s="7" t="s">
        <v>49</v>
      </c>
      <c r="R40" s="14">
        <f>INDEX(Hypothèses!$B$14:$B$22,MATCH(Q40,Hypothèses!$A$14:$A$22,0))</f>
        <v>1</v>
      </c>
      <c r="S40" s="17">
        <f t="shared" si="0"/>
        <v>245.6035</v>
      </c>
      <c r="T40" s="17">
        <f t="shared" si="1"/>
        <v>444.62723076923101</v>
      </c>
      <c r="U40" s="17">
        <f t="shared" si="2"/>
        <v>744.4325</v>
      </c>
      <c r="V40" s="7" t="s">
        <v>247</v>
      </c>
      <c r="W40" s="7" t="s">
        <v>84</v>
      </c>
      <c r="X40" s="7" t="s">
        <v>250</v>
      </c>
      <c r="Y40" s="7"/>
      <c r="Z40" s="7"/>
      <c r="AA40" s="7">
        <f>IF(AND(Hypothèses!$B$12=1,Z40="Secondary_Source"),0,1)</f>
        <v>1</v>
      </c>
    </row>
    <row r="41" spans="1:27" x14ac:dyDescent="0.3">
      <c r="A41" s="7" t="s">
        <v>298</v>
      </c>
      <c r="B41" s="7" t="s">
        <v>78</v>
      </c>
      <c r="C41" s="7" t="s">
        <v>108</v>
      </c>
      <c r="D41" s="7" t="s">
        <v>244</v>
      </c>
      <c r="E41" s="7" t="s">
        <v>245</v>
      </c>
      <c r="F41" s="7" t="s">
        <v>258</v>
      </c>
      <c r="G41" s="17">
        <v>177.850298076923</v>
      </c>
      <c r="H41" s="17">
        <v>379.41535576923098</v>
      </c>
      <c r="I41" s="17">
        <v>720.718730769231</v>
      </c>
      <c r="J41" s="7" t="s">
        <v>247</v>
      </c>
      <c r="K41" s="7">
        <v>2035</v>
      </c>
      <c r="L41" s="7" t="str">
        <f>IF(Y41&lt;&gt;"",Y41,IF(AND(K41&gt;=Hypothèses!$B$9,K41&lt;=Hypothèses!$B$10),"actuel",IF(K41=2030,"2030",IF(K41=2050,"2050","autre"))))</f>
        <v>autre</v>
      </c>
      <c r="M41" s="7"/>
      <c r="N41" s="7" t="s">
        <v>248</v>
      </c>
      <c r="O41" s="7"/>
      <c r="P41" s="7" t="s">
        <v>295</v>
      </c>
      <c r="Q41" s="7" t="s">
        <v>49</v>
      </c>
      <c r="R41" s="14">
        <f>INDEX(Hypothèses!$B$14:$B$22,MATCH(Q41,Hypothèses!$A$14:$A$22,0))</f>
        <v>1</v>
      </c>
      <c r="S41" s="17">
        <f t="shared" si="0"/>
        <v>177.850298076923</v>
      </c>
      <c r="T41" s="17">
        <f t="shared" si="1"/>
        <v>379.41535576923098</v>
      </c>
      <c r="U41" s="17">
        <f t="shared" si="2"/>
        <v>720.718730769231</v>
      </c>
      <c r="V41" s="7" t="s">
        <v>247</v>
      </c>
      <c r="W41" s="7" t="s">
        <v>84</v>
      </c>
      <c r="X41" s="7" t="s">
        <v>250</v>
      </c>
      <c r="Y41" s="7"/>
      <c r="Z41" s="7"/>
      <c r="AA41" s="7">
        <f>IF(AND(Hypothèses!$B$12=1,Z41="Secondary_Source"),0,1)</f>
        <v>1</v>
      </c>
    </row>
    <row r="42" spans="1:27" x14ac:dyDescent="0.3">
      <c r="A42" s="7" t="s">
        <v>299</v>
      </c>
      <c r="B42" s="7" t="s">
        <v>78</v>
      </c>
      <c r="C42" s="7" t="s">
        <v>108</v>
      </c>
      <c r="D42" s="7" t="s">
        <v>244</v>
      </c>
      <c r="E42" s="7" t="s">
        <v>245</v>
      </c>
      <c r="F42" s="7" t="s">
        <v>258</v>
      </c>
      <c r="G42" s="17">
        <v>150.74941346153801</v>
      </c>
      <c r="H42" s="17">
        <v>343.84470192307703</v>
      </c>
      <c r="I42" s="17">
        <v>701.23984615384597</v>
      </c>
      <c r="J42" s="7" t="s">
        <v>247</v>
      </c>
      <c r="K42" s="7">
        <v>2040</v>
      </c>
      <c r="L42" s="7" t="str">
        <f>IF(Y42&lt;&gt;"",Y42,IF(AND(K42&gt;=Hypothèses!$B$9,K42&lt;=Hypothèses!$B$10),"actuel",IF(K42=2030,"2030",IF(K42=2050,"2050","autre"))))</f>
        <v>autre</v>
      </c>
      <c r="M42" s="7"/>
      <c r="N42" s="7" t="s">
        <v>248</v>
      </c>
      <c r="O42" s="7"/>
      <c r="P42" s="7" t="s">
        <v>295</v>
      </c>
      <c r="Q42" s="7" t="s">
        <v>49</v>
      </c>
      <c r="R42" s="14">
        <f>INDEX(Hypothèses!$B$14:$B$22,MATCH(Q42,Hypothèses!$A$14:$A$22,0))</f>
        <v>1</v>
      </c>
      <c r="S42" s="17">
        <f t="shared" si="0"/>
        <v>150.74941346153801</v>
      </c>
      <c r="T42" s="17">
        <f t="shared" si="1"/>
        <v>343.84470192307703</v>
      </c>
      <c r="U42" s="17">
        <f t="shared" si="2"/>
        <v>701.23984615384597</v>
      </c>
      <c r="V42" s="7" t="s">
        <v>247</v>
      </c>
      <c r="W42" s="7" t="s">
        <v>84</v>
      </c>
      <c r="X42" s="7" t="s">
        <v>250</v>
      </c>
      <c r="Y42" s="7"/>
      <c r="Z42" s="7"/>
      <c r="AA42" s="7">
        <f>IF(AND(Hypothèses!$B$12=1,Z42="Secondary_Source"),0,1)</f>
        <v>1</v>
      </c>
    </row>
    <row r="43" spans="1:27" x14ac:dyDescent="0.3">
      <c r="A43" s="7" t="s">
        <v>300</v>
      </c>
      <c r="B43" s="7" t="s">
        <v>78</v>
      </c>
      <c r="C43" s="7" t="s">
        <v>108</v>
      </c>
      <c r="D43" s="7" t="s">
        <v>244</v>
      </c>
      <c r="E43" s="7" t="s">
        <v>245</v>
      </c>
      <c r="F43" s="7" t="s">
        <v>258</v>
      </c>
      <c r="G43" s="17">
        <v>133.81185576923099</v>
      </c>
      <c r="H43" s="17">
        <v>321.82548076923098</v>
      </c>
      <c r="I43" s="17">
        <v>685.99584615384595</v>
      </c>
      <c r="J43" s="7" t="s">
        <v>247</v>
      </c>
      <c r="K43" s="7">
        <v>2045</v>
      </c>
      <c r="L43" s="7" t="str">
        <f>IF(Y43&lt;&gt;"",Y43,IF(AND(K43&gt;=Hypothèses!$B$9,K43&lt;=Hypothèses!$B$10),"actuel",IF(K43=2030,"2030",IF(K43=2050,"2050","autre"))))</f>
        <v>autre</v>
      </c>
      <c r="M43" s="7"/>
      <c r="N43" s="7" t="s">
        <v>248</v>
      </c>
      <c r="O43" s="7"/>
      <c r="P43" s="7" t="s">
        <v>295</v>
      </c>
      <c r="Q43" s="7" t="s">
        <v>49</v>
      </c>
      <c r="R43" s="14">
        <f>INDEX(Hypothèses!$B$14:$B$22,MATCH(Q43,Hypothèses!$A$14:$A$22,0))</f>
        <v>1</v>
      </c>
      <c r="S43" s="17">
        <f t="shared" si="0"/>
        <v>133.81185576923099</v>
      </c>
      <c r="T43" s="17">
        <f t="shared" si="1"/>
        <v>321.82548076923098</v>
      </c>
      <c r="U43" s="17">
        <f t="shared" si="2"/>
        <v>685.99584615384595</v>
      </c>
      <c r="V43" s="7" t="s">
        <v>247</v>
      </c>
      <c r="W43" s="7" t="s">
        <v>84</v>
      </c>
      <c r="X43" s="7" t="s">
        <v>250</v>
      </c>
      <c r="Y43" s="7"/>
      <c r="Z43" s="7"/>
      <c r="AA43" s="7">
        <f>IF(AND(Hypothèses!$B$12=1,Z43="Secondary_Source"),0,1)</f>
        <v>1</v>
      </c>
    </row>
    <row r="44" spans="1:27" x14ac:dyDescent="0.3">
      <c r="A44" s="7" t="s">
        <v>301</v>
      </c>
      <c r="B44" s="7" t="s">
        <v>78</v>
      </c>
      <c r="C44" s="7" t="s">
        <v>108</v>
      </c>
      <c r="D44" s="7" t="s">
        <v>244</v>
      </c>
      <c r="E44" s="7" t="s">
        <v>245</v>
      </c>
      <c r="F44" s="7" t="s">
        <v>258</v>
      </c>
      <c r="G44" s="17">
        <v>129.57697115384599</v>
      </c>
      <c r="H44" s="17">
        <v>308.00961538461502</v>
      </c>
      <c r="I44" s="17">
        <v>673.29218269230796</v>
      </c>
      <c r="J44" s="7" t="s">
        <v>247</v>
      </c>
      <c r="K44" s="7">
        <v>2050</v>
      </c>
      <c r="L44" s="7" t="str">
        <f>IF(Y44&lt;&gt;"",Y44,IF(AND(K44&gt;=Hypothèses!$B$9,K44&lt;=Hypothèses!$B$10),"actuel",IF(K44=2030,"2030",IF(K44=2050,"2050","autre"))))</f>
        <v>2050</v>
      </c>
      <c r="M44" s="7"/>
      <c r="N44" s="7" t="s">
        <v>248</v>
      </c>
      <c r="O44" s="7"/>
      <c r="P44" s="7" t="s">
        <v>295</v>
      </c>
      <c r="Q44" s="7" t="s">
        <v>49</v>
      </c>
      <c r="R44" s="14">
        <f>INDEX(Hypothèses!$B$14:$B$22,MATCH(Q44,Hypothèses!$A$14:$A$22,0))</f>
        <v>1</v>
      </c>
      <c r="S44" s="17">
        <f t="shared" si="0"/>
        <v>129.57697115384599</v>
      </c>
      <c r="T44" s="17">
        <f t="shared" si="1"/>
        <v>308.00961538461502</v>
      </c>
      <c r="U44" s="17">
        <f t="shared" si="2"/>
        <v>673.29218269230796</v>
      </c>
      <c r="V44" s="7" t="s">
        <v>247</v>
      </c>
      <c r="W44" s="7" t="s">
        <v>84</v>
      </c>
      <c r="X44" s="7" t="s">
        <v>250</v>
      </c>
      <c r="Y44" s="7"/>
      <c r="Z44" s="7"/>
      <c r="AA44" s="7">
        <f>IF(AND(Hypothèses!$B$12=1,Z44="Secondary_Source"),0,1)</f>
        <v>1</v>
      </c>
    </row>
    <row r="45" spans="1:27" x14ac:dyDescent="0.3">
      <c r="A45" s="7" t="s">
        <v>302</v>
      </c>
      <c r="B45" s="7" t="s">
        <v>78</v>
      </c>
      <c r="C45" s="7" t="s">
        <v>112</v>
      </c>
      <c r="D45" s="7" t="s">
        <v>244</v>
      </c>
      <c r="E45" s="7" t="s">
        <v>245</v>
      </c>
      <c r="F45" s="7" t="s">
        <v>258</v>
      </c>
      <c r="G45" s="17"/>
      <c r="H45" s="17">
        <v>1661.2903225806499</v>
      </c>
      <c r="I45" s="17"/>
      <c r="J45" s="7" t="s">
        <v>247</v>
      </c>
      <c r="K45" s="7">
        <v>2020</v>
      </c>
      <c r="L45" s="7" t="str">
        <f>IF(Y45&lt;&gt;"",Y45,IF(AND(K45&gt;=Hypothèses!$B$9,K45&lt;=Hypothèses!$B$10),"actuel",IF(K45=2030,"2030",IF(K45=2050,"2050","autre"))))</f>
        <v>actuel</v>
      </c>
      <c r="M45" s="7"/>
      <c r="N45" s="7" t="s">
        <v>248</v>
      </c>
      <c r="O45" s="7"/>
      <c r="P45" s="7" t="s">
        <v>303</v>
      </c>
      <c r="Q45" s="7" t="s">
        <v>49</v>
      </c>
      <c r="R45" s="14">
        <f>INDEX(Hypothèses!$B$14:$B$22,MATCH(Q45,Hypothèses!$A$14:$A$22,0))</f>
        <v>1</v>
      </c>
      <c r="S45" s="17" t="str">
        <f t="shared" si="0"/>
        <v/>
      </c>
      <c r="T45" s="17">
        <f t="shared" si="1"/>
        <v>1661.2903225806499</v>
      </c>
      <c r="U45" s="17" t="str">
        <f t="shared" si="2"/>
        <v/>
      </c>
      <c r="V45" s="7" t="s">
        <v>247</v>
      </c>
      <c r="W45" s="7" t="s">
        <v>84</v>
      </c>
      <c r="X45" s="7" t="s">
        <v>250</v>
      </c>
      <c r="Y45" s="7"/>
      <c r="Z45" s="7"/>
      <c r="AA45" s="7">
        <f>IF(AND(Hypothèses!$B$12=1,Z45="Secondary_Source"),0,1)</f>
        <v>1</v>
      </c>
    </row>
    <row r="46" spans="1:27" x14ac:dyDescent="0.3">
      <c r="A46" s="7" t="s">
        <v>304</v>
      </c>
      <c r="B46" s="7" t="s">
        <v>78</v>
      </c>
      <c r="C46" s="7" t="s">
        <v>112</v>
      </c>
      <c r="D46" s="7" t="s">
        <v>244</v>
      </c>
      <c r="E46" s="7" t="s">
        <v>245</v>
      </c>
      <c r="F46" s="7" t="s">
        <v>258</v>
      </c>
      <c r="G46" s="17"/>
      <c r="H46" s="17">
        <v>1228.6504516129</v>
      </c>
      <c r="I46" s="17"/>
      <c r="J46" s="7" t="s">
        <v>247</v>
      </c>
      <c r="K46" s="7">
        <v>2021</v>
      </c>
      <c r="L46" s="7" t="str">
        <f>IF(Y46&lt;&gt;"",Y46,IF(AND(K46&gt;=Hypothèses!$B$9,K46&lt;=Hypothèses!$B$10),"actuel",IF(K46=2030,"2030",IF(K46=2050,"2050","autre"))))</f>
        <v>actuel</v>
      </c>
      <c r="M46" s="7"/>
      <c r="N46" s="7" t="s">
        <v>248</v>
      </c>
      <c r="O46" s="7"/>
      <c r="P46" s="7" t="s">
        <v>303</v>
      </c>
      <c r="Q46" s="7" t="s">
        <v>49</v>
      </c>
      <c r="R46" s="14">
        <f>INDEX(Hypothèses!$B$14:$B$22,MATCH(Q46,Hypothèses!$A$14:$A$22,0))</f>
        <v>1</v>
      </c>
      <c r="S46" s="17" t="str">
        <f t="shared" si="0"/>
        <v/>
      </c>
      <c r="T46" s="17">
        <f t="shared" si="1"/>
        <v>1228.6504516129</v>
      </c>
      <c r="U46" s="17" t="str">
        <f t="shared" si="2"/>
        <v/>
      </c>
      <c r="V46" s="7" t="s">
        <v>247</v>
      </c>
      <c r="W46" s="7" t="s">
        <v>84</v>
      </c>
      <c r="X46" s="7" t="s">
        <v>250</v>
      </c>
      <c r="Y46" s="7"/>
      <c r="Z46" s="7"/>
      <c r="AA46" s="7">
        <f>IF(AND(Hypothèses!$B$12=1,Z46="Secondary_Source"),0,1)</f>
        <v>1</v>
      </c>
    </row>
    <row r="47" spans="1:27" x14ac:dyDescent="0.3">
      <c r="A47" s="7" t="s">
        <v>305</v>
      </c>
      <c r="B47" s="7" t="s">
        <v>78</v>
      </c>
      <c r="C47" s="7" t="s">
        <v>112</v>
      </c>
      <c r="D47" s="7" t="s">
        <v>244</v>
      </c>
      <c r="E47" s="7" t="s">
        <v>245</v>
      </c>
      <c r="F47" s="7" t="s">
        <v>258</v>
      </c>
      <c r="G47" s="17"/>
      <c r="H47" s="17">
        <v>1084.1049032258099</v>
      </c>
      <c r="I47" s="17"/>
      <c r="J47" s="7" t="s">
        <v>247</v>
      </c>
      <c r="K47" s="7">
        <v>2022</v>
      </c>
      <c r="L47" s="7" t="str">
        <f>IF(Y47&lt;&gt;"",Y47,IF(AND(K47&gt;=Hypothèses!$B$9,K47&lt;=Hypothèses!$B$10),"actuel",IF(K47=2030,"2030",IF(K47=2050,"2050","autre"))))</f>
        <v>actuel</v>
      </c>
      <c r="M47" s="7"/>
      <c r="N47" s="7" t="s">
        <v>248</v>
      </c>
      <c r="O47" s="7"/>
      <c r="P47" s="7" t="s">
        <v>303</v>
      </c>
      <c r="Q47" s="7" t="s">
        <v>49</v>
      </c>
      <c r="R47" s="14">
        <f>INDEX(Hypothèses!$B$14:$B$22,MATCH(Q47,Hypothèses!$A$14:$A$22,0))</f>
        <v>1</v>
      </c>
      <c r="S47" s="17" t="str">
        <f t="shared" si="0"/>
        <v/>
      </c>
      <c r="T47" s="17">
        <f t="shared" si="1"/>
        <v>1084.1049032258099</v>
      </c>
      <c r="U47" s="17" t="str">
        <f t="shared" si="2"/>
        <v/>
      </c>
      <c r="V47" s="7" t="s">
        <v>247</v>
      </c>
      <c r="W47" s="7" t="s">
        <v>84</v>
      </c>
      <c r="X47" s="7" t="s">
        <v>250</v>
      </c>
      <c r="Y47" s="7"/>
      <c r="Z47" s="7"/>
      <c r="AA47" s="7">
        <f>IF(AND(Hypothèses!$B$12=1,Z47="Secondary_Source"),0,1)</f>
        <v>1</v>
      </c>
    </row>
    <row r="48" spans="1:27" x14ac:dyDescent="0.3">
      <c r="A48" s="7" t="s">
        <v>306</v>
      </c>
      <c r="B48" s="7" t="s">
        <v>78</v>
      </c>
      <c r="C48" s="7" t="s">
        <v>112</v>
      </c>
      <c r="D48" s="7" t="s">
        <v>244</v>
      </c>
      <c r="E48" s="7" t="s">
        <v>245</v>
      </c>
      <c r="F48" s="7" t="s">
        <v>258</v>
      </c>
      <c r="G48" s="17"/>
      <c r="H48" s="17">
        <v>991.757096774194</v>
      </c>
      <c r="I48" s="17"/>
      <c r="J48" s="7" t="s">
        <v>247</v>
      </c>
      <c r="K48" s="7">
        <v>2023</v>
      </c>
      <c r="L48" s="7" t="str">
        <f>IF(Y48&lt;&gt;"",Y48,IF(AND(K48&gt;=Hypothèses!$B$9,K48&lt;=Hypothèses!$B$10),"actuel",IF(K48=2030,"2030",IF(K48=2050,"2050","autre"))))</f>
        <v>actuel</v>
      </c>
      <c r="M48" s="7"/>
      <c r="N48" s="7" t="s">
        <v>248</v>
      </c>
      <c r="O48" s="7"/>
      <c r="P48" s="7" t="s">
        <v>303</v>
      </c>
      <c r="Q48" s="7" t="s">
        <v>49</v>
      </c>
      <c r="R48" s="14">
        <f>INDEX(Hypothèses!$B$14:$B$22,MATCH(Q48,Hypothèses!$A$14:$A$22,0))</f>
        <v>1</v>
      </c>
      <c r="S48" s="17" t="str">
        <f t="shared" si="0"/>
        <v/>
      </c>
      <c r="T48" s="17">
        <f t="shared" si="1"/>
        <v>991.757096774194</v>
      </c>
      <c r="U48" s="17" t="str">
        <f t="shared" si="2"/>
        <v/>
      </c>
      <c r="V48" s="7" t="s">
        <v>247</v>
      </c>
      <c r="W48" s="7" t="s">
        <v>84</v>
      </c>
      <c r="X48" s="7" t="s">
        <v>250</v>
      </c>
      <c r="Y48" s="7"/>
      <c r="Z48" s="7"/>
      <c r="AA48" s="7">
        <f>IF(AND(Hypothèses!$B$12=1,Z48="Secondary_Source"),0,1)</f>
        <v>1</v>
      </c>
    </row>
    <row r="49" spans="1:27" x14ac:dyDescent="0.3">
      <c r="A49" s="7" t="s">
        <v>307</v>
      </c>
      <c r="B49" s="7" t="s">
        <v>78</v>
      </c>
      <c r="C49" s="7" t="s">
        <v>112</v>
      </c>
      <c r="D49" s="7" t="s">
        <v>244</v>
      </c>
      <c r="E49" s="7" t="s">
        <v>245</v>
      </c>
      <c r="F49" s="7" t="s">
        <v>258</v>
      </c>
      <c r="G49" s="17"/>
      <c r="H49" s="17">
        <v>935.53903225806505</v>
      </c>
      <c r="I49" s="17"/>
      <c r="J49" s="7" t="s">
        <v>247</v>
      </c>
      <c r="K49" s="7">
        <v>2024</v>
      </c>
      <c r="L49" s="7" t="str">
        <f>IF(Y49&lt;&gt;"",Y49,IF(AND(K49&gt;=Hypothèses!$B$9,K49&lt;=Hypothèses!$B$10),"actuel",IF(K49=2030,"2030",IF(K49=2050,"2050","autre"))))</f>
        <v>actuel</v>
      </c>
      <c r="M49" s="7"/>
      <c r="N49" s="7" t="s">
        <v>248</v>
      </c>
      <c r="O49" s="7"/>
      <c r="P49" s="7" t="s">
        <v>303</v>
      </c>
      <c r="Q49" s="7" t="s">
        <v>49</v>
      </c>
      <c r="R49" s="14">
        <f>INDEX(Hypothèses!$B$14:$B$22,MATCH(Q49,Hypothèses!$A$14:$A$22,0))</f>
        <v>1</v>
      </c>
      <c r="S49" s="17" t="str">
        <f t="shared" si="0"/>
        <v/>
      </c>
      <c r="T49" s="17">
        <f t="shared" si="1"/>
        <v>935.53903225806505</v>
      </c>
      <c r="U49" s="17" t="str">
        <f t="shared" si="2"/>
        <v/>
      </c>
      <c r="V49" s="7" t="s">
        <v>247</v>
      </c>
      <c r="W49" s="7" t="s">
        <v>84</v>
      </c>
      <c r="X49" s="7" t="s">
        <v>250</v>
      </c>
      <c r="Y49" s="7"/>
      <c r="Z49" s="7"/>
      <c r="AA49" s="7">
        <f>IF(AND(Hypothèses!$B$12=1,Z49="Secondary_Source"),0,1)</f>
        <v>1</v>
      </c>
    </row>
    <row r="50" spans="1:27" x14ac:dyDescent="0.3">
      <c r="A50" s="7" t="s">
        <v>308</v>
      </c>
      <c r="B50" s="7" t="s">
        <v>78</v>
      </c>
      <c r="C50" s="7" t="s">
        <v>112</v>
      </c>
      <c r="D50" s="7" t="s">
        <v>244</v>
      </c>
      <c r="E50" s="7" t="s">
        <v>245</v>
      </c>
      <c r="F50" s="7" t="s">
        <v>258</v>
      </c>
      <c r="G50" s="17"/>
      <c r="H50" s="17">
        <v>911.45032258064498</v>
      </c>
      <c r="I50" s="17"/>
      <c r="J50" s="7" t="s">
        <v>247</v>
      </c>
      <c r="K50" s="7">
        <v>2025</v>
      </c>
      <c r="L50" s="7" t="str">
        <f>IF(Y50&lt;&gt;"",Y50,IF(AND(K50&gt;=Hypothèses!$B$9,K50&lt;=Hypothèses!$B$10),"actuel",IF(K50=2030,"2030",IF(K50=2050,"2050","autre"))))</f>
        <v>actuel</v>
      </c>
      <c r="M50" s="7"/>
      <c r="N50" s="7" t="s">
        <v>248</v>
      </c>
      <c r="O50" s="7"/>
      <c r="P50" s="7" t="s">
        <v>303</v>
      </c>
      <c r="Q50" s="7" t="s">
        <v>49</v>
      </c>
      <c r="R50" s="14">
        <f>INDEX(Hypothèses!$B$14:$B$22,MATCH(Q50,Hypothèses!$A$14:$A$22,0))</f>
        <v>1</v>
      </c>
      <c r="S50" s="17" t="str">
        <f t="shared" si="0"/>
        <v/>
      </c>
      <c r="T50" s="17">
        <f t="shared" si="1"/>
        <v>911.45032258064498</v>
      </c>
      <c r="U50" s="17" t="str">
        <f t="shared" si="2"/>
        <v/>
      </c>
      <c r="V50" s="7" t="s">
        <v>247</v>
      </c>
      <c r="W50" s="7" t="s">
        <v>84</v>
      </c>
      <c r="X50" s="7" t="s">
        <v>250</v>
      </c>
      <c r="Y50" s="7"/>
      <c r="Z50" s="7"/>
      <c r="AA50" s="7">
        <f>IF(AND(Hypothèses!$B$12=1,Z50="Secondary_Source"),0,1)</f>
        <v>1</v>
      </c>
    </row>
    <row r="51" spans="1:27" x14ac:dyDescent="0.3">
      <c r="A51" s="7" t="s">
        <v>309</v>
      </c>
      <c r="B51" s="7" t="s">
        <v>78</v>
      </c>
      <c r="C51" s="7" t="s">
        <v>112</v>
      </c>
      <c r="D51" s="7" t="s">
        <v>244</v>
      </c>
      <c r="E51" s="7" t="s">
        <v>245</v>
      </c>
      <c r="F51" s="7" t="s">
        <v>258</v>
      </c>
      <c r="G51" s="17"/>
      <c r="H51" s="17">
        <v>895.38896774193597</v>
      </c>
      <c r="I51" s="17"/>
      <c r="J51" s="7" t="s">
        <v>247</v>
      </c>
      <c r="K51" s="7">
        <v>2026</v>
      </c>
      <c r="L51" s="7" t="str">
        <f>IF(Y51&lt;&gt;"",Y51,IF(AND(K51&gt;=Hypothèses!$B$9,K51&lt;=Hypothèses!$B$10),"actuel",IF(K51=2030,"2030",IF(K51=2050,"2050","autre"))))</f>
        <v>autre</v>
      </c>
      <c r="M51" s="7"/>
      <c r="N51" s="7" t="s">
        <v>248</v>
      </c>
      <c r="O51" s="7"/>
      <c r="P51" s="7" t="s">
        <v>303</v>
      </c>
      <c r="Q51" s="7" t="s">
        <v>49</v>
      </c>
      <c r="R51" s="14">
        <f>INDEX(Hypothèses!$B$14:$B$22,MATCH(Q51,Hypothèses!$A$14:$A$22,0))</f>
        <v>1</v>
      </c>
      <c r="S51" s="17" t="str">
        <f t="shared" si="0"/>
        <v/>
      </c>
      <c r="T51" s="17">
        <f t="shared" si="1"/>
        <v>895.38896774193597</v>
      </c>
      <c r="U51" s="17" t="str">
        <f t="shared" si="2"/>
        <v/>
      </c>
      <c r="V51" s="7" t="s">
        <v>247</v>
      </c>
      <c r="W51" s="7" t="s">
        <v>84</v>
      </c>
      <c r="X51" s="7" t="s">
        <v>250</v>
      </c>
      <c r="Y51" s="7"/>
      <c r="Z51" s="7"/>
      <c r="AA51" s="7">
        <f>IF(AND(Hypothèses!$B$12=1,Z51="Secondary_Source"),0,1)</f>
        <v>1</v>
      </c>
    </row>
    <row r="52" spans="1:27" x14ac:dyDescent="0.3">
      <c r="A52" s="7" t="s">
        <v>310</v>
      </c>
      <c r="B52" s="7" t="s">
        <v>78</v>
      </c>
      <c r="C52" s="7" t="s">
        <v>112</v>
      </c>
      <c r="D52" s="7" t="s">
        <v>244</v>
      </c>
      <c r="E52" s="7" t="s">
        <v>245</v>
      </c>
      <c r="F52" s="7" t="s">
        <v>258</v>
      </c>
      <c r="G52" s="17"/>
      <c r="H52" s="17">
        <v>875.31393548387098</v>
      </c>
      <c r="I52" s="17"/>
      <c r="J52" s="7" t="s">
        <v>247</v>
      </c>
      <c r="K52" s="7">
        <v>2027</v>
      </c>
      <c r="L52" s="7" t="str">
        <f>IF(Y52&lt;&gt;"",Y52,IF(AND(K52&gt;=Hypothèses!$B$9,K52&lt;=Hypothèses!$B$10),"actuel",IF(K52=2030,"2030",IF(K52=2050,"2050","autre"))))</f>
        <v>autre</v>
      </c>
      <c r="M52" s="7"/>
      <c r="N52" s="7" t="s">
        <v>248</v>
      </c>
      <c r="O52" s="7"/>
      <c r="P52" s="7" t="s">
        <v>303</v>
      </c>
      <c r="Q52" s="7" t="s">
        <v>49</v>
      </c>
      <c r="R52" s="14">
        <f>INDEX(Hypothèses!$B$14:$B$22,MATCH(Q52,Hypothèses!$A$14:$A$22,0))</f>
        <v>1</v>
      </c>
      <c r="S52" s="17" t="str">
        <f t="shared" si="0"/>
        <v/>
      </c>
      <c r="T52" s="17">
        <f t="shared" si="1"/>
        <v>875.31393548387098</v>
      </c>
      <c r="U52" s="17" t="str">
        <f t="shared" si="2"/>
        <v/>
      </c>
      <c r="V52" s="7" t="s">
        <v>247</v>
      </c>
      <c r="W52" s="7" t="s">
        <v>84</v>
      </c>
      <c r="X52" s="7" t="s">
        <v>250</v>
      </c>
      <c r="Y52" s="7"/>
      <c r="Z52" s="7"/>
      <c r="AA52" s="7">
        <f>IF(AND(Hypothèses!$B$12=1,Z52="Secondary_Source"),0,1)</f>
        <v>1</v>
      </c>
    </row>
    <row r="53" spans="1:27" x14ac:dyDescent="0.3">
      <c r="A53" s="7" t="s">
        <v>311</v>
      </c>
      <c r="B53" s="7" t="s">
        <v>78</v>
      </c>
      <c r="C53" s="7" t="s">
        <v>112</v>
      </c>
      <c r="D53" s="7" t="s">
        <v>244</v>
      </c>
      <c r="E53" s="7" t="s">
        <v>245</v>
      </c>
      <c r="F53" s="7" t="s">
        <v>258</v>
      </c>
      <c r="G53" s="17"/>
      <c r="H53" s="17">
        <v>847.20490322580599</v>
      </c>
      <c r="I53" s="17"/>
      <c r="J53" s="7" t="s">
        <v>247</v>
      </c>
      <c r="K53" s="7">
        <v>2028</v>
      </c>
      <c r="L53" s="7" t="str">
        <f>IF(Y53&lt;&gt;"",Y53,IF(AND(K53&gt;=Hypothèses!$B$9,K53&lt;=Hypothèses!$B$10),"actuel",IF(K53=2030,"2030",IF(K53=2050,"2050","autre"))))</f>
        <v>autre</v>
      </c>
      <c r="M53" s="7"/>
      <c r="N53" s="7" t="s">
        <v>248</v>
      </c>
      <c r="O53" s="7"/>
      <c r="P53" s="7" t="s">
        <v>303</v>
      </c>
      <c r="Q53" s="7" t="s">
        <v>49</v>
      </c>
      <c r="R53" s="14">
        <f>INDEX(Hypothèses!$B$14:$B$22,MATCH(Q53,Hypothèses!$A$14:$A$22,0))</f>
        <v>1</v>
      </c>
      <c r="S53" s="17" t="str">
        <f t="shared" si="0"/>
        <v/>
      </c>
      <c r="T53" s="17">
        <f t="shared" si="1"/>
        <v>847.20490322580599</v>
      </c>
      <c r="U53" s="17" t="str">
        <f t="shared" si="2"/>
        <v/>
      </c>
      <c r="V53" s="7" t="s">
        <v>247</v>
      </c>
      <c r="W53" s="7" t="s">
        <v>84</v>
      </c>
      <c r="X53" s="7" t="s">
        <v>250</v>
      </c>
      <c r="Y53" s="7"/>
      <c r="Z53" s="7"/>
      <c r="AA53" s="7">
        <f>IF(AND(Hypothèses!$B$12=1,Z53="Secondary_Source"),0,1)</f>
        <v>1</v>
      </c>
    </row>
    <row r="54" spans="1:27" x14ac:dyDescent="0.3">
      <c r="A54" s="7" t="s">
        <v>312</v>
      </c>
      <c r="B54" s="7" t="s">
        <v>78</v>
      </c>
      <c r="C54" s="7" t="s">
        <v>112</v>
      </c>
      <c r="D54" s="7" t="s">
        <v>244</v>
      </c>
      <c r="E54" s="7" t="s">
        <v>245</v>
      </c>
      <c r="F54" s="7" t="s">
        <v>258</v>
      </c>
      <c r="G54" s="17"/>
      <c r="H54" s="17">
        <v>827.12987096774202</v>
      </c>
      <c r="I54" s="17"/>
      <c r="J54" s="7" t="s">
        <v>247</v>
      </c>
      <c r="K54" s="7">
        <v>2029</v>
      </c>
      <c r="L54" s="7" t="str">
        <f>IF(Y54&lt;&gt;"",Y54,IF(AND(K54&gt;=Hypothèses!$B$9,K54&lt;=Hypothèses!$B$10),"actuel",IF(K54=2030,"2030",IF(K54=2050,"2050","autre"))))</f>
        <v>autre</v>
      </c>
      <c r="M54" s="7"/>
      <c r="N54" s="7" t="s">
        <v>248</v>
      </c>
      <c r="O54" s="7"/>
      <c r="P54" s="7" t="s">
        <v>303</v>
      </c>
      <c r="Q54" s="7" t="s">
        <v>49</v>
      </c>
      <c r="R54" s="14">
        <f>INDEX(Hypothèses!$B$14:$B$22,MATCH(Q54,Hypothèses!$A$14:$A$22,0))</f>
        <v>1</v>
      </c>
      <c r="S54" s="17" t="str">
        <f t="shared" si="0"/>
        <v/>
      </c>
      <c r="T54" s="17">
        <f t="shared" si="1"/>
        <v>827.12987096774202</v>
      </c>
      <c r="U54" s="17" t="str">
        <f t="shared" si="2"/>
        <v/>
      </c>
      <c r="V54" s="7" t="s">
        <v>247</v>
      </c>
      <c r="W54" s="7" t="s">
        <v>84</v>
      </c>
      <c r="X54" s="7" t="s">
        <v>250</v>
      </c>
      <c r="Y54" s="7"/>
      <c r="Z54" s="7"/>
      <c r="AA54" s="7">
        <f>IF(AND(Hypothèses!$B$12=1,Z54="Secondary_Source"),0,1)</f>
        <v>1</v>
      </c>
    </row>
    <row r="55" spans="1:27" x14ac:dyDescent="0.3">
      <c r="A55" s="7" t="s">
        <v>313</v>
      </c>
      <c r="B55" s="7" t="s">
        <v>78</v>
      </c>
      <c r="C55" s="7" t="s">
        <v>112</v>
      </c>
      <c r="D55" s="7" t="s">
        <v>244</v>
      </c>
      <c r="E55" s="7" t="s">
        <v>245</v>
      </c>
      <c r="F55" s="7" t="s">
        <v>258</v>
      </c>
      <c r="G55" s="17"/>
      <c r="H55" s="17">
        <v>803.04116129032298</v>
      </c>
      <c r="I55" s="17"/>
      <c r="J55" s="7" t="s">
        <v>247</v>
      </c>
      <c r="K55" s="7">
        <v>2030</v>
      </c>
      <c r="L55" s="7" t="str">
        <f>IF(Y55&lt;&gt;"",Y55,IF(AND(K55&gt;=Hypothèses!$B$9,K55&lt;=Hypothèses!$B$10),"actuel",IF(K55=2030,"2030",IF(K55=2050,"2050","autre"))))</f>
        <v>2030</v>
      </c>
      <c r="M55" s="7"/>
      <c r="N55" s="7" t="s">
        <v>248</v>
      </c>
      <c r="O55" s="7"/>
      <c r="P55" s="7" t="s">
        <v>303</v>
      </c>
      <c r="Q55" s="7" t="s">
        <v>49</v>
      </c>
      <c r="R55" s="14">
        <f>INDEX(Hypothèses!$B$14:$B$22,MATCH(Q55,Hypothèses!$A$14:$A$22,0))</f>
        <v>1</v>
      </c>
      <c r="S55" s="17" t="str">
        <f t="shared" si="0"/>
        <v/>
      </c>
      <c r="T55" s="17">
        <f t="shared" si="1"/>
        <v>803.04116129032298</v>
      </c>
      <c r="U55" s="17" t="str">
        <f t="shared" si="2"/>
        <v/>
      </c>
      <c r="V55" s="7" t="s">
        <v>247</v>
      </c>
      <c r="W55" s="7" t="s">
        <v>84</v>
      </c>
      <c r="X55" s="7" t="s">
        <v>250</v>
      </c>
      <c r="Y55" s="7"/>
      <c r="Z55" s="7"/>
      <c r="AA55" s="7">
        <f>IF(AND(Hypothèses!$B$12=1,Z55="Secondary_Source"),0,1)</f>
        <v>1</v>
      </c>
    </row>
    <row r="56" spans="1:27" x14ac:dyDescent="0.3">
      <c r="A56" s="7" t="s">
        <v>314</v>
      </c>
      <c r="B56" s="7" t="s">
        <v>78</v>
      </c>
      <c r="C56" s="7" t="s">
        <v>112</v>
      </c>
      <c r="D56" s="7" t="s">
        <v>244</v>
      </c>
      <c r="E56" s="7" t="s">
        <v>245</v>
      </c>
      <c r="F56" s="7" t="s">
        <v>258</v>
      </c>
      <c r="G56" s="17"/>
      <c r="H56" s="17">
        <v>770.91845161290303</v>
      </c>
      <c r="I56" s="17"/>
      <c r="J56" s="7" t="s">
        <v>247</v>
      </c>
      <c r="K56" s="7">
        <v>2031</v>
      </c>
      <c r="L56" s="7" t="str">
        <f>IF(Y56&lt;&gt;"",Y56,IF(AND(K56&gt;=Hypothèses!$B$9,K56&lt;=Hypothèses!$B$10),"actuel",IF(K56=2030,"2030",IF(K56=2050,"2050","autre"))))</f>
        <v>autre</v>
      </c>
      <c r="M56" s="7"/>
      <c r="N56" s="7" t="s">
        <v>248</v>
      </c>
      <c r="O56" s="7"/>
      <c r="P56" s="7" t="s">
        <v>303</v>
      </c>
      <c r="Q56" s="7" t="s">
        <v>49</v>
      </c>
      <c r="R56" s="14">
        <f>INDEX(Hypothèses!$B$14:$B$22,MATCH(Q56,Hypothèses!$A$14:$A$22,0))</f>
        <v>1</v>
      </c>
      <c r="S56" s="17" t="str">
        <f t="shared" si="0"/>
        <v/>
      </c>
      <c r="T56" s="17">
        <f t="shared" si="1"/>
        <v>770.91845161290303</v>
      </c>
      <c r="U56" s="17" t="str">
        <f t="shared" si="2"/>
        <v/>
      </c>
      <c r="V56" s="7" t="s">
        <v>247</v>
      </c>
      <c r="W56" s="7" t="s">
        <v>84</v>
      </c>
      <c r="X56" s="7" t="s">
        <v>250</v>
      </c>
      <c r="Y56" s="7"/>
      <c r="Z56" s="7"/>
      <c r="AA56" s="7">
        <f>IF(AND(Hypothèses!$B$12=1,Z56="Secondary_Source"),0,1)</f>
        <v>1</v>
      </c>
    </row>
    <row r="57" spans="1:27" x14ac:dyDescent="0.3">
      <c r="A57" s="7" t="s">
        <v>315</v>
      </c>
      <c r="B57" s="7" t="s">
        <v>78</v>
      </c>
      <c r="C57" s="7" t="s">
        <v>112</v>
      </c>
      <c r="D57" s="7" t="s">
        <v>244</v>
      </c>
      <c r="E57" s="7" t="s">
        <v>245</v>
      </c>
      <c r="F57" s="7" t="s">
        <v>258</v>
      </c>
      <c r="G57" s="17"/>
      <c r="H57" s="17">
        <v>750.84341935483906</v>
      </c>
      <c r="I57" s="17"/>
      <c r="J57" s="7" t="s">
        <v>247</v>
      </c>
      <c r="K57" s="7">
        <v>2032</v>
      </c>
      <c r="L57" s="7" t="str">
        <f>IF(Y57&lt;&gt;"",Y57,IF(AND(K57&gt;=Hypothèses!$B$9,K57&lt;=Hypothèses!$B$10),"actuel",IF(K57=2030,"2030",IF(K57=2050,"2050","autre"))))</f>
        <v>autre</v>
      </c>
      <c r="M57" s="7"/>
      <c r="N57" s="7" t="s">
        <v>248</v>
      </c>
      <c r="O57" s="7"/>
      <c r="P57" s="7" t="s">
        <v>303</v>
      </c>
      <c r="Q57" s="7" t="s">
        <v>49</v>
      </c>
      <c r="R57" s="14">
        <f>INDEX(Hypothèses!$B$14:$B$22,MATCH(Q57,Hypothèses!$A$14:$A$22,0))</f>
        <v>1</v>
      </c>
      <c r="S57" s="17" t="str">
        <f t="shared" si="0"/>
        <v/>
      </c>
      <c r="T57" s="17">
        <f t="shared" si="1"/>
        <v>750.84341935483906</v>
      </c>
      <c r="U57" s="17" t="str">
        <f t="shared" si="2"/>
        <v/>
      </c>
      <c r="V57" s="7" t="s">
        <v>247</v>
      </c>
      <c r="W57" s="7" t="s">
        <v>84</v>
      </c>
      <c r="X57" s="7" t="s">
        <v>250</v>
      </c>
      <c r="Y57" s="7"/>
      <c r="Z57" s="7"/>
      <c r="AA57" s="7">
        <f>IF(AND(Hypothèses!$B$12=1,Z57="Secondary_Source"),0,1)</f>
        <v>1</v>
      </c>
    </row>
    <row r="58" spans="1:27" x14ac:dyDescent="0.3">
      <c r="A58" s="7" t="s">
        <v>316</v>
      </c>
      <c r="B58" s="7" t="s">
        <v>78</v>
      </c>
      <c r="C58" s="7" t="s">
        <v>112</v>
      </c>
      <c r="D58" s="7" t="s">
        <v>244</v>
      </c>
      <c r="E58" s="7" t="s">
        <v>245</v>
      </c>
      <c r="F58" s="7" t="s">
        <v>258</v>
      </c>
      <c r="G58" s="17"/>
      <c r="H58" s="17">
        <v>710.69335483870998</v>
      </c>
      <c r="I58" s="17"/>
      <c r="J58" s="7" t="s">
        <v>247</v>
      </c>
      <c r="K58" s="7">
        <v>2033</v>
      </c>
      <c r="L58" s="7" t="str">
        <f>IF(Y58&lt;&gt;"",Y58,IF(AND(K58&gt;=Hypothèses!$B$9,K58&lt;=Hypothèses!$B$10),"actuel",IF(K58=2030,"2030",IF(K58=2050,"2050","autre"))))</f>
        <v>autre</v>
      </c>
      <c r="M58" s="7"/>
      <c r="N58" s="7" t="s">
        <v>248</v>
      </c>
      <c r="O58" s="7"/>
      <c r="P58" s="7" t="s">
        <v>303</v>
      </c>
      <c r="Q58" s="7" t="s">
        <v>49</v>
      </c>
      <c r="R58" s="14">
        <f>INDEX(Hypothèses!$B$14:$B$22,MATCH(Q58,Hypothèses!$A$14:$A$22,0))</f>
        <v>1</v>
      </c>
      <c r="S58" s="17" t="str">
        <f t="shared" si="0"/>
        <v/>
      </c>
      <c r="T58" s="17">
        <f t="shared" si="1"/>
        <v>710.69335483870998</v>
      </c>
      <c r="U58" s="17" t="str">
        <f t="shared" si="2"/>
        <v/>
      </c>
      <c r="V58" s="7" t="s">
        <v>247</v>
      </c>
      <c r="W58" s="7" t="s">
        <v>84</v>
      </c>
      <c r="X58" s="7" t="s">
        <v>250</v>
      </c>
      <c r="Y58" s="7"/>
      <c r="Z58" s="7"/>
      <c r="AA58" s="7">
        <f>IF(AND(Hypothèses!$B$12=1,Z58="Secondary_Source"),0,1)</f>
        <v>1</v>
      </c>
    </row>
    <row r="59" spans="1:27" x14ac:dyDescent="0.3">
      <c r="A59" s="7" t="s">
        <v>317</v>
      </c>
      <c r="B59" s="7" t="s">
        <v>78</v>
      </c>
      <c r="C59" s="7" t="s">
        <v>112</v>
      </c>
      <c r="D59" s="7" t="s">
        <v>244</v>
      </c>
      <c r="E59" s="7" t="s">
        <v>245</v>
      </c>
      <c r="F59" s="7" t="s">
        <v>258</v>
      </c>
      <c r="G59" s="17"/>
      <c r="H59" s="17">
        <v>686.59799999999996</v>
      </c>
      <c r="I59" s="17"/>
      <c r="J59" s="7" t="s">
        <v>247</v>
      </c>
      <c r="K59" s="7">
        <v>2034</v>
      </c>
      <c r="L59" s="7" t="str">
        <f>IF(Y59&lt;&gt;"",Y59,IF(AND(K59&gt;=Hypothèses!$B$9,K59&lt;=Hypothèses!$B$10),"actuel",IF(K59=2030,"2030",IF(K59=2050,"2050","autre"))))</f>
        <v>autre</v>
      </c>
      <c r="M59" s="7"/>
      <c r="N59" s="7" t="s">
        <v>248</v>
      </c>
      <c r="O59" s="7"/>
      <c r="P59" s="7" t="s">
        <v>303</v>
      </c>
      <c r="Q59" s="7" t="s">
        <v>49</v>
      </c>
      <c r="R59" s="14">
        <f>INDEX(Hypothèses!$B$14:$B$22,MATCH(Q59,Hypothèses!$A$14:$A$22,0))</f>
        <v>1</v>
      </c>
      <c r="S59" s="17" t="str">
        <f t="shared" si="0"/>
        <v/>
      </c>
      <c r="T59" s="17">
        <f t="shared" si="1"/>
        <v>686.59799999999996</v>
      </c>
      <c r="U59" s="17" t="str">
        <f t="shared" si="2"/>
        <v/>
      </c>
      <c r="V59" s="7" t="s">
        <v>247</v>
      </c>
      <c r="W59" s="7" t="s">
        <v>84</v>
      </c>
      <c r="X59" s="7" t="s">
        <v>250</v>
      </c>
      <c r="Y59" s="7"/>
      <c r="Z59" s="7"/>
      <c r="AA59" s="7">
        <f>IF(AND(Hypothèses!$B$12=1,Z59="Secondary_Source"),0,1)</f>
        <v>1</v>
      </c>
    </row>
    <row r="60" spans="1:27" x14ac:dyDescent="0.3">
      <c r="A60" s="7" t="s">
        <v>318</v>
      </c>
      <c r="B60" s="7" t="s">
        <v>78</v>
      </c>
      <c r="C60" s="7" t="s">
        <v>112</v>
      </c>
      <c r="D60" s="7" t="s">
        <v>244</v>
      </c>
      <c r="E60" s="7" t="s">
        <v>245</v>
      </c>
      <c r="F60" s="7" t="s">
        <v>258</v>
      </c>
      <c r="G60" s="17"/>
      <c r="H60" s="17">
        <v>654.47794838709694</v>
      </c>
      <c r="I60" s="17"/>
      <c r="J60" s="7" t="s">
        <v>247</v>
      </c>
      <c r="K60" s="7">
        <v>2035</v>
      </c>
      <c r="L60" s="7" t="str">
        <f>IF(Y60&lt;&gt;"",Y60,IF(AND(K60&gt;=Hypothèses!$B$9,K60&lt;=Hypothèses!$B$10),"actuel",IF(K60=2030,"2030",IF(K60=2050,"2050","autre"))))</f>
        <v>autre</v>
      </c>
      <c r="M60" s="7"/>
      <c r="N60" s="7" t="s">
        <v>248</v>
      </c>
      <c r="O60" s="7"/>
      <c r="P60" s="7" t="s">
        <v>303</v>
      </c>
      <c r="Q60" s="7" t="s">
        <v>49</v>
      </c>
      <c r="R60" s="14">
        <f>INDEX(Hypothèses!$B$14:$B$22,MATCH(Q60,Hypothèses!$A$14:$A$22,0))</f>
        <v>1</v>
      </c>
      <c r="S60" s="17" t="str">
        <f t="shared" si="0"/>
        <v/>
      </c>
      <c r="T60" s="17">
        <f t="shared" si="1"/>
        <v>654.47794838709694</v>
      </c>
      <c r="U60" s="17" t="str">
        <f t="shared" si="2"/>
        <v/>
      </c>
      <c r="V60" s="7" t="s">
        <v>247</v>
      </c>
      <c r="W60" s="7" t="s">
        <v>84</v>
      </c>
      <c r="X60" s="7" t="s">
        <v>250</v>
      </c>
      <c r="Y60" s="7"/>
      <c r="Z60" s="7"/>
      <c r="AA60" s="7">
        <f>IF(AND(Hypothèses!$B$12=1,Z60="Secondary_Source"),0,1)</f>
        <v>1</v>
      </c>
    </row>
    <row r="61" spans="1:27" x14ac:dyDescent="0.3">
      <c r="A61" s="7" t="s">
        <v>319</v>
      </c>
      <c r="B61" s="7" t="s">
        <v>78</v>
      </c>
      <c r="C61" s="7" t="s">
        <v>112</v>
      </c>
      <c r="D61" s="7" t="s">
        <v>244</v>
      </c>
      <c r="E61" s="7" t="s">
        <v>245</v>
      </c>
      <c r="F61" s="7" t="s">
        <v>258</v>
      </c>
      <c r="G61" s="17"/>
      <c r="H61" s="17">
        <v>622.35656774193603</v>
      </c>
      <c r="I61" s="17"/>
      <c r="J61" s="7" t="s">
        <v>247</v>
      </c>
      <c r="K61" s="7">
        <v>2036</v>
      </c>
      <c r="L61" s="7" t="str">
        <f>IF(Y61&lt;&gt;"",Y61,IF(AND(K61&gt;=Hypothèses!$B$9,K61&lt;=Hypothèses!$B$10),"actuel",IF(K61=2030,"2030",IF(K61=2050,"2050","autre"))))</f>
        <v>autre</v>
      </c>
      <c r="M61" s="7"/>
      <c r="N61" s="7" t="s">
        <v>248</v>
      </c>
      <c r="O61" s="7"/>
      <c r="P61" s="7" t="s">
        <v>303</v>
      </c>
      <c r="Q61" s="7" t="s">
        <v>49</v>
      </c>
      <c r="R61" s="14">
        <f>INDEX(Hypothèses!$B$14:$B$22,MATCH(Q61,Hypothèses!$A$14:$A$22,0))</f>
        <v>1</v>
      </c>
      <c r="S61" s="17" t="str">
        <f t="shared" si="0"/>
        <v/>
      </c>
      <c r="T61" s="17">
        <f t="shared" si="1"/>
        <v>622.35656774193603</v>
      </c>
      <c r="U61" s="17" t="str">
        <f t="shared" si="2"/>
        <v/>
      </c>
      <c r="V61" s="7" t="s">
        <v>247</v>
      </c>
      <c r="W61" s="7" t="s">
        <v>84</v>
      </c>
      <c r="X61" s="7" t="s">
        <v>250</v>
      </c>
      <c r="Y61" s="7"/>
      <c r="Z61" s="7"/>
      <c r="AA61" s="7">
        <f>IF(AND(Hypothèses!$B$12=1,Z61="Secondary_Source"),0,1)</f>
        <v>1</v>
      </c>
    </row>
    <row r="62" spans="1:27" x14ac:dyDescent="0.3">
      <c r="A62" s="7" t="s">
        <v>320</v>
      </c>
      <c r="B62" s="7" t="s">
        <v>78</v>
      </c>
      <c r="C62" s="7" t="s">
        <v>112</v>
      </c>
      <c r="D62" s="7" t="s">
        <v>244</v>
      </c>
      <c r="E62" s="7" t="s">
        <v>245</v>
      </c>
      <c r="F62" s="7" t="s">
        <v>258</v>
      </c>
      <c r="G62" s="17"/>
      <c r="H62" s="17">
        <v>586.21951612903194</v>
      </c>
      <c r="I62" s="17"/>
      <c r="J62" s="7" t="s">
        <v>247</v>
      </c>
      <c r="K62" s="7">
        <v>2037</v>
      </c>
      <c r="L62" s="7" t="str">
        <f>IF(Y62&lt;&gt;"",Y62,IF(AND(K62&gt;=Hypothèses!$B$9,K62&lt;=Hypothèses!$B$10),"actuel",IF(K62=2030,"2030",IF(K62=2050,"2050","autre"))))</f>
        <v>autre</v>
      </c>
      <c r="M62" s="7"/>
      <c r="N62" s="7" t="s">
        <v>248</v>
      </c>
      <c r="O62" s="7"/>
      <c r="P62" s="7" t="s">
        <v>303</v>
      </c>
      <c r="Q62" s="7" t="s">
        <v>49</v>
      </c>
      <c r="R62" s="14">
        <f>INDEX(Hypothèses!$B$14:$B$22,MATCH(Q62,Hypothèses!$A$14:$A$22,0))</f>
        <v>1</v>
      </c>
      <c r="S62" s="17" t="str">
        <f t="shared" si="0"/>
        <v/>
      </c>
      <c r="T62" s="17">
        <f t="shared" si="1"/>
        <v>586.21951612903194</v>
      </c>
      <c r="U62" s="17" t="str">
        <f t="shared" si="2"/>
        <v/>
      </c>
      <c r="V62" s="7" t="s">
        <v>247</v>
      </c>
      <c r="W62" s="7" t="s">
        <v>84</v>
      </c>
      <c r="X62" s="7" t="s">
        <v>250</v>
      </c>
      <c r="Y62" s="7"/>
      <c r="Z62" s="7"/>
      <c r="AA62" s="7">
        <f>IF(AND(Hypothèses!$B$12=1,Z62="Secondary_Source"),0,1)</f>
        <v>1</v>
      </c>
    </row>
    <row r="63" spans="1:27" x14ac:dyDescent="0.3">
      <c r="A63" s="7" t="s">
        <v>321</v>
      </c>
      <c r="B63" s="7" t="s">
        <v>78</v>
      </c>
      <c r="C63" s="7" t="s">
        <v>112</v>
      </c>
      <c r="D63" s="7" t="s">
        <v>244</v>
      </c>
      <c r="E63" s="7" t="s">
        <v>245</v>
      </c>
      <c r="F63" s="7" t="s">
        <v>258</v>
      </c>
      <c r="G63" s="17"/>
      <c r="H63" s="17">
        <v>558.11314193548401</v>
      </c>
      <c r="I63" s="17"/>
      <c r="J63" s="7" t="s">
        <v>247</v>
      </c>
      <c r="K63" s="7">
        <v>2038</v>
      </c>
      <c r="L63" s="7" t="str">
        <f>IF(Y63&lt;&gt;"",Y63,IF(AND(K63&gt;=Hypothèses!$B$9,K63&lt;=Hypothèses!$B$10),"actuel",IF(K63=2030,"2030",IF(K63=2050,"2050","autre"))))</f>
        <v>autre</v>
      </c>
      <c r="M63" s="7"/>
      <c r="N63" s="7" t="s">
        <v>248</v>
      </c>
      <c r="O63" s="7"/>
      <c r="P63" s="7" t="s">
        <v>303</v>
      </c>
      <c r="Q63" s="7" t="s">
        <v>49</v>
      </c>
      <c r="R63" s="14">
        <f>INDEX(Hypothèses!$B$14:$B$22,MATCH(Q63,Hypothèses!$A$14:$A$22,0))</f>
        <v>1</v>
      </c>
      <c r="S63" s="17" t="str">
        <f t="shared" si="0"/>
        <v/>
      </c>
      <c r="T63" s="17">
        <f t="shared" si="1"/>
        <v>558.11314193548401</v>
      </c>
      <c r="U63" s="17" t="str">
        <f t="shared" si="2"/>
        <v/>
      </c>
      <c r="V63" s="7" t="s">
        <v>247</v>
      </c>
      <c r="W63" s="7" t="s">
        <v>84</v>
      </c>
      <c r="X63" s="7" t="s">
        <v>250</v>
      </c>
      <c r="Y63" s="7"/>
      <c r="Z63" s="7"/>
      <c r="AA63" s="7">
        <f>IF(AND(Hypothèses!$B$12=1,Z63="Secondary_Source"),0,1)</f>
        <v>1</v>
      </c>
    </row>
    <row r="64" spans="1:27" x14ac:dyDescent="0.3">
      <c r="A64" s="7" t="s">
        <v>322</v>
      </c>
      <c r="B64" s="7" t="s">
        <v>78</v>
      </c>
      <c r="C64" s="7" t="s">
        <v>112</v>
      </c>
      <c r="D64" s="7" t="s">
        <v>244</v>
      </c>
      <c r="E64" s="7" t="s">
        <v>245</v>
      </c>
      <c r="F64" s="7" t="s">
        <v>258</v>
      </c>
      <c r="G64" s="17"/>
      <c r="H64" s="17">
        <v>538.03744516128995</v>
      </c>
      <c r="I64" s="17"/>
      <c r="J64" s="7" t="s">
        <v>247</v>
      </c>
      <c r="K64" s="7">
        <v>2039</v>
      </c>
      <c r="L64" s="7" t="str">
        <f>IF(Y64&lt;&gt;"",Y64,IF(AND(K64&gt;=Hypothèses!$B$9,K64&lt;=Hypothèses!$B$10),"actuel",IF(K64=2030,"2030",IF(K64=2050,"2050","autre"))))</f>
        <v>autre</v>
      </c>
      <c r="M64" s="7"/>
      <c r="N64" s="7" t="s">
        <v>248</v>
      </c>
      <c r="O64" s="7"/>
      <c r="P64" s="7" t="s">
        <v>303</v>
      </c>
      <c r="Q64" s="7" t="s">
        <v>49</v>
      </c>
      <c r="R64" s="14">
        <f>INDEX(Hypothèses!$B$14:$B$22,MATCH(Q64,Hypothèses!$A$14:$A$22,0))</f>
        <v>1</v>
      </c>
      <c r="S64" s="17" t="str">
        <f t="shared" si="0"/>
        <v/>
      </c>
      <c r="T64" s="17">
        <f t="shared" si="1"/>
        <v>538.03744516128995</v>
      </c>
      <c r="U64" s="17" t="str">
        <f t="shared" si="2"/>
        <v/>
      </c>
      <c r="V64" s="7" t="s">
        <v>247</v>
      </c>
      <c r="W64" s="7" t="s">
        <v>84</v>
      </c>
      <c r="X64" s="7" t="s">
        <v>250</v>
      </c>
      <c r="Y64" s="7"/>
      <c r="Z64" s="7"/>
      <c r="AA64" s="7">
        <f>IF(AND(Hypothèses!$B$12=1,Z64="Secondary_Source"),0,1)</f>
        <v>1</v>
      </c>
    </row>
    <row r="65" spans="1:27" x14ac:dyDescent="0.3">
      <c r="A65" s="7" t="s">
        <v>323</v>
      </c>
      <c r="B65" s="7" t="s">
        <v>78</v>
      </c>
      <c r="C65" s="7" t="s">
        <v>112</v>
      </c>
      <c r="D65" s="7" t="s">
        <v>244</v>
      </c>
      <c r="E65" s="7" t="s">
        <v>245</v>
      </c>
      <c r="F65" s="7" t="s">
        <v>258</v>
      </c>
      <c r="G65" s="17"/>
      <c r="H65" s="17">
        <v>509.93107096774202</v>
      </c>
      <c r="I65" s="17"/>
      <c r="J65" s="7" t="s">
        <v>247</v>
      </c>
      <c r="K65" s="7">
        <v>2040</v>
      </c>
      <c r="L65" s="7" t="str">
        <f>IF(Y65&lt;&gt;"",Y65,IF(AND(K65&gt;=Hypothèses!$B$9,K65&lt;=Hypothèses!$B$10),"actuel",IF(K65=2030,"2030",IF(K65=2050,"2050","autre"))))</f>
        <v>autre</v>
      </c>
      <c r="M65" s="7"/>
      <c r="N65" s="7" t="s">
        <v>248</v>
      </c>
      <c r="O65" s="7"/>
      <c r="P65" s="7" t="s">
        <v>303</v>
      </c>
      <c r="Q65" s="7" t="s">
        <v>49</v>
      </c>
      <c r="R65" s="14">
        <f>INDEX(Hypothèses!$B$14:$B$22,MATCH(Q65,Hypothèses!$A$14:$A$22,0))</f>
        <v>1</v>
      </c>
      <c r="S65" s="17" t="str">
        <f t="shared" si="0"/>
        <v/>
      </c>
      <c r="T65" s="17">
        <f t="shared" si="1"/>
        <v>509.93107096774202</v>
      </c>
      <c r="U65" s="17" t="str">
        <f t="shared" si="2"/>
        <v/>
      </c>
      <c r="V65" s="7" t="s">
        <v>247</v>
      </c>
      <c r="W65" s="7" t="s">
        <v>84</v>
      </c>
      <c r="X65" s="7" t="s">
        <v>250</v>
      </c>
      <c r="Y65" s="7"/>
      <c r="Z65" s="7"/>
      <c r="AA65" s="7">
        <f>IF(AND(Hypothèses!$B$12=1,Z65="Secondary_Source"),0,1)</f>
        <v>1</v>
      </c>
    </row>
    <row r="66" spans="1:27" x14ac:dyDescent="0.3">
      <c r="A66" s="7" t="s">
        <v>324</v>
      </c>
      <c r="B66" s="7" t="s">
        <v>78</v>
      </c>
      <c r="C66" s="7" t="s">
        <v>112</v>
      </c>
      <c r="D66" s="7" t="s">
        <v>244</v>
      </c>
      <c r="E66" s="7" t="s">
        <v>245</v>
      </c>
      <c r="F66" s="7" t="s">
        <v>258</v>
      </c>
      <c r="G66" s="17"/>
      <c r="H66" s="17">
        <v>481.82469677419402</v>
      </c>
      <c r="I66" s="17"/>
      <c r="J66" s="7" t="s">
        <v>247</v>
      </c>
      <c r="K66" s="7">
        <v>2041</v>
      </c>
      <c r="L66" s="7" t="str">
        <f>IF(Y66&lt;&gt;"",Y66,IF(AND(K66&gt;=Hypothèses!$B$9,K66&lt;=Hypothèses!$B$10),"actuel",IF(K66=2030,"2030",IF(K66=2050,"2050","autre"))))</f>
        <v>autre</v>
      </c>
      <c r="M66" s="7"/>
      <c r="N66" s="7" t="s">
        <v>248</v>
      </c>
      <c r="O66" s="7"/>
      <c r="P66" s="7" t="s">
        <v>303</v>
      </c>
      <c r="Q66" s="7" t="s">
        <v>49</v>
      </c>
      <c r="R66" s="14">
        <f>INDEX(Hypothèses!$B$14:$B$22,MATCH(Q66,Hypothèses!$A$14:$A$22,0))</f>
        <v>1</v>
      </c>
      <c r="S66" s="17" t="str">
        <f t="shared" ref="S66:S129" si="3">IF(G66="","",G66*R66)</f>
        <v/>
      </c>
      <c r="T66" s="17">
        <f t="shared" ref="T66:T129" si="4">IF(H66="","",H66*R66)</f>
        <v>481.82469677419402</v>
      </c>
      <c r="U66" s="17" t="str">
        <f t="shared" ref="U66:U129" si="5">IF(I66="","",I66*R66)</f>
        <v/>
      </c>
      <c r="V66" s="7" t="s">
        <v>247</v>
      </c>
      <c r="W66" s="7" t="s">
        <v>84</v>
      </c>
      <c r="X66" s="7" t="s">
        <v>250</v>
      </c>
      <c r="Y66" s="7"/>
      <c r="Z66" s="7"/>
      <c r="AA66" s="7">
        <f>IF(AND(Hypothèses!$B$12=1,Z66="Secondary_Source"),0,1)</f>
        <v>1</v>
      </c>
    </row>
    <row r="67" spans="1:27" x14ac:dyDescent="0.3">
      <c r="A67" s="7" t="s">
        <v>325</v>
      </c>
      <c r="B67" s="7" t="s">
        <v>78</v>
      </c>
      <c r="C67" s="7" t="s">
        <v>112</v>
      </c>
      <c r="D67" s="7" t="s">
        <v>244</v>
      </c>
      <c r="E67" s="7" t="s">
        <v>245</v>
      </c>
      <c r="F67" s="7" t="s">
        <v>258</v>
      </c>
      <c r="G67" s="17"/>
      <c r="H67" s="17">
        <v>461.74833548387102</v>
      </c>
      <c r="I67" s="17"/>
      <c r="J67" s="7" t="s">
        <v>247</v>
      </c>
      <c r="K67" s="7">
        <v>2042</v>
      </c>
      <c r="L67" s="7" t="str">
        <f>IF(Y67&lt;&gt;"",Y67,IF(AND(K67&gt;=Hypothèses!$B$9,K67&lt;=Hypothèses!$B$10),"actuel",IF(K67=2030,"2030",IF(K67=2050,"2050","autre"))))</f>
        <v>autre</v>
      </c>
      <c r="M67" s="7"/>
      <c r="N67" s="7" t="s">
        <v>248</v>
      </c>
      <c r="O67" s="7"/>
      <c r="P67" s="7" t="s">
        <v>303</v>
      </c>
      <c r="Q67" s="7" t="s">
        <v>49</v>
      </c>
      <c r="R67" s="14">
        <f>INDEX(Hypothèses!$B$14:$B$22,MATCH(Q67,Hypothèses!$A$14:$A$22,0))</f>
        <v>1</v>
      </c>
      <c r="S67" s="17" t="str">
        <f t="shared" si="3"/>
        <v/>
      </c>
      <c r="T67" s="17">
        <f t="shared" si="4"/>
        <v>461.74833548387102</v>
      </c>
      <c r="U67" s="17" t="str">
        <f t="shared" si="5"/>
        <v/>
      </c>
      <c r="V67" s="7" t="s">
        <v>247</v>
      </c>
      <c r="W67" s="7" t="s">
        <v>84</v>
      </c>
      <c r="X67" s="7" t="s">
        <v>250</v>
      </c>
      <c r="Y67" s="7"/>
      <c r="Z67" s="7"/>
      <c r="AA67" s="7">
        <f>IF(AND(Hypothèses!$B$12=1,Z67="Secondary_Source"),0,1)</f>
        <v>1</v>
      </c>
    </row>
    <row r="68" spans="1:27" x14ac:dyDescent="0.3">
      <c r="A68" s="7" t="s">
        <v>326</v>
      </c>
      <c r="B68" s="7" t="s">
        <v>78</v>
      </c>
      <c r="C68" s="7" t="s">
        <v>112</v>
      </c>
      <c r="D68" s="7" t="s">
        <v>244</v>
      </c>
      <c r="E68" s="7" t="s">
        <v>245</v>
      </c>
      <c r="F68" s="7" t="s">
        <v>258</v>
      </c>
      <c r="G68" s="17"/>
      <c r="H68" s="17">
        <v>449.70265161290303</v>
      </c>
      <c r="I68" s="17"/>
      <c r="J68" s="7" t="s">
        <v>247</v>
      </c>
      <c r="K68" s="7">
        <v>2043</v>
      </c>
      <c r="L68" s="7" t="str">
        <f>IF(Y68&lt;&gt;"",Y68,IF(AND(K68&gt;=Hypothèses!$B$9,K68&lt;=Hypothèses!$B$10),"actuel",IF(K68=2030,"2030",IF(K68=2050,"2050","autre"))))</f>
        <v>autre</v>
      </c>
      <c r="M68" s="7"/>
      <c r="N68" s="7" t="s">
        <v>248</v>
      </c>
      <c r="O68" s="7"/>
      <c r="P68" s="7" t="s">
        <v>303</v>
      </c>
      <c r="Q68" s="7" t="s">
        <v>49</v>
      </c>
      <c r="R68" s="14">
        <f>INDEX(Hypothèses!$B$14:$B$22,MATCH(Q68,Hypothèses!$A$14:$A$22,0))</f>
        <v>1</v>
      </c>
      <c r="S68" s="17" t="str">
        <f t="shared" si="3"/>
        <v/>
      </c>
      <c r="T68" s="17">
        <f t="shared" si="4"/>
        <v>449.70265161290303</v>
      </c>
      <c r="U68" s="17" t="str">
        <f t="shared" si="5"/>
        <v/>
      </c>
      <c r="V68" s="7" t="s">
        <v>247</v>
      </c>
      <c r="W68" s="7" t="s">
        <v>84</v>
      </c>
      <c r="X68" s="7" t="s">
        <v>250</v>
      </c>
      <c r="Y68" s="7"/>
      <c r="Z68" s="7"/>
      <c r="AA68" s="7">
        <f>IF(AND(Hypothèses!$B$12=1,Z68="Secondary_Source"),0,1)</f>
        <v>1</v>
      </c>
    </row>
    <row r="69" spans="1:27" x14ac:dyDescent="0.3">
      <c r="A69" s="7" t="s">
        <v>327</v>
      </c>
      <c r="B69" s="7" t="s">
        <v>78</v>
      </c>
      <c r="C69" s="7" t="s">
        <v>112</v>
      </c>
      <c r="D69" s="7" t="s">
        <v>244</v>
      </c>
      <c r="E69" s="7" t="s">
        <v>245</v>
      </c>
      <c r="F69" s="7" t="s">
        <v>258</v>
      </c>
      <c r="G69" s="17"/>
      <c r="H69" s="17">
        <v>433.64196129032302</v>
      </c>
      <c r="I69" s="17"/>
      <c r="J69" s="7" t="s">
        <v>247</v>
      </c>
      <c r="K69" s="7">
        <v>2044</v>
      </c>
      <c r="L69" s="7" t="str">
        <f>IF(Y69&lt;&gt;"",Y69,IF(AND(K69&gt;=Hypothèses!$B$9,K69&lt;=Hypothèses!$B$10),"actuel",IF(K69=2030,"2030",IF(K69=2050,"2050","autre"))))</f>
        <v>autre</v>
      </c>
      <c r="M69" s="7"/>
      <c r="N69" s="7" t="s">
        <v>248</v>
      </c>
      <c r="O69" s="7"/>
      <c r="P69" s="7" t="s">
        <v>303</v>
      </c>
      <c r="Q69" s="7" t="s">
        <v>49</v>
      </c>
      <c r="R69" s="14">
        <f>INDEX(Hypothèses!$B$14:$B$22,MATCH(Q69,Hypothèses!$A$14:$A$22,0))</f>
        <v>1</v>
      </c>
      <c r="S69" s="17" t="str">
        <f t="shared" si="3"/>
        <v/>
      </c>
      <c r="T69" s="17">
        <f t="shared" si="4"/>
        <v>433.64196129032302</v>
      </c>
      <c r="U69" s="17" t="str">
        <f t="shared" si="5"/>
        <v/>
      </c>
      <c r="V69" s="7" t="s">
        <v>247</v>
      </c>
      <c r="W69" s="7" t="s">
        <v>84</v>
      </c>
      <c r="X69" s="7" t="s">
        <v>250</v>
      </c>
      <c r="Y69" s="7"/>
      <c r="Z69" s="7"/>
      <c r="AA69" s="7">
        <f>IF(AND(Hypothèses!$B$12=1,Z69="Secondary_Source"),0,1)</f>
        <v>1</v>
      </c>
    </row>
    <row r="70" spans="1:27" x14ac:dyDescent="0.3">
      <c r="A70" s="7" t="s">
        <v>328</v>
      </c>
      <c r="B70" s="7" t="s">
        <v>78</v>
      </c>
      <c r="C70" s="7" t="s">
        <v>112</v>
      </c>
      <c r="D70" s="7" t="s">
        <v>244</v>
      </c>
      <c r="E70" s="7" t="s">
        <v>245</v>
      </c>
      <c r="F70" s="7" t="s">
        <v>258</v>
      </c>
      <c r="G70" s="17"/>
      <c r="H70" s="17">
        <v>417.581270967742</v>
      </c>
      <c r="I70" s="17"/>
      <c r="J70" s="7" t="s">
        <v>247</v>
      </c>
      <c r="K70" s="7">
        <v>2045</v>
      </c>
      <c r="L70" s="7" t="str">
        <f>IF(Y70&lt;&gt;"",Y70,IF(AND(K70&gt;=Hypothèses!$B$9,K70&lt;=Hypothèses!$B$10),"actuel",IF(K70=2030,"2030",IF(K70=2050,"2050","autre"))))</f>
        <v>autre</v>
      </c>
      <c r="M70" s="7"/>
      <c r="N70" s="7" t="s">
        <v>248</v>
      </c>
      <c r="O70" s="7"/>
      <c r="P70" s="7" t="s">
        <v>303</v>
      </c>
      <c r="Q70" s="7" t="s">
        <v>49</v>
      </c>
      <c r="R70" s="14">
        <f>INDEX(Hypothèses!$B$14:$B$22,MATCH(Q70,Hypothèses!$A$14:$A$22,0))</f>
        <v>1</v>
      </c>
      <c r="S70" s="17" t="str">
        <f t="shared" si="3"/>
        <v/>
      </c>
      <c r="T70" s="17">
        <f t="shared" si="4"/>
        <v>417.581270967742</v>
      </c>
      <c r="U70" s="17" t="str">
        <f t="shared" si="5"/>
        <v/>
      </c>
      <c r="V70" s="7" t="s">
        <v>247</v>
      </c>
      <c r="W70" s="7" t="s">
        <v>84</v>
      </c>
      <c r="X70" s="7" t="s">
        <v>250</v>
      </c>
      <c r="Y70" s="7"/>
      <c r="Z70" s="7"/>
      <c r="AA70" s="7">
        <f>IF(AND(Hypothèses!$B$12=1,Z70="Secondary_Source"),0,1)</f>
        <v>1</v>
      </c>
    </row>
    <row r="71" spans="1:27" x14ac:dyDescent="0.3">
      <c r="A71" s="7" t="s">
        <v>329</v>
      </c>
      <c r="B71" s="7" t="s">
        <v>78</v>
      </c>
      <c r="C71" s="7" t="s">
        <v>112</v>
      </c>
      <c r="D71" s="7" t="s">
        <v>244</v>
      </c>
      <c r="E71" s="7" t="s">
        <v>245</v>
      </c>
      <c r="F71" s="7" t="s">
        <v>258</v>
      </c>
      <c r="G71" s="17"/>
      <c r="H71" s="17">
        <v>405.53558709677401</v>
      </c>
      <c r="I71" s="17"/>
      <c r="J71" s="7" t="s">
        <v>247</v>
      </c>
      <c r="K71" s="7">
        <v>2046</v>
      </c>
      <c r="L71" s="7" t="str">
        <f>IF(Y71&lt;&gt;"",Y71,IF(AND(K71&gt;=Hypothèses!$B$9,K71&lt;=Hypothèses!$B$10),"actuel",IF(K71=2030,"2030",IF(K71=2050,"2050","autre"))))</f>
        <v>autre</v>
      </c>
      <c r="M71" s="7"/>
      <c r="N71" s="7" t="s">
        <v>248</v>
      </c>
      <c r="O71" s="7"/>
      <c r="P71" s="7" t="s">
        <v>303</v>
      </c>
      <c r="Q71" s="7" t="s">
        <v>49</v>
      </c>
      <c r="R71" s="14">
        <f>INDEX(Hypothèses!$B$14:$B$22,MATCH(Q71,Hypothèses!$A$14:$A$22,0))</f>
        <v>1</v>
      </c>
      <c r="S71" s="17" t="str">
        <f t="shared" si="3"/>
        <v/>
      </c>
      <c r="T71" s="17">
        <f t="shared" si="4"/>
        <v>405.53558709677401</v>
      </c>
      <c r="U71" s="17" t="str">
        <f t="shared" si="5"/>
        <v/>
      </c>
      <c r="V71" s="7" t="s">
        <v>247</v>
      </c>
      <c r="W71" s="7" t="s">
        <v>84</v>
      </c>
      <c r="X71" s="7" t="s">
        <v>250</v>
      </c>
      <c r="Y71" s="7"/>
      <c r="Z71" s="7"/>
      <c r="AA71" s="7">
        <f>IF(AND(Hypothèses!$B$12=1,Z71="Secondary_Source"),0,1)</f>
        <v>1</v>
      </c>
    </row>
    <row r="72" spans="1:27" x14ac:dyDescent="0.3">
      <c r="A72" s="7" t="s">
        <v>330</v>
      </c>
      <c r="B72" s="7" t="s">
        <v>78</v>
      </c>
      <c r="C72" s="7" t="s">
        <v>112</v>
      </c>
      <c r="D72" s="7" t="s">
        <v>244</v>
      </c>
      <c r="E72" s="7" t="s">
        <v>245</v>
      </c>
      <c r="F72" s="7" t="s">
        <v>258</v>
      </c>
      <c r="G72" s="17"/>
      <c r="H72" s="17">
        <v>393.48990322580602</v>
      </c>
      <c r="I72" s="17"/>
      <c r="J72" s="7" t="s">
        <v>247</v>
      </c>
      <c r="K72" s="7">
        <v>2047</v>
      </c>
      <c r="L72" s="7" t="str">
        <f>IF(Y72&lt;&gt;"",Y72,IF(AND(K72&gt;=Hypothèses!$B$9,K72&lt;=Hypothèses!$B$10),"actuel",IF(K72=2030,"2030",IF(K72=2050,"2050","autre"))))</f>
        <v>autre</v>
      </c>
      <c r="M72" s="7"/>
      <c r="N72" s="7" t="s">
        <v>248</v>
      </c>
      <c r="O72" s="7"/>
      <c r="P72" s="7" t="s">
        <v>303</v>
      </c>
      <c r="Q72" s="7" t="s">
        <v>49</v>
      </c>
      <c r="R72" s="14">
        <f>INDEX(Hypothèses!$B$14:$B$22,MATCH(Q72,Hypothèses!$A$14:$A$22,0))</f>
        <v>1</v>
      </c>
      <c r="S72" s="17" t="str">
        <f t="shared" si="3"/>
        <v/>
      </c>
      <c r="T72" s="17">
        <f t="shared" si="4"/>
        <v>393.48990322580602</v>
      </c>
      <c r="U72" s="17" t="str">
        <f t="shared" si="5"/>
        <v/>
      </c>
      <c r="V72" s="7" t="s">
        <v>247</v>
      </c>
      <c r="W72" s="7" t="s">
        <v>84</v>
      </c>
      <c r="X72" s="7" t="s">
        <v>250</v>
      </c>
      <c r="Y72" s="7"/>
      <c r="Z72" s="7"/>
      <c r="AA72" s="7">
        <f>IF(AND(Hypothèses!$B$12=1,Z72="Secondary_Source"),0,1)</f>
        <v>1</v>
      </c>
    </row>
    <row r="73" spans="1:27" x14ac:dyDescent="0.3">
      <c r="A73" s="7" t="s">
        <v>331</v>
      </c>
      <c r="B73" s="7" t="s">
        <v>78</v>
      </c>
      <c r="C73" s="7" t="s">
        <v>112</v>
      </c>
      <c r="D73" s="7" t="s">
        <v>244</v>
      </c>
      <c r="E73" s="7" t="s">
        <v>245</v>
      </c>
      <c r="F73" s="7" t="s">
        <v>258</v>
      </c>
      <c r="G73" s="17"/>
      <c r="H73" s="17">
        <v>385.45922580645203</v>
      </c>
      <c r="I73" s="17"/>
      <c r="J73" s="7" t="s">
        <v>247</v>
      </c>
      <c r="K73" s="7">
        <v>2048</v>
      </c>
      <c r="L73" s="7" t="str">
        <f>IF(Y73&lt;&gt;"",Y73,IF(AND(K73&gt;=Hypothèses!$B$9,K73&lt;=Hypothèses!$B$10),"actuel",IF(K73=2030,"2030",IF(K73=2050,"2050","autre"))))</f>
        <v>autre</v>
      </c>
      <c r="M73" s="7"/>
      <c r="N73" s="7" t="s">
        <v>248</v>
      </c>
      <c r="O73" s="7"/>
      <c r="P73" s="7" t="s">
        <v>303</v>
      </c>
      <c r="Q73" s="7" t="s">
        <v>49</v>
      </c>
      <c r="R73" s="14">
        <f>INDEX(Hypothèses!$B$14:$B$22,MATCH(Q73,Hypothèses!$A$14:$A$22,0))</f>
        <v>1</v>
      </c>
      <c r="S73" s="17" t="str">
        <f t="shared" si="3"/>
        <v/>
      </c>
      <c r="T73" s="17">
        <f t="shared" si="4"/>
        <v>385.45922580645203</v>
      </c>
      <c r="U73" s="17" t="str">
        <f t="shared" si="5"/>
        <v/>
      </c>
      <c r="V73" s="7" t="s">
        <v>247</v>
      </c>
      <c r="W73" s="7" t="s">
        <v>84</v>
      </c>
      <c r="X73" s="7" t="s">
        <v>250</v>
      </c>
      <c r="Y73" s="7"/>
      <c r="Z73" s="7"/>
      <c r="AA73" s="7">
        <f>IF(AND(Hypothèses!$B$12=1,Z73="Secondary_Source"),0,1)</f>
        <v>1</v>
      </c>
    </row>
    <row r="74" spans="1:27" x14ac:dyDescent="0.3">
      <c r="A74" s="7" t="s">
        <v>332</v>
      </c>
      <c r="B74" s="7" t="s">
        <v>78</v>
      </c>
      <c r="C74" s="7" t="s">
        <v>112</v>
      </c>
      <c r="D74" s="7" t="s">
        <v>244</v>
      </c>
      <c r="E74" s="7" t="s">
        <v>245</v>
      </c>
      <c r="F74" s="7" t="s">
        <v>258</v>
      </c>
      <c r="G74" s="17"/>
      <c r="H74" s="17">
        <v>381.44421935483899</v>
      </c>
      <c r="I74" s="17"/>
      <c r="J74" s="7" t="s">
        <v>247</v>
      </c>
      <c r="K74" s="7">
        <v>2049</v>
      </c>
      <c r="L74" s="7" t="str">
        <f>IF(Y74&lt;&gt;"",Y74,IF(AND(K74&gt;=Hypothèses!$B$9,K74&lt;=Hypothèses!$B$10),"actuel",IF(K74=2030,"2030",IF(K74=2050,"2050","autre"))))</f>
        <v>autre</v>
      </c>
      <c r="M74" s="7"/>
      <c r="N74" s="7" t="s">
        <v>248</v>
      </c>
      <c r="O74" s="7"/>
      <c r="P74" s="7" t="s">
        <v>303</v>
      </c>
      <c r="Q74" s="7" t="s">
        <v>49</v>
      </c>
      <c r="R74" s="14">
        <f>INDEX(Hypothèses!$B$14:$B$22,MATCH(Q74,Hypothèses!$A$14:$A$22,0))</f>
        <v>1</v>
      </c>
      <c r="S74" s="17" t="str">
        <f t="shared" si="3"/>
        <v/>
      </c>
      <c r="T74" s="17">
        <f t="shared" si="4"/>
        <v>381.44421935483899</v>
      </c>
      <c r="U74" s="17" t="str">
        <f t="shared" si="5"/>
        <v/>
      </c>
      <c r="V74" s="7" t="s">
        <v>247</v>
      </c>
      <c r="W74" s="7" t="s">
        <v>84</v>
      </c>
      <c r="X74" s="7" t="s">
        <v>250</v>
      </c>
      <c r="Y74" s="7"/>
      <c r="Z74" s="7"/>
      <c r="AA74" s="7">
        <f>IF(AND(Hypothèses!$B$12=1,Z74="Secondary_Source"),0,1)</f>
        <v>1</v>
      </c>
    </row>
    <row r="75" spans="1:27" x14ac:dyDescent="0.3">
      <c r="A75" s="7" t="s">
        <v>333</v>
      </c>
      <c r="B75" s="7" t="s">
        <v>78</v>
      </c>
      <c r="C75" s="7" t="s">
        <v>112</v>
      </c>
      <c r="D75" s="7" t="s">
        <v>244</v>
      </c>
      <c r="E75" s="7" t="s">
        <v>245</v>
      </c>
      <c r="F75" s="7" t="s">
        <v>258</v>
      </c>
      <c r="G75" s="17"/>
      <c r="H75" s="17">
        <v>369.398535483871</v>
      </c>
      <c r="I75" s="17"/>
      <c r="J75" s="7" t="s">
        <v>247</v>
      </c>
      <c r="K75" s="7">
        <v>2050</v>
      </c>
      <c r="L75" s="7" t="str">
        <f>IF(Y75&lt;&gt;"",Y75,IF(AND(K75&gt;=Hypothèses!$B$9,K75&lt;=Hypothèses!$B$10),"actuel",IF(K75=2030,"2030",IF(K75=2050,"2050","autre"))))</f>
        <v>2050</v>
      </c>
      <c r="M75" s="7"/>
      <c r="N75" s="7" t="s">
        <v>248</v>
      </c>
      <c r="O75" s="7"/>
      <c r="P75" s="7" t="s">
        <v>303</v>
      </c>
      <c r="Q75" s="7" t="s">
        <v>49</v>
      </c>
      <c r="R75" s="14">
        <f>INDEX(Hypothèses!$B$14:$B$22,MATCH(Q75,Hypothèses!$A$14:$A$22,0))</f>
        <v>1</v>
      </c>
      <c r="S75" s="17" t="str">
        <f t="shared" si="3"/>
        <v/>
      </c>
      <c r="T75" s="17">
        <f t="shared" si="4"/>
        <v>369.398535483871</v>
      </c>
      <c r="U75" s="17" t="str">
        <f t="shared" si="5"/>
        <v/>
      </c>
      <c r="V75" s="7" t="s">
        <v>247</v>
      </c>
      <c r="W75" s="7" t="s">
        <v>84</v>
      </c>
      <c r="X75" s="7" t="s">
        <v>250</v>
      </c>
      <c r="Y75" s="7"/>
      <c r="Z75" s="7"/>
      <c r="AA75" s="7">
        <f>IF(AND(Hypothèses!$B$12=1,Z75="Secondary_Source"),0,1)</f>
        <v>1</v>
      </c>
    </row>
    <row r="76" spans="1:27" x14ac:dyDescent="0.3">
      <c r="A76" s="7" t="s">
        <v>334</v>
      </c>
      <c r="B76" s="7" t="s">
        <v>78</v>
      </c>
      <c r="C76" s="7" t="s">
        <v>114</v>
      </c>
      <c r="D76" s="7" t="s">
        <v>244</v>
      </c>
      <c r="E76" s="7" t="s">
        <v>245</v>
      </c>
      <c r="F76" s="7" t="s">
        <v>258</v>
      </c>
      <c r="G76" s="17"/>
      <c r="H76" s="17">
        <v>837.47239999999999</v>
      </c>
      <c r="I76" s="17"/>
      <c r="J76" s="7" t="s">
        <v>247</v>
      </c>
      <c r="K76" s="7">
        <v>2020</v>
      </c>
      <c r="L76" s="7" t="str">
        <f>IF(Y76&lt;&gt;"",Y76,IF(AND(K76&gt;=Hypothèses!$B$9,K76&lt;=Hypothèses!$B$10),"actuel",IF(K76=2030,"2030",IF(K76=2050,"2050","autre"))))</f>
        <v>actuel</v>
      </c>
      <c r="M76" s="7"/>
      <c r="N76" s="7" t="s">
        <v>248</v>
      </c>
      <c r="O76" s="7"/>
      <c r="P76" s="7" t="s">
        <v>335</v>
      </c>
      <c r="Q76" s="7" t="s">
        <v>49</v>
      </c>
      <c r="R76" s="14">
        <f>INDEX(Hypothèses!$B$14:$B$22,MATCH(Q76,Hypothèses!$A$14:$A$22,0))</f>
        <v>1</v>
      </c>
      <c r="S76" s="17" t="str">
        <f t="shared" si="3"/>
        <v/>
      </c>
      <c r="T76" s="17">
        <f t="shared" si="4"/>
        <v>837.47239999999999</v>
      </c>
      <c r="U76" s="17" t="str">
        <f t="shared" si="5"/>
        <v/>
      </c>
      <c r="V76" s="7" t="s">
        <v>247</v>
      </c>
      <c r="W76" s="7" t="s">
        <v>84</v>
      </c>
      <c r="X76" s="7" t="s">
        <v>250</v>
      </c>
      <c r="Y76" s="7"/>
      <c r="Z76" s="7"/>
      <c r="AA76" s="7">
        <f>IF(AND(Hypothèses!$B$12=1,Z76="Secondary_Source"),0,1)</f>
        <v>1</v>
      </c>
    </row>
    <row r="77" spans="1:27" x14ac:dyDescent="0.3">
      <c r="A77" s="7" t="s">
        <v>336</v>
      </c>
      <c r="B77" s="7" t="s">
        <v>78</v>
      </c>
      <c r="C77" s="7" t="s">
        <v>114</v>
      </c>
      <c r="D77" s="7" t="s">
        <v>244</v>
      </c>
      <c r="E77" s="7" t="s">
        <v>245</v>
      </c>
      <c r="F77" s="7" t="s">
        <v>258</v>
      </c>
      <c r="G77" s="17"/>
      <c r="H77" s="17">
        <v>372.21109999999999</v>
      </c>
      <c r="I77" s="17"/>
      <c r="J77" s="7" t="s">
        <v>247</v>
      </c>
      <c r="K77" s="7">
        <v>2030</v>
      </c>
      <c r="L77" s="7" t="str">
        <f>IF(Y77&lt;&gt;"",Y77,IF(AND(K77&gt;=Hypothèses!$B$9,K77&lt;=Hypothèses!$B$10),"actuel",IF(K77=2030,"2030",IF(K77=2050,"2050","autre"))))</f>
        <v>2030</v>
      </c>
      <c r="M77" s="7"/>
      <c r="N77" s="7" t="s">
        <v>248</v>
      </c>
      <c r="O77" s="7"/>
      <c r="P77" s="7" t="s">
        <v>335</v>
      </c>
      <c r="Q77" s="7" t="s">
        <v>49</v>
      </c>
      <c r="R77" s="14">
        <f>INDEX(Hypothèses!$B$14:$B$22,MATCH(Q77,Hypothèses!$A$14:$A$22,0))</f>
        <v>1</v>
      </c>
      <c r="S77" s="17" t="str">
        <f t="shared" si="3"/>
        <v/>
      </c>
      <c r="T77" s="17">
        <f t="shared" si="4"/>
        <v>372.21109999999999</v>
      </c>
      <c r="U77" s="17" t="str">
        <f t="shared" si="5"/>
        <v/>
      </c>
      <c r="V77" s="7" t="s">
        <v>247</v>
      </c>
      <c r="W77" s="7" t="s">
        <v>84</v>
      </c>
      <c r="X77" s="7" t="s">
        <v>250</v>
      </c>
      <c r="Y77" s="7"/>
      <c r="Z77" s="7"/>
      <c r="AA77" s="7">
        <f>IF(AND(Hypothèses!$B$12=1,Z77="Secondary_Source"),0,1)</f>
        <v>1</v>
      </c>
    </row>
    <row r="78" spans="1:27" x14ac:dyDescent="0.3">
      <c r="A78" s="7" t="s">
        <v>337</v>
      </c>
      <c r="B78" s="7" t="s">
        <v>78</v>
      </c>
      <c r="C78" s="7" t="s">
        <v>114</v>
      </c>
      <c r="D78" s="7" t="s">
        <v>244</v>
      </c>
      <c r="E78" s="7" t="s">
        <v>245</v>
      </c>
      <c r="F78" s="7" t="s">
        <v>258</v>
      </c>
      <c r="G78" s="17"/>
      <c r="H78" s="17">
        <v>186.10040000000001</v>
      </c>
      <c r="I78" s="17"/>
      <c r="J78" s="7" t="s">
        <v>247</v>
      </c>
      <c r="K78" s="7">
        <v>2050</v>
      </c>
      <c r="L78" s="7" t="str">
        <f>IF(Y78&lt;&gt;"",Y78,IF(AND(K78&gt;=Hypothèses!$B$9,K78&lt;=Hypothèses!$B$10),"actuel",IF(K78=2030,"2030",IF(K78=2050,"2050","autre"))))</f>
        <v>2050</v>
      </c>
      <c r="M78" s="7"/>
      <c r="N78" s="7" t="s">
        <v>248</v>
      </c>
      <c r="O78" s="7"/>
      <c r="P78" s="7" t="s">
        <v>335</v>
      </c>
      <c r="Q78" s="7" t="s">
        <v>49</v>
      </c>
      <c r="R78" s="14">
        <f>INDEX(Hypothèses!$B$14:$B$22,MATCH(Q78,Hypothèses!$A$14:$A$22,0))</f>
        <v>1</v>
      </c>
      <c r="S78" s="17" t="str">
        <f t="shared" si="3"/>
        <v/>
      </c>
      <c r="T78" s="17">
        <f t="shared" si="4"/>
        <v>186.10040000000001</v>
      </c>
      <c r="U78" s="17" t="str">
        <f t="shared" si="5"/>
        <v/>
      </c>
      <c r="V78" s="7" t="s">
        <v>247</v>
      </c>
      <c r="W78" s="7" t="s">
        <v>84</v>
      </c>
      <c r="X78" s="7" t="s">
        <v>250</v>
      </c>
      <c r="Y78" s="7"/>
      <c r="Z78" s="7"/>
      <c r="AA78" s="7">
        <f>IF(AND(Hypothèses!$B$12=1,Z78="Secondary_Source"),0,1)</f>
        <v>1</v>
      </c>
    </row>
    <row r="79" spans="1:27" x14ac:dyDescent="0.3">
      <c r="A79" s="7" t="s">
        <v>338</v>
      </c>
      <c r="B79" s="7" t="s">
        <v>78</v>
      </c>
      <c r="C79" s="7" t="s">
        <v>118</v>
      </c>
      <c r="D79" s="7" t="s">
        <v>244</v>
      </c>
      <c r="E79" s="7" t="s">
        <v>245</v>
      </c>
      <c r="F79" s="7" t="s">
        <v>258</v>
      </c>
      <c r="G79" s="17">
        <v>1103.1300000000001</v>
      </c>
      <c r="H79" s="17"/>
      <c r="I79" s="17"/>
      <c r="J79" s="7" t="s">
        <v>247</v>
      </c>
      <c r="K79" s="7">
        <v>2020</v>
      </c>
      <c r="L79" s="7" t="str">
        <f>IF(Y79&lt;&gt;"",Y79,IF(AND(K79&gt;=Hypothèses!$B$9,K79&lt;=Hypothèses!$B$10),"actuel",IF(K79=2030,"2030",IF(K79=2050,"2050","autre"))))</f>
        <v>actuel</v>
      </c>
      <c r="M79" s="7"/>
      <c r="N79" s="7" t="s">
        <v>248</v>
      </c>
      <c r="O79" s="7"/>
      <c r="P79" s="7" t="s">
        <v>339</v>
      </c>
      <c r="Q79" s="7" t="s">
        <v>49</v>
      </c>
      <c r="R79" s="14">
        <f>INDEX(Hypothèses!$B$14:$B$22,MATCH(Q79,Hypothèses!$A$14:$A$22,0))</f>
        <v>1</v>
      </c>
      <c r="S79" s="17">
        <f t="shared" si="3"/>
        <v>1103.1300000000001</v>
      </c>
      <c r="T79" s="17" t="str">
        <f t="shared" si="4"/>
        <v/>
      </c>
      <c r="U79" s="17" t="str">
        <f t="shared" si="5"/>
        <v/>
      </c>
      <c r="V79" s="7" t="s">
        <v>247</v>
      </c>
      <c r="W79" s="7" t="s">
        <v>84</v>
      </c>
      <c r="X79" s="7" t="s">
        <v>250</v>
      </c>
      <c r="Y79" s="7"/>
      <c r="Z79" s="7"/>
      <c r="AA79" s="7">
        <f>IF(AND(Hypothèses!$B$12=1,Z79="Secondary_Source"),0,1)</f>
        <v>1</v>
      </c>
    </row>
    <row r="80" spans="1:27" x14ac:dyDescent="0.3">
      <c r="A80" s="7" t="s">
        <v>340</v>
      </c>
      <c r="B80" s="7" t="s">
        <v>78</v>
      </c>
      <c r="C80" s="7" t="s">
        <v>118</v>
      </c>
      <c r="D80" s="7" t="s">
        <v>244</v>
      </c>
      <c r="E80" s="7" t="s">
        <v>245</v>
      </c>
      <c r="F80" s="7" t="s">
        <v>258</v>
      </c>
      <c r="G80" s="17">
        <v>306.94</v>
      </c>
      <c r="H80" s="17"/>
      <c r="I80" s="17"/>
      <c r="J80" s="7" t="s">
        <v>247</v>
      </c>
      <c r="K80" s="7">
        <v>2030</v>
      </c>
      <c r="L80" s="7" t="str">
        <f>IF(Y80&lt;&gt;"",Y80,IF(AND(K80&gt;=Hypothèses!$B$9,K80&lt;=Hypothèses!$B$10),"actuel",IF(K80=2030,"2030",IF(K80=2050,"2050","autre"))))</f>
        <v>2030</v>
      </c>
      <c r="M80" s="7"/>
      <c r="N80" s="7" t="s">
        <v>248</v>
      </c>
      <c r="O80" s="7"/>
      <c r="P80" s="7" t="s">
        <v>339</v>
      </c>
      <c r="Q80" s="7" t="s">
        <v>49</v>
      </c>
      <c r="R80" s="14">
        <f>INDEX(Hypothèses!$B$14:$B$22,MATCH(Q80,Hypothèses!$A$14:$A$22,0))</f>
        <v>1</v>
      </c>
      <c r="S80" s="17">
        <f t="shared" si="3"/>
        <v>306.94</v>
      </c>
      <c r="T80" s="17" t="str">
        <f t="shared" si="4"/>
        <v/>
      </c>
      <c r="U80" s="17" t="str">
        <f t="shared" si="5"/>
        <v/>
      </c>
      <c r="V80" s="7" t="s">
        <v>247</v>
      </c>
      <c r="W80" s="7" t="s">
        <v>84</v>
      </c>
      <c r="X80" s="7" t="s">
        <v>250</v>
      </c>
      <c r="Y80" s="7"/>
      <c r="Z80" s="7"/>
      <c r="AA80" s="7">
        <f>IF(AND(Hypothèses!$B$12=1,Z80="Secondary_Source"),0,1)</f>
        <v>1</v>
      </c>
    </row>
    <row r="81" spans="1:27" x14ac:dyDescent="0.3">
      <c r="A81" s="7" t="s">
        <v>341</v>
      </c>
      <c r="B81" s="7" t="s">
        <v>78</v>
      </c>
      <c r="C81" s="7" t="s">
        <v>118</v>
      </c>
      <c r="D81" s="7" t="s">
        <v>244</v>
      </c>
      <c r="E81" s="7" t="s">
        <v>245</v>
      </c>
      <c r="F81" s="7" t="s">
        <v>258</v>
      </c>
      <c r="G81" s="17">
        <v>238.96</v>
      </c>
      <c r="H81" s="17"/>
      <c r="I81" s="17"/>
      <c r="J81" s="7" t="s">
        <v>247</v>
      </c>
      <c r="K81" s="7">
        <v>2050</v>
      </c>
      <c r="L81" s="7" t="str">
        <f>IF(Y81&lt;&gt;"",Y81,IF(AND(K81&gt;=Hypothèses!$B$9,K81&lt;=Hypothèses!$B$10),"actuel",IF(K81=2030,"2030",IF(K81=2050,"2050","autre"))))</f>
        <v>2050</v>
      </c>
      <c r="M81" s="7"/>
      <c r="N81" s="7" t="s">
        <v>248</v>
      </c>
      <c r="O81" s="7"/>
      <c r="P81" s="7" t="s">
        <v>339</v>
      </c>
      <c r="Q81" s="7" t="s">
        <v>49</v>
      </c>
      <c r="R81" s="14">
        <f>INDEX(Hypothèses!$B$14:$B$22,MATCH(Q81,Hypothèses!$A$14:$A$22,0))</f>
        <v>1</v>
      </c>
      <c r="S81" s="17">
        <f t="shared" si="3"/>
        <v>238.96</v>
      </c>
      <c r="T81" s="17" t="str">
        <f t="shared" si="4"/>
        <v/>
      </c>
      <c r="U81" s="17" t="str">
        <f t="shared" si="5"/>
        <v/>
      </c>
      <c r="V81" s="7" t="s">
        <v>247</v>
      </c>
      <c r="W81" s="7" t="s">
        <v>84</v>
      </c>
      <c r="X81" s="7" t="s">
        <v>250</v>
      </c>
      <c r="Y81" s="7"/>
      <c r="Z81" s="7"/>
      <c r="AA81" s="7">
        <f>IF(AND(Hypothèses!$B$12=1,Z81="Secondary_Source"),0,1)</f>
        <v>1</v>
      </c>
    </row>
    <row r="82" spans="1:27" x14ac:dyDescent="0.3">
      <c r="A82" s="7" t="s">
        <v>342</v>
      </c>
      <c r="B82" s="7" t="s">
        <v>78</v>
      </c>
      <c r="C82" s="7" t="s">
        <v>122</v>
      </c>
      <c r="D82" s="7" t="s">
        <v>244</v>
      </c>
      <c r="E82" s="7" t="s">
        <v>245</v>
      </c>
      <c r="F82" s="7" t="s">
        <v>258</v>
      </c>
      <c r="G82" s="17"/>
      <c r="H82" s="17">
        <v>793.1</v>
      </c>
      <c r="I82" s="17"/>
      <c r="J82" s="7" t="s">
        <v>247</v>
      </c>
      <c r="K82" s="7">
        <v>2020</v>
      </c>
      <c r="L82" s="7" t="str">
        <f>IF(Y82&lt;&gt;"",Y82,IF(AND(K82&gt;=Hypothèses!$B$9,K82&lt;=Hypothèses!$B$10),"actuel",IF(K82=2030,"2030",IF(K82=2050,"2050","autre"))))</f>
        <v>actuel</v>
      </c>
      <c r="M82" s="7"/>
      <c r="N82" s="7" t="s">
        <v>248</v>
      </c>
      <c r="O82" s="7"/>
      <c r="P82" s="7" t="s">
        <v>282</v>
      </c>
      <c r="Q82" s="7" t="s">
        <v>49</v>
      </c>
      <c r="R82" s="14">
        <f>INDEX(Hypothèses!$B$14:$B$22,MATCH(Q82,Hypothèses!$A$14:$A$22,0))</f>
        <v>1</v>
      </c>
      <c r="S82" s="17" t="str">
        <f t="shared" si="3"/>
        <v/>
      </c>
      <c r="T82" s="17">
        <f t="shared" si="4"/>
        <v>793.1</v>
      </c>
      <c r="U82" s="17" t="str">
        <f t="shared" si="5"/>
        <v/>
      </c>
      <c r="V82" s="7" t="s">
        <v>247</v>
      </c>
      <c r="W82" s="7" t="s">
        <v>84</v>
      </c>
      <c r="X82" s="7" t="s">
        <v>250</v>
      </c>
      <c r="Y82" s="7"/>
      <c r="Z82" s="7"/>
      <c r="AA82" s="7">
        <f>IF(AND(Hypothèses!$B$12=1,Z82="Secondary_Source"),0,1)</f>
        <v>1</v>
      </c>
    </row>
    <row r="83" spans="1:27" x14ac:dyDescent="0.3">
      <c r="A83" s="7" t="s">
        <v>343</v>
      </c>
      <c r="B83" s="7" t="s">
        <v>78</v>
      </c>
      <c r="C83" s="7" t="s">
        <v>122</v>
      </c>
      <c r="D83" s="7" t="s">
        <v>244</v>
      </c>
      <c r="E83" s="7" t="s">
        <v>245</v>
      </c>
      <c r="F83" s="7" t="s">
        <v>258</v>
      </c>
      <c r="G83" s="17"/>
      <c r="H83" s="17">
        <v>556.20000000000005</v>
      </c>
      <c r="I83" s="17"/>
      <c r="J83" s="7" t="s">
        <v>247</v>
      </c>
      <c r="K83" s="7">
        <v>2030</v>
      </c>
      <c r="L83" s="7" t="str">
        <f>IF(Y83&lt;&gt;"",Y83,IF(AND(K83&gt;=Hypothèses!$B$9,K83&lt;=Hypothèses!$B$10),"actuel",IF(K83=2030,"2030",IF(K83=2050,"2050","autre"))))</f>
        <v>2030</v>
      </c>
      <c r="M83" s="7"/>
      <c r="N83" s="7" t="s">
        <v>248</v>
      </c>
      <c r="O83" s="7"/>
      <c r="P83" s="7" t="s">
        <v>282</v>
      </c>
      <c r="Q83" s="7" t="s">
        <v>49</v>
      </c>
      <c r="R83" s="14">
        <f>INDEX(Hypothèses!$B$14:$B$22,MATCH(Q83,Hypothèses!$A$14:$A$22,0))</f>
        <v>1</v>
      </c>
      <c r="S83" s="17" t="str">
        <f t="shared" si="3"/>
        <v/>
      </c>
      <c r="T83" s="17">
        <f t="shared" si="4"/>
        <v>556.20000000000005</v>
      </c>
      <c r="U83" s="17" t="str">
        <f t="shared" si="5"/>
        <v/>
      </c>
      <c r="V83" s="7" t="s">
        <v>247</v>
      </c>
      <c r="W83" s="7" t="s">
        <v>84</v>
      </c>
      <c r="X83" s="7" t="s">
        <v>250</v>
      </c>
      <c r="Y83" s="7"/>
      <c r="Z83" s="7"/>
      <c r="AA83" s="7">
        <f>IF(AND(Hypothèses!$B$12=1,Z83="Secondary_Source"),0,1)</f>
        <v>1</v>
      </c>
    </row>
    <row r="84" spans="1:27" x14ac:dyDescent="0.3">
      <c r="A84" s="7" t="s">
        <v>344</v>
      </c>
      <c r="B84" s="7" t="s">
        <v>78</v>
      </c>
      <c r="C84" s="7" t="s">
        <v>122</v>
      </c>
      <c r="D84" s="7" t="s">
        <v>244</v>
      </c>
      <c r="E84" s="7" t="s">
        <v>245</v>
      </c>
      <c r="F84" s="7" t="s">
        <v>258</v>
      </c>
      <c r="G84" s="17"/>
      <c r="H84" s="17">
        <v>448.05</v>
      </c>
      <c r="I84" s="17"/>
      <c r="J84" s="7" t="s">
        <v>247</v>
      </c>
      <c r="K84" s="7">
        <v>2040</v>
      </c>
      <c r="L84" s="7" t="str">
        <f>IF(Y84&lt;&gt;"",Y84,IF(AND(K84&gt;=Hypothèses!$B$9,K84&lt;=Hypothèses!$B$10),"actuel",IF(K84=2030,"2030",IF(K84=2050,"2050","autre"))))</f>
        <v>autre</v>
      </c>
      <c r="M84" s="7"/>
      <c r="N84" s="7" t="s">
        <v>248</v>
      </c>
      <c r="O84" s="7"/>
      <c r="P84" s="7" t="s">
        <v>282</v>
      </c>
      <c r="Q84" s="7" t="s">
        <v>49</v>
      </c>
      <c r="R84" s="14">
        <f>INDEX(Hypothèses!$B$14:$B$22,MATCH(Q84,Hypothèses!$A$14:$A$22,0))</f>
        <v>1</v>
      </c>
      <c r="S84" s="17" t="str">
        <f t="shared" si="3"/>
        <v/>
      </c>
      <c r="T84" s="17">
        <f t="shared" si="4"/>
        <v>448.05</v>
      </c>
      <c r="U84" s="17" t="str">
        <f t="shared" si="5"/>
        <v/>
      </c>
      <c r="V84" s="7" t="s">
        <v>247</v>
      </c>
      <c r="W84" s="7" t="s">
        <v>84</v>
      </c>
      <c r="X84" s="7" t="s">
        <v>250</v>
      </c>
      <c r="Y84" s="7"/>
      <c r="Z84" s="7"/>
      <c r="AA84" s="7">
        <f>IF(AND(Hypothèses!$B$12=1,Z84="Secondary_Source"),0,1)</f>
        <v>1</v>
      </c>
    </row>
    <row r="85" spans="1:27" x14ac:dyDescent="0.3">
      <c r="A85" s="7" t="s">
        <v>345</v>
      </c>
      <c r="B85" s="7" t="s">
        <v>78</v>
      </c>
      <c r="C85" s="7" t="s">
        <v>122</v>
      </c>
      <c r="D85" s="7" t="s">
        <v>244</v>
      </c>
      <c r="E85" s="7" t="s">
        <v>245</v>
      </c>
      <c r="F85" s="7" t="s">
        <v>258</v>
      </c>
      <c r="G85" s="17"/>
      <c r="H85" s="17">
        <v>381.1</v>
      </c>
      <c r="I85" s="17"/>
      <c r="J85" s="7" t="s">
        <v>247</v>
      </c>
      <c r="K85" s="7">
        <v>2050</v>
      </c>
      <c r="L85" s="7" t="str">
        <f>IF(Y85&lt;&gt;"",Y85,IF(AND(K85&gt;=Hypothèses!$B$9,K85&lt;=Hypothèses!$B$10),"actuel",IF(K85=2030,"2030",IF(K85=2050,"2050","autre"))))</f>
        <v>2050</v>
      </c>
      <c r="M85" s="7"/>
      <c r="N85" s="7" t="s">
        <v>248</v>
      </c>
      <c r="O85" s="7"/>
      <c r="P85" s="7" t="s">
        <v>282</v>
      </c>
      <c r="Q85" s="7" t="s">
        <v>49</v>
      </c>
      <c r="R85" s="14">
        <f>INDEX(Hypothèses!$B$14:$B$22,MATCH(Q85,Hypothèses!$A$14:$A$22,0))</f>
        <v>1</v>
      </c>
      <c r="S85" s="17" t="str">
        <f t="shared" si="3"/>
        <v/>
      </c>
      <c r="T85" s="17">
        <f t="shared" si="4"/>
        <v>381.1</v>
      </c>
      <c r="U85" s="17" t="str">
        <f t="shared" si="5"/>
        <v/>
      </c>
      <c r="V85" s="7" t="s">
        <v>247</v>
      </c>
      <c r="W85" s="7" t="s">
        <v>84</v>
      </c>
      <c r="X85" s="7" t="s">
        <v>250</v>
      </c>
      <c r="Y85" s="7"/>
      <c r="Z85" s="7"/>
      <c r="AA85" s="7">
        <f>IF(AND(Hypothèses!$B$12=1,Z85="Secondary_Source"),0,1)</f>
        <v>1</v>
      </c>
    </row>
    <row r="86" spans="1:27" x14ac:dyDescent="0.3">
      <c r="A86" s="7" t="s">
        <v>346</v>
      </c>
      <c r="B86" s="7" t="s">
        <v>78</v>
      </c>
      <c r="C86" s="7" t="s">
        <v>126</v>
      </c>
      <c r="D86" s="7" t="s">
        <v>244</v>
      </c>
      <c r="E86" s="7" t="s">
        <v>245</v>
      </c>
      <c r="F86" s="7" t="s">
        <v>258</v>
      </c>
      <c r="G86" s="17"/>
      <c r="H86" s="17">
        <v>693.26923076923094</v>
      </c>
      <c r="I86" s="17"/>
      <c r="J86" s="7" t="s">
        <v>247</v>
      </c>
      <c r="K86" s="7">
        <v>2020</v>
      </c>
      <c r="L86" s="7" t="str">
        <f>IF(Y86&lt;&gt;"",Y86,IF(AND(K86&gt;=Hypothèses!$B$9,K86&lt;=Hypothèses!$B$10),"actuel",IF(K86=2030,"2030",IF(K86=2050,"2050","autre"))))</f>
        <v>actuel</v>
      </c>
      <c r="M86" s="7"/>
      <c r="N86" s="7" t="s">
        <v>248</v>
      </c>
      <c r="O86" s="7"/>
      <c r="P86" s="7" t="s">
        <v>347</v>
      </c>
      <c r="Q86" s="7" t="s">
        <v>49</v>
      </c>
      <c r="R86" s="14">
        <f>INDEX(Hypothèses!$B$14:$B$22,MATCH(Q86,Hypothèses!$A$14:$A$22,0))</f>
        <v>1</v>
      </c>
      <c r="S86" s="17" t="str">
        <f t="shared" si="3"/>
        <v/>
      </c>
      <c r="T86" s="17">
        <f t="shared" si="4"/>
        <v>693.26923076923094</v>
      </c>
      <c r="U86" s="17" t="str">
        <f t="shared" si="5"/>
        <v/>
      </c>
      <c r="V86" s="7" t="s">
        <v>247</v>
      </c>
      <c r="W86" s="7" t="s">
        <v>84</v>
      </c>
      <c r="X86" s="7" t="s">
        <v>250</v>
      </c>
      <c r="Y86" s="7"/>
      <c r="Z86" s="7"/>
      <c r="AA86" s="7">
        <f>IF(AND(Hypothèses!$B$12=1,Z86="Secondary_Source"),0,1)</f>
        <v>1</v>
      </c>
    </row>
    <row r="87" spans="1:27" x14ac:dyDescent="0.3">
      <c r="A87" s="7" t="s">
        <v>348</v>
      </c>
      <c r="B87" s="7" t="s">
        <v>78</v>
      </c>
      <c r="C87" s="7" t="s">
        <v>126</v>
      </c>
      <c r="D87" s="7" t="s">
        <v>244</v>
      </c>
      <c r="E87" s="7" t="s">
        <v>245</v>
      </c>
      <c r="F87" s="7" t="s">
        <v>258</v>
      </c>
      <c r="G87" s="17"/>
      <c r="H87" s="17">
        <v>594.23076923076906</v>
      </c>
      <c r="I87" s="17"/>
      <c r="J87" s="7" t="s">
        <v>247</v>
      </c>
      <c r="K87" s="7">
        <v>2030</v>
      </c>
      <c r="L87" s="7" t="str">
        <f>IF(Y87&lt;&gt;"",Y87,IF(AND(K87&gt;=Hypothèses!$B$9,K87&lt;=Hypothèses!$B$10),"actuel",IF(K87=2030,"2030",IF(K87=2050,"2050","autre"))))</f>
        <v>2030</v>
      </c>
      <c r="M87" s="7"/>
      <c r="N87" s="7" t="s">
        <v>248</v>
      </c>
      <c r="O87" s="7"/>
      <c r="P87" s="7" t="s">
        <v>347</v>
      </c>
      <c r="Q87" s="7" t="s">
        <v>49</v>
      </c>
      <c r="R87" s="14">
        <f>INDEX(Hypothèses!$B$14:$B$22,MATCH(Q87,Hypothèses!$A$14:$A$22,0))</f>
        <v>1</v>
      </c>
      <c r="S87" s="17" t="str">
        <f t="shared" si="3"/>
        <v/>
      </c>
      <c r="T87" s="17">
        <f t="shared" si="4"/>
        <v>594.23076923076906</v>
      </c>
      <c r="U87" s="17" t="str">
        <f t="shared" si="5"/>
        <v/>
      </c>
      <c r="V87" s="7" t="s">
        <v>247</v>
      </c>
      <c r="W87" s="7" t="s">
        <v>84</v>
      </c>
      <c r="X87" s="7" t="s">
        <v>250</v>
      </c>
      <c r="Y87" s="7"/>
      <c r="Z87" s="7"/>
      <c r="AA87" s="7">
        <f>IF(AND(Hypothèses!$B$12=1,Z87="Secondary_Source"),0,1)</f>
        <v>1</v>
      </c>
    </row>
    <row r="88" spans="1:27" x14ac:dyDescent="0.3">
      <c r="A88" s="7" t="s">
        <v>349</v>
      </c>
      <c r="B88" s="7" t="s">
        <v>78</v>
      </c>
      <c r="C88" s="7" t="s">
        <v>126</v>
      </c>
      <c r="D88" s="7" t="s">
        <v>244</v>
      </c>
      <c r="E88" s="7" t="s">
        <v>245</v>
      </c>
      <c r="F88" s="7" t="s">
        <v>258</v>
      </c>
      <c r="G88" s="17"/>
      <c r="H88" s="17">
        <v>515</v>
      </c>
      <c r="I88" s="17"/>
      <c r="J88" s="7" t="s">
        <v>247</v>
      </c>
      <c r="K88" s="7">
        <v>2040</v>
      </c>
      <c r="L88" s="7" t="str">
        <f>IF(Y88&lt;&gt;"",Y88,IF(AND(K88&gt;=Hypothèses!$B$9,K88&lt;=Hypothèses!$B$10),"actuel",IF(K88=2030,"2030",IF(K88=2050,"2050","autre"))))</f>
        <v>autre</v>
      </c>
      <c r="M88" s="7"/>
      <c r="N88" s="7" t="s">
        <v>248</v>
      </c>
      <c r="O88" s="7"/>
      <c r="P88" s="7" t="s">
        <v>347</v>
      </c>
      <c r="Q88" s="7" t="s">
        <v>49</v>
      </c>
      <c r="R88" s="14">
        <f>INDEX(Hypothèses!$B$14:$B$22,MATCH(Q88,Hypothèses!$A$14:$A$22,0))</f>
        <v>1</v>
      </c>
      <c r="S88" s="17" t="str">
        <f t="shared" si="3"/>
        <v/>
      </c>
      <c r="T88" s="17">
        <f t="shared" si="4"/>
        <v>515</v>
      </c>
      <c r="U88" s="17" t="str">
        <f t="shared" si="5"/>
        <v/>
      </c>
      <c r="V88" s="7" t="s">
        <v>247</v>
      </c>
      <c r="W88" s="7" t="s">
        <v>84</v>
      </c>
      <c r="X88" s="7" t="s">
        <v>250</v>
      </c>
      <c r="Y88" s="7"/>
      <c r="Z88" s="7"/>
      <c r="AA88" s="7">
        <f>IF(AND(Hypothèses!$B$12=1,Z88="Secondary_Source"),0,1)</f>
        <v>1</v>
      </c>
    </row>
    <row r="89" spans="1:27" x14ac:dyDescent="0.3">
      <c r="A89" s="7" t="s">
        <v>350</v>
      </c>
      <c r="B89" s="7" t="s">
        <v>78</v>
      </c>
      <c r="C89" s="7" t="s">
        <v>126</v>
      </c>
      <c r="D89" s="7" t="s">
        <v>244</v>
      </c>
      <c r="E89" s="7" t="s">
        <v>245</v>
      </c>
      <c r="F89" s="7" t="s">
        <v>258</v>
      </c>
      <c r="G89" s="17"/>
      <c r="H89" s="17">
        <v>445.67307692307702</v>
      </c>
      <c r="I89" s="17"/>
      <c r="J89" s="7" t="s">
        <v>247</v>
      </c>
      <c r="K89" s="7">
        <v>2050</v>
      </c>
      <c r="L89" s="7" t="str">
        <f>IF(Y89&lt;&gt;"",Y89,IF(AND(K89&gt;=Hypothèses!$B$9,K89&lt;=Hypothèses!$B$10),"actuel",IF(K89=2030,"2030",IF(K89=2050,"2050","autre"))))</f>
        <v>2050</v>
      </c>
      <c r="M89" s="7"/>
      <c r="N89" s="7" t="s">
        <v>248</v>
      </c>
      <c r="O89" s="7"/>
      <c r="P89" s="7" t="s">
        <v>347</v>
      </c>
      <c r="Q89" s="7" t="s">
        <v>49</v>
      </c>
      <c r="R89" s="14">
        <f>INDEX(Hypothèses!$B$14:$B$22,MATCH(Q89,Hypothèses!$A$14:$A$22,0))</f>
        <v>1</v>
      </c>
      <c r="S89" s="17" t="str">
        <f t="shared" si="3"/>
        <v/>
      </c>
      <c r="T89" s="17">
        <f t="shared" si="4"/>
        <v>445.67307692307702</v>
      </c>
      <c r="U89" s="17" t="str">
        <f t="shared" si="5"/>
        <v/>
      </c>
      <c r="V89" s="7" t="s">
        <v>247</v>
      </c>
      <c r="W89" s="7" t="s">
        <v>84</v>
      </c>
      <c r="X89" s="7" t="s">
        <v>250</v>
      </c>
      <c r="Y89" s="7"/>
      <c r="Z89" s="7"/>
      <c r="AA89" s="7">
        <f>IF(AND(Hypothèses!$B$12=1,Z89="Secondary_Source"),0,1)</f>
        <v>1</v>
      </c>
    </row>
    <row r="90" spans="1:27" x14ac:dyDescent="0.3">
      <c r="A90" s="7" t="s">
        <v>351</v>
      </c>
      <c r="B90" s="7" t="s">
        <v>78</v>
      </c>
      <c r="C90" s="7" t="s">
        <v>132</v>
      </c>
      <c r="D90" s="7" t="s">
        <v>244</v>
      </c>
      <c r="E90" s="7" t="s">
        <v>245</v>
      </c>
      <c r="F90" s="7" t="s">
        <v>258</v>
      </c>
      <c r="G90" s="17">
        <v>1138.9328</v>
      </c>
      <c r="H90" s="17">
        <v>1145.4012</v>
      </c>
      <c r="I90" s="17">
        <v>1151.8696</v>
      </c>
      <c r="J90" s="7" t="s">
        <v>247</v>
      </c>
      <c r="K90" s="7">
        <v>2020</v>
      </c>
      <c r="L90" s="7" t="str">
        <f>IF(Y90&lt;&gt;"",Y90,IF(AND(K90&gt;=Hypothèses!$B$9,K90&lt;=Hypothèses!$B$10),"actuel",IF(K90=2030,"2030",IF(K90=2050,"2050","autre"))))</f>
        <v>actuel</v>
      </c>
      <c r="M90" s="7"/>
      <c r="N90" s="7" t="s">
        <v>248</v>
      </c>
      <c r="O90" s="7"/>
      <c r="P90" s="7" t="s">
        <v>352</v>
      </c>
      <c r="Q90" s="7" t="s">
        <v>49</v>
      </c>
      <c r="R90" s="14">
        <f>INDEX(Hypothèses!$B$14:$B$22,MATCH(Q90,Hypothèses!$A$14:$A$22,0))</f>
        <v>1</v>
      </c>
      <c r="S90" s="17">
        <f t="shared" si="3"/>
        <v>1138.9328</v>
      </c>
      <c r="T90" s="17">
        <f t="shared" si="4"/>
        <v>1145.4012</v>
      </c>
      <c r="U90" s="17">
        <f t="shared" si="5"/>
        <v>1151.8696</v>
      </c>
      <c r="V90" s="7" t="s">
        <v>247</v>
      </c>
      <c r="W90" s="7" t="s">
        <v>84</v>
      </c>
      <c r="X90" s="7" t="s">
        <v>250</v>
      </c>
      <c r="Y90" s="7"/>
      <c r="Z90" s="7"/>
      <c r="AA90" s="7">
        <f>IF(AND(Hypothèses!$B$12=1,Z90="Secondary_Source"),0,1)</f>
        <v>1</v>
      </c>
    </row>
    <row r="91" spans="1:27" x14ac:dyDescent="0.3">
      <c r="A91" s="7" t="s">
        <v>353</v>
      </c>
      <c r="B91" s="7" t="s">
        <v>78</v>
      </c>
      <c r="C91" s="7" t="s">
        <v>132</v>
      </c>
      <c r="D91" s="7" t="s">
        <v>244</v>
      </c>
      <c r="E91" s="7" t="s">
        <v>245</v>
      </c>
      <c r="F91" s="7" t="s">
        <v>258</v>
      </c>
      <c r="G91" s="17">
        <v>718.30345999999997</v>
      </c>
      <c r="H91" s="17">
        <v>905.96843000000001</v>
      </c>
      <c r="I91" s="17">
        <v>1093.6333999999999</v>
      </c>
      <c r="J91" s="7" t="s">
        <v>247</v>
      </c>
      <c r="K91" s="7">
        <v>2025</v>
      </c>
      <c r="L91" s="7" t="str">
        <f>IF(Y91&lt;&gt;"",Y91,IF(AND(K91&gt;=Hypothèses!$B$9,K91&lt;=Hypothèses!$B$10),"actuel",IF(K91=2030,"2030",IF(K91=2050,"2050","autre"))))</f>
        <v>actuel</v>
      </c>
      <c r="M91" s="7"/>
      <c r="N91" s="7" t="s">
        <v>248</v>
      </c>
      <c r="O91" s="7"/>
      <c r="P91" s="7" t="s">
        <v>352</v>
      </c>
      <c r="Q91" s="7" t="s">
        <v>49</v>
      </c>
      <c r="R91" s="14">
        <f>INDEX(Hypothèses!$B$14:$B$22,MATCH(Q91,Hypothèses!$A$14:$A$22,0))</f>
        <v>1</v>
      </c>
      <c r="S91" s="17">
        <f t="shared" si="3"/>
        <v>718.30345999999997</v>
      </c>
      <c r="T91" s="17">
        <f t="shared" si="4"/>
        <v>905.96843000000001</v>
      </c>
      <c r="U91" s="17">
        <f t="shared" si="5"/>
        <v>1093.6333999999999</v>
      </c>
      <c r="V91" s="7" t="s">
        <v>247</v>
      </c>
      <c r="W91" s="7" t="s">
        <v>84</v>
      </c>
      <c r="X91" s="7" t="s">
        <v>250</v>
      </c>
      <c r="Y91" s="7"/>
      <c r="Z91" s="7"/>
      <c r="AA91" s="7">
        <f>IF(AND(Hypothèses!$B$12=1,Z91="Secondary_Source"),0,1)</f>
        <v>1</v>
      </c>
    </row>
    <row r="92" spans="1:27" x14ac:dyDescent="0.3">
      <c r="A92" s="7" t="s">
        <v>354</v>
      </c>
      <c r="B92" s="7" t="s">
        <v>78</v>
      </c>
      <c r="C92" s="7" t="s">
        <v>132</v>
      </c>
      <c r="D92" s="7" t="s">
        <v>244</v>
      </c>
      <c r="E92" s="7" t="s">
        <v>245</v>
      </c>
      <c r="F92" s="7" t="s">
        <v>258</v>
      </c>
      <c r="G92" s="17">
        <v>533.87474999999995</v>
      </c>
      <c r="H92" s="17">
        <v>757.130855</v>
      </c>
      <c r="I92" s="17">
        <v>980.38696000000004</v>
      </c>
      <c r="J92" s="7" t="s">
        <v>247</v>
      </c>
      <c r="K92" s="7">
        <v>2030</v>
      </c>
      <c r="L92" s="7" t="str">
        <f>IF(Y92&lt;&gt;"",Y92,IF(AND(K92&gt;=Hypothèses!$B$9,K92&lt;=Hypothèses!$B$10),"actuel",IF(K92=2030,"2030",IF(K92=2050,"2050","autre"))))</f>
        <v>2030</v>
      </c>
      <c r="M92" s="7"/>
      <c r="N92" s="7" t="s">
        <v>248</v>
      </c>
      <c r="O92" s="7"/>
      <c r="P92" s="7" t="s">
        <v>352</v>
      </c>
      <c r="Q92" s="7" t="s">
        <v>49</v>
      </c>
      <c r="R92" s="14">
        <f>INDEX(Hypothèses!$B$14:$B$22,MATCH(Q92,Hypothèses!$A$14:$A$22,0))</f>
        <v>1</v>
      </c>
      <c r="S92" s="17">
        <f t="shared" si="3"/>
        <v>533.87474999999995</v>
      </c>
      <c r="T92" s="17">
        <f t="shared" si="4"/>
        <v>757.130855</v>
      </c>
      <c r="U92" s="17">
        <f t="shared" si="5"/>
        <v>980.38696000000004</v>
      </c>
      <c r="V92" s="7" t="s">
        <v>247</v>
      </c>
      <c r="W92" s="7" t="s">
        <v>84</v>
      </c>
      <c r="X92" s="7" t="s">
        <v>250</v>
      </c>
      <c r="Y92" s="7"/>
      <c r="Z92" s="7"/>
      <c r="AA92" s="7">
        <f>IF(AND(Hypothèses!$B$12=1,Z92="Secondary_Source"),0,1)</f>
        <v>1</v>
      </c>
    </row>
    <row r="93" spans="1:27" x14ac:dyDescent="0.3">
      <c r="A93" s="7" t="s">
        <v>355</v>
      </c>
      <c r="B93" s="7" t="s">
        <v>78</v>
      </c>
      <c r="C93" s="7" t="s">
        <v>132</v>
      </c>
      <c r="D93" s="7" t="s">
        <v>244</v>
      </c>
      <c r="E93" s="7" t="s">
        <v>245</v>
      </c>
      <c r="F93" s="7" t="s">
        <v>258</v>
      </c>
      <c r="G93" s="17">
        <v>339.73829000000001</v>
      </c>
      <c r="H93" s="17">
        <v>618</v>
      </c>
      <c r="I93" s="17">
        <v>896.26170999999999</v>
      </c>
      <c r="J93" s="7" t="s">
        <v>247</v>
      </c>
      <c r="K93" s="7">
        <v>2035</v>
      </c>
      <c r="L93" s="7" t="str">
        <f>IF(Y93&lt;&gt;"",Y93,IF(AND(K93&gt;=Hypothèses!$B$9,K93&lt;=Hypothèses!$B$10),"actuel",IF(K93=2030,"2030",IF(K93=2050,"2050","autre"))))</f>
        <v>autre</v>
      </c>
      <c r="M93" s="7"/>
      <c r="N93" s="7" t="s">
        <v>248</v>
      </c>
      <c r="O93" s="7"/>
      <c r="P93" s="7" t="s">
        <v>352</v>
      </c>
      <c r="Q93" s="7" t="s">
        <v>49</v>
      </c>
      <c r="R93" s="14">
        <f>INDEX(Hypothèses!$B$14:$B$22,MATCH(Q93,Hypothèses!$A$14:$A$22,0))</f>
        <v>1</v>
      </c>
      <c r="S93" s="17">
        <f t="shared" si="3"/>
        <v>339.73829000000001</v>
      </c>
      <c r="T93" s="17">
        <f t="shared" si="4"/>
        <v>618</v>
      </c>
      <c r="U93" s="17">
        <f t="shared" si="5"/>
        <v>896.26170999999999</v>
      </c>
      <c r="V93" s="7" t="s">
        <v>247</v>
      </c>
      <c r="W93" s="7" t="s">
        <v>84</v>
      </c>
      <c r="X93" s="7" t="s">
        <v>250</v>
      </c>
      <c r="Y93" s="7"/>
      <c r="Z93" s="7"/>
      <c r="AA93" s="7">
        <f>IF(AND(Hypothèses!$B$12=1,Z93="Secondary_Source"),0,1)</f>
        <v>1</v>
      </c>
    </row>
    <row r="94" spans="1:27" x14ac:dyDescent="0.3">
      <c r="A94" s="7" t="s">
        <v>356</v>
      </c>
      <c r="B94" s="7" t="s">
        <v>78</v>
      </c>
      <c r="C94" s="7" t="s">
        <v>132</v>
      </c>
      <c r="D94" s="7" t="s">
        <v>244</v>
      </c>
      <c r="E94" s="7" t="s">
        <v>245</v>
      </c>
      <c r="F94" s="7" t="s">
        <v>258</v>
      </c>
      <c r="G94" s="17">
        <v>236.19856999999999</v>
      </c>
      <c r="H94" s="17">
        <v>506.37169</v>
      </c>
      <c r="I94" s="17">
        <v>776.54480999999998</v>
      </c>
      <c r="J94" s="7" t="s">
        <v>247</v>
      </c>
      <c r="K94" s="7">
        <v>2040</v>
      </c>
      <c r="L94" s="7" t="str">
        <f>IF(Y94&lt;&gt;"",Y94,IF(AND(K94&gt;=Hypothèses!$B$9,K94&lt;=Hypothèses!$B$10),"actuel",IF(K94=2030,"2030",IF(K94=2050,"2050","autre"))))</f>
        <v>autre</v>
      </c>
      <c r="M94" s="7"/>
      <c r="N94" s="7" t="s">
        <v>248</v>
      </c>
      <c r="O94" s="7"/>
      <c r="P94" s="7" t="s">
        <v>352</v>
      </c>
      <c r="Q94" s="7" t="s">
        <v>49</v>
      </c>
      <c r="R94" s="14">
        <f>INDEX(Hypothèses!$B$14:$B$22,MATCH(Q94,Hypothèses!$A$14:$A$22,0))</f>
        <v>1</v>
      </c>
      <c r="S94" s="17">
        <f t="shared" si="3"/>
        <v>236.19856999999999</v>
      </c>
      <c r="T94" s="17">
        <f t="shared" si="4"/>
        <v>506.37169</v>
      </c>
      <c r="U94" s="17">
        <f t="shared" si="5"/>
        <v>776.54480999999998</v>
      </c>
      <c r="V94" s="7" t="s">
        <v>247</v>
      </c>
      <c r="W94" s="7" t="s">
        <v>84</v>
      </c>
      <c r="X94" s="7" t="s">
        <v>250</v>
      </c>
      <c r="Y94" s="7"/>
      <c r="Z94" s="7"/>
      <c r="AA94" s="7">
        <f>IF(AND(Hypothèses!$B$12=1,Z94="Secondary_Source"),0,1)</f>
        <v>1</v>
      </c>
    </row>
    <row r="95" spans="1:27" x14ac:dyDescent="0.3">
      <c r="A95" s="7" t="s">
        <v>357</v>
      </c>
      <c r="B95" s="7" t="s">
        <v>78</v>
      </c>
      <c r="C95" s="7" t="s">
        <v>132</v>
      </c>
      <c r="D95" s="7" t="s">
        <v>244</v>
      </c>
      <c r="E95" s="7" t="s">
        <v>245</v>
      </c>
      <c r="F95" s="7" t="s">
        <v>258</v>
      </c>
      <c r="G95" s="17">
        <v>171.48676</v>
      </c>
      <c r="H95" s="17">
        <v>430.33503000000002</v>
      </c>
      <c r="I95" s="17">
        <v>689.18330000000003</v>
      </c>
      <c r="J95" s="7" t="s">
        <v>247</v>
      </c>
      <c r="K95" s="7">
        <v>2045</v>
      </c>
      <c r="L95" s="7" t="str">
        <f>IF(Y95&lt;&gt;"",Y95,IF(AND(K95&gt;=Hypothèses!$B$9,K95&lt;=Hypothèses!$B$10),"actuel",IF(K95=2030,"2030",IF(K95=2050,"2050","autre"))))</f>
        <v>autre</v>
      </c>
      <c r="M95" s="7"/>
      <c r="N95" s="7" t="s">
        <v>248</v>
      </c>
      <c r="O95" s="7"/>
      <c r="P95" s="7" t="s">
        <v>352</v>
      </c>
      <c r="Q95" s="7" t="s">
        <v>49</v>
      </c>
      <c r="R95" s="14">
        <f>INDEX(Hypothèses!$B$14:$B$22,MATCH(Q95,Hypothèses!$A$14:$A$22,0))</f>
        <v>1</v>
      </c>
      <c r="S95" s="17">
        <f t="shared" si="3"/>
        <v>171.48676</v>
      </c>
      <c r="T95" s="17">
        <f t="shared" si="4"/>
        <v>430.33503000000002</v>
      </c>
      <c r="U95" s="17">
        <f t="shared" si="5"/>
        <v>689.18330000000003</v>
      </c>
      <c r="V95" s="7" t="s">
        <v>247</v>
      </c>
      <c r="W95" s="7" t="s">
        <v>84</v>
      </c>
      <c r="X95" s="7" t="s">
        <v>250</v>
      </c>
      <c r="Y95" s="7"/>
      <c r="Z95" s="7"/>
      <c r="AA95" s="7">
        <f>IF(AND(Hypothèses!$B$12=1,Z95="Secondary_Source"),0,1)</f>
        <v>1</v>
      </c>
    </row>
    <row r="96" spans="1:27" x14ac:dyDescent="0.3">
      <c r="A96" s="7" t="s">
        <v>358</v>
      </c>
      <c r="B96" s="7" t="s">
        <v>78</v>
      </c>
      <c r="C96" s="7" t="s">
        <v>132</v>
      </c>
      <c r="D96" s="7" t="s">
        <v>244</v>
      </c>
      <c r="E96" s="7" t="s">
        <v>245</v>
      </c>
      <c r="F96" s="7" t="s">
        <v>258</v>
      </c>
      <c r="G96" s="17">
        <v>135.89510999999999</v>
      </c>
      <c r="H96" s="17">
        <v>368.85845</v>
      </c>
      <c r="I96" s="17">
        <v>601.82178999999996</v>
      </c>
      <c r="J96" s="7" t="s">
        <v>247</v>
      </c>
      <c r="K96" s="7">
        <v>2050</v>
      </c>
      <c r="L96" s="7" t="str">
        <f>IF(Y96&lt;&gt;"",Y96,IF(AND(K96&gt;=Hypothèses!$B$9,K96&lt;=Hypothèses!$B$10),"actuel",IF(K96=2030,"2030",IF(K96=2050,"2050","autre"))))</f>
        <v>2050</v>
      </c>
      <c r="M96" s="7"/>
      <c r="N96" s="7" t="s">
        <v>248</v>
      </c>
      <c r="O96" s="7"/>
      <c r="P96" s="7" t="s">
        <v>352</v>
      </c>
      <c r="Q96" s="7" t="s">
        <v>49</v>
      </c>
      <c r="R96" s="14">
        <f>INDEX(Hypothèses!$B$14:$B$22,MATCH(Q96,Hypothèses!$A$14:$A$22,0))</f>
        <v>1</v>
      </c>
      <c r="S96" s="17">
        <f t="shared" si="3"/>
        <v>135.89510999999999</v>
      </c>
      <c r="T96" s="17">
        <f t="shared" si="4"/>
        <v>368.85845</v>
      </c>
      <c r="U96" s="17">
        <f t="shared" si="5"/>
        <v>601.82178999999996</v>
      </c>
      <c r="V96" s="7" t="s">
        <v>247</v>
      </c>
      <c r="W96" s="7" t="s">
        <v>84</v>
      </c>
      <c r="X96" s="7" t="s">
        <v>250</v>
      </c>
      <c r="Y96" s="7"/>
      <c r="Z96" s="7"/>
      <c r="AA96" s="7">
        <f>IF(AND(Hypothèses!$B$12=1,Z96="Secondary_Source"),0,1)</f>
        <v>1</v>
      </c>
    </row>
    <row r="97" spans="1:27" x14ac:dyDescent="0.3">
      <c r="A97" s="7" t="s">
        <v>359</v>
      </c>
      <c r="B97" s="7" t="s">
        <v>78</v>
      </c>
      <c r="C97" s="7" t="s">
        <v>144</v>
      </c>
      <c r="D97" s="7" t="s">
        <v>244</v>
      </c>
      <c r="E97" s="7" t="s">
        <v>245</v>
      </c>
      <c r="F97" s="7" t="s">
        <v>258</v>
      </c>
      <c r="G97" s="17">
        <v>850.18072727272704</v>
      </c>
      <c r="H97" s="17">
        <v>1001.58253409091</v>
      </c>
      <c r="I97" s="17">
        <v>1380.0829545454501</v>
      </c>
      <c r="J97" s="7" t="s">
        <v>247</v>
      </c>
      <c r="K97" s="7">
        <v>2020</v>
      </c>
      <c r="L97" s="7" t="str">
        <f>IF(Y97&lt;&gt;"",Y97,IF(AND(K97&gt;=Hypothèses!$B$9,K97&lt;=Hypothèses!$B$10),"actuel",IF(K97=2030,"2030",IF(K97=2050,"2050","autre"))))</f>
        <v>actuel</v>
      </c>
      <c r="M97" s="7"/>
      <c r="N97" s="7" t="s">
        <v>248</v>
      </c>
      <c r="O97" s="7"/>
      <c r="P97" s="7" t="s">
        <v>360</v>
      </c>
      <c r="Q97" s="7" t="s">
        <v>49</v>
      </c>
      <c r="R97" s="14">
        <f>INDEX(Hypothèses!$B$14:$B$22,MATCH(Q97,Hypothèses!$A$14:$A$22,0))</f>
        <v>1</v>
      </c>
      <c r="S97" s="17">
        <f t="shared" si="3"/>
        <v>850.18072727272704</v>
      </c>
      <c r="T97" s="17">
        <f t="shared" si="4"/>
        <v>1001.58253409091</v>
      </c>
      <c r="U97" s="17">
        <f t="shared" si="5"/>
        <v>1380.0829545454501</v>
      </c>
      <c r="V97" s="7" t="s">
        <v>247</v>
      </c>
      <c r="W97" s="7" t="s">
        <v>84</v>
      </c>
      <c r="X97" s="7" t="s">
        <v>250</v>
      </c>
      <c r="Y97" s="7"/>
      <c r="Z97" s="7"/>
      <c r="AA97" s="7">
        <f>IF(AND(Hypothèses!$B$12=1,Z97="Secondary_Source"),0,1)</f>
        <v>1</v>
      </c>
    </row>
    <row r="98" spans="1:27" x14ac:dyDescent="0.3">
      <c r="A98" s="7" t="s">
        <v>361</v>
      </c>
      <c r="B98" s="7" t="s">
        <v>78</v>
      </c>
      <c r="C98" s="7" t="s">
        <v>144</v>
      </c>
      <c r="D98" s="7" t="s">
        <v>244</v>
      </c>
      <c r="E98" s="7" t="s">
        <v>245</v>
      </c>
      <c r="F98" s="7" t="s">
        <v>258</v>
      </c>
      <c r="G98" s="17">
        <v>675.48570454545495</v>
      </c>
      <c r="H98" s="17">
        <v>867.65093181818202</v>
      </c>
      <c r="I98" s="17">
        <v>1211.22147727273</v>
      </c>
      <c r="J98" s="7" t="s">
        <v>247</v>
      </c>
      <c r="K98" s="7">
        <v>2025</v>
      </c>
      <c r="L98" s="7" t="str">
        <f>IF(Y98&lt;&gt;"",Y98,IF(AND(K98&gt;=Hypothèses!$B$9,K98&lt;=Hypothèses!$B$10),"actuel",IF(K98=2030,"2030",IF(K98=2050,"2050","autre"))))</f>
        <v>actuel</v>
      </c>
      <c r="M98" s="7"/>
      <c r="N98" s="7" t="s">
        <v>248</v>
      </c>
      <c r="O98" s="7"/>
      <c r="P98" s="7" t="s">
        <v>360</v>
      </c>
      <c r="Q98" s="7" t="s">
        <v>49</v>
      </c>
      <c r="R98" s="14">
        <f>INDEX(Hypothèses!$B$14:$B$22,MATCH(Q98,Hypothèses!$A$14:$A$22,0))</f>
        <v>1</v>
      </c>
      <c r="S98" s="17">
        <f t="shared" si="3"/>
        <v>675.48570454545495</v>
      </c>
      <c r="T98" s="17">
        <f t="shared" si="4"/>
        <v>867.65093181818202</v>
      </c>
      <c r="U98" s="17">
        <f t="shared" si="5"/>
        <v>1211.22147727273</v>
      </c>
      <c r="V98" s="7" t="s">
        <v>247</v>
      </c>
      <c r="W98" s="7" t="s">
        <v>84</v>
      </c>
      <c r="X98" s="7" t="s">
        <v>250</v>
      </c>
      <c r="Y98" s="7"/>
      <c r="Z98" s="7"/>
      <c r="AA98" s="7">
        <f>IF(AND(Hypothèses!$B$12=1,Z98="Secondary_Source"),0,1)</f>
        <v>1</v>
      </c>
    </row>
    <row r="99" spans="1:27" x14ac:dyDescent="0.3">
      <c r="A99" s="7" t="s">
        <v>362</v>
      </c>
      <c r="B99" s="7" t="s">
        <v>78</v>
      </c>
      <c r="C99" s="7" t="s">
        <v>144</v>
      </c>
      <c r="D99" s="7" t="s">
        <v>244</v>
      </c>
      <c r="E99" s="7" t="s">
        <v>245</v>
      </c>
      <c r="F99" s="7" t="s">
        <v>258</v>
      </c>
      <c r="G99" s="17">
        <v>576.49217045454498</v>
      </c>
      <c r="H99" s="17">
        <v>786.12643181818203</v>
      </c>
      <c r="I99" s="17">
        <v>1141.3383181818199</v>
      </c>
      <c r="J99" s="7" t="s">
        <v>247</v>
      </c>
      <c r="K99" s="7">
        <v>2030</v>
      </c>
      <c r="L99" s="7" t="str">
        <f>IF(Y99&lt;&gt;"",Y99,IF(AND(K99&gt;=Hypothèses!$B$9,K99&lt;=Hypothèses!$B$10),"actuel",IF(K99=2030,"2030",IF(K99=2050,"2050","autre"))))</f>
        <v>2030</v>
      </c>
      <c r="M99" s="7"/>
      <c r="N99" s="7" t="s">
        <v>248</v>
      </c>
      <c r="O99" s="7"/>
      <c r="P99" s="7" t="s">
        <v>360</v>
      </c>
      <c r="Q99" s="7" t="s">
        <v>49</v>
      </c>
      <c r="R99" s="14">
        <f>INDEX(Hypothèses!$B$14:$B$22,MATCH(Q99,Hypothèses!$A$14:$A$22,0))</f>
        <v>1</v>
      </c>
      <c r="S99" s="17">
        <f t="shared" si="3"/>
        <v>576.49217045454498</v>
      </c>
      <c r="T99" s="17">
        <f t="shared" si="4"/>
        <v>786.12643181818203</v>
      </c>
      <c r="U99" s="17">
        <f t="shared" si="5"/>
        <v>1141.3383181818199</v>
      </c>
      <c r="V99" s="7" t="s">
        <v>247</v>
      </c>
      <c r="W99" s="7" t="s">
        <v>84</v>
      </c>
      <c r="X99" s="7" t="s">
        <v>250</v>
      </c>
      <c r="Y99" s="7"/>
      <c r="Z99" s="7"/>
      <c r="AA99" s="7">
        <f>IF(AND(Hypothèses!$B$12=1,Z99="Secondary_Source"),0,1)</f>
        <v>1</v>
      </c>
    </row>
    <row r="100" spans="1:27" x14ac:dyDescent="0.3">
      <c r="A100" s="7" t="s">
        <v>363</v>
      </c>
      <c r="B100" s="7" t="s">
        <v>78</v>
      </c>
      <c r="C100" s="7" t="s">
        <v>144</v>
      </c>
      <c r="D100" s="7" t="s">
        <v>244</v>
      </c>
      <c r="E100" s="7" t="s">
        <v>245</v>
      </c>
      <c r="F100" s="7" t="s">
        <v>258</v>
      </c>
      <c r="G100" s="17">
        <v>547.37711363636402</v>
      </c>
      <c r="H100" s="17">
        <v>757.01020454545505</v>
      </c>
      <c r="I100" s="17">
        <v>1100.5772386363601</v>
      </c>
      <c r="J100" s="7" t="s">
        <v>247</v>
      </c>
      <c r="K100" s="7">
        <v>2035</v>
      </c>
      <c r="L100" s="7" t="str">
        <f>IF(Y100&lt;&gt;"",Y100,IF(AND(K100&gt;=Hypothèses!$B$9,K100&lt;=Hypothèses!$B$10),"actuel",IF(K100=2030,"2030",IF(K100=2050,"2050","autre"))))</f>
        <v>autre</v>
      </c>
      <c r="M100" s="7"/>
      <c r="N100" s="7" t="s">
        <v>248</v>
      </c>
      <c r="O100" s="7"/>
      <c r="P100" s="7" t="s">
        <v>360</v>
      </c>
      <c r="Q100" s="7" t="s">
        <v>49</v>
      </c>
      <c r="R100" s="14">
        <f>INDEX(Hypothèses!$B$14:$B$22,MATCH(Q100,Hypothèses!$A$14:$A$22,0))</f>
        <v>1</v>
      </c>
      <c r="S100" s="17">
        <f t="shared" si="3"/>
        <v>547.37711363636402</v>
      </c>
      <c r="T100" s="17">
        <f t="shared" si="4"/>
        <v>757.01020454545505</v>
      </c>
      <c r="U100" s="17">
        <f t="shared" si="5"/>
        <v>1100.5772386363601</v>
      </c>
      <c r="V100" s="7" t="s">
        <v>247</v>
      </c>
      <c r="W100" s="7" t="s">
        <v>84</v>
      </c>
      <c r="X100" s="7" t="s">
        <v>250</v>
      </c>
      <c r="Y100" s="7"/>
      <c r="Z100" s="7"/>
      <c r="AA100" s="7">
        <f>IF(AND(Hypothèses!$B$12=1,Z100="Secondary_Source"),0,1)</f>
        <v>1</v>
      </c>
    </row>
    <row r="101" spans="1:27" x14ac:dyDescent="0.3">
      <c r="A101" s="7" t="s">
        <v>364</v>
      </c>
      <c r="B101" s="7" t="s">
        <v>78</v>
      </c>
      <c r="C101" s="7" t="s">
        <v>144</v>
      </c>
      <c r="D101" s="7" t="s">
        <v>244</v>
      </c>
      <c r="E101" s="7" t="s">
        <v>245</v>
      </c>
      <c r="F101" s="7" t="s">
        <v>258</v>
      </c>
      <c r="G101" s="17">
        <v>518.26088636363602</v>
      </c>
      <c r="H101" s="17">
        <v>739.54117045454598</v>
      </c>
      <c r="I101" s="17">
        <v>1065.6379999999999</v>
      </c>
      <c r="J101" s="7" t="s">
        <v>247</v>
      </c>
      <c r="K101" s="7">
        <v>2040</v>
      </c>
      <c r="L101" s="7" t="str">
        <f>IF(Y101&lt;&gt;"",Y101,IF(AND(K101&gt;=Hypothèses!$B$9,K101&lt;=Hypothèses!$B$10),"actuel",IF(K101=2030,"2030",IF(K101=2050,"2050","autre"))))</f>
        <v>autre</v>
      </c>
      <c r="M101" s="7"/>
      <c r="N101" s="7" t="s">
        <v>248</v>
      </c>
      <c r="O101" s="7"/>
      <c r="P101" s="7" t="s">
        <v>360</v>
      </c>
      <c r="Q101" s="7" t="s">
        <v>49</v>
      </c>
      <c r="R101" s="14">
        <f>INDEX(Hypothèses!$B$14:$B$22,MATCH(Q101,Hypothèses!$A$14:$A$22,0))</f>
        <v>1</v>
      </c>
      <c r="S101" s="17">
        <f t="shared" si="3"/>
        <v>518.26088636363602</v>
      </c>
      <c r="T101" s="17">
        <f t="shared" si="4"/>
        <v>739.54117045454598</v>
      </c>
      <c r="U101" s="17">
        <f t="shared" si="5"/>
        <v>1065.6379999999999</v>
      </c>
      <c r="V101" s="7" t="s">
        <v>247</v>
      </c>
      <c r="W101" s="7" t="s">
        <v>84</v>
      </c>
      <c r="X101" s="7" t="s">
        <v>250</v>
      </c>
      <c r="Y101" s="7"/>
      <c r="Z101" s="7"/>
      <c r="AA101" s="7">
        <f>IF(AND(Hypothèses!$B$12=1,Z101="Secondary_Source"),0,1)</f>
        <v>1</v>
      </c>
    </row>
    <row r="102" spans="1:27" x14ac:dyDescent="0.3">
      <c r="A102" s="7" t="s">
        <v>365</v>
      </c>
      <c r="B102" s="7" t="s">
        <v>78</v>
      </c>
      <c r="C102" s="7" t="s">
        <v>144</v>
      </c>
      <c r="D102" s="7" t="s">
        <v>244</v>
      </c>
      <c r="E102" s="7" t="s">
        <v>245</v>
      </c>
      <c r="F102" s="7" t="s">
        <v>258</v>
      </c>
      <c r="G102" s="17">
        <v>506.61486363636402</v>
      </c>
      <c r="H102" s="17">
        <v>727.89514772727296</v>
      </c>
      <c r="I102" s="17">
        <v>1048.1677954545501</v>
      </c>
      <c r="J102" s="7" t="s">
        <v>247</v>
      </c>
      <c r="K102" s="7">
        <v>2045</v>
      </c>
      <c r="L102" s="7" t="str">
        <f>IF(Y102&lt;&gt;"",Y102,IF(AND(K102&gt;=Hypothèses!$B$9,K102&lt;=Hypothèses!$B$10),"actuel",IF(K102=2030,"2030",IF(K102=2050,"2050","autre"))))</f>
        <v>autre</v>
      </c>
      <c r="M102" s="7"/>
      <c r="N102" s="7" t="s">
        <v>248</v>
      </c>
      <c r="O102" s="7"/>
      <c r="P102" s="7" t="s">
        <v>360</v>
      </c>
      <c r="Q102" s="7" t="s">
        <v>49</v>
      </c>
      <c r="R102" s="14">
        <f>INDEX(Hypothèses!$B$14:$B$22,MATCH(Q102,Hypothèses!$A$14:$A$22,0))</f>
        <v>1</v>
      </c>
      <c r="S102" s="17">
        <f t="shared" si="3"/>
        <v>506.61486363636402</v>
      </c>
      <c r="T102" s="17">
        <f t="shared" si="4"/>
        <v>727.89514772727296</v>
      </c>
      <c r="U102" s="17">
        <f t="shared" si="5"/>
        <v>1048.1677954545501</v>
      </c>
      <c r="V102" s="7" t="s">
        <v>247</v>
      </c>
      <c r="W102" s="7" t="s">
        <v>84</v>
      </c>
      <c r="X102" s="7" t="s">
        <v>250</v>
      </c>
      <c r="Y102" s="7"/>
      <c r="Z102" s="7"/>
      <c r="AA102" s="7">
        <f>IF(AND(Hypothèses!$B$12=1,Z102="Secondary_Source"),0,1)</f>
        <v>1</v>
      </c>
    </row>
    <row r="103" spans="1:27" x14ac:dyDescent="0.3">
      <c r="A103" s="7" t="s">
        <v>366</v>
      </c>
      <c r="B103" s="7" t="s">
        <v>78</v>
      </c>
      <c r="C103" s="7" t="s">
        <v>144</v>
      </c>
      <c r="D103" s="7" t="s">
        <v>244</v>
      </c>
      <c r="E103" s="7" t="s">
        <v>245</v>
      </c>
      <c r="F103" s="7" t="s">
        <v>258</v>
      </c>
      <c r="G103" s="17">
        <v>494.968840909091</v>
      </c>
      <c r="H103" s="17">
        <v>710.42494318181798</v>
      </c>
      <c r="I103" s="17">
        <v>1024.8757499999999</v>
      </c>
      <c r="J103" s="7" t="s">
        <v>247</v>
      </c>
      <c r="K103" s="7">
        <v>2050</v>
      </c>
      <c r="L103" s="7" t="str">
        <f>IF(Y103&lt;&gt;"",Y103,IF(AND(K103&gt;=Hypothèses!$B$9,K103&lt;=Hypothèses!$B$10),"actuel",IF(K103=2030,"2030",IF(K103=2050,"2050","autre"))))</f>
        <v>2050</v>
      </c>
      <c r="M103" s="7"/>
      <c r="N103" s="7" t="s">
        <v>248</v>
      </c>
      <c r="O103" s="7"/>
      <c r="P103" s="7" t="s">
        <v>360</v>
      </c>
      <c r="Q103" s="7" t="s">
        <v>49</v>
      </c>
      <c r="R103" s="14">
        <f>INDEX(Hypothèses!$B$14:$B$22,MATCH(Q103,Hypothèses!$A$14:$A$22,0))</f>
        <v>1</v>
      </c>
      <c r="S103" s="17">
        <f t="shared" si="3"/>
        <v>494.968840909091</v>
      </c>
      <c r="T103" s="17">
        <f t="shared" si="4"/>
        <v>710.42494318181798</v>
      </c>
      <c r="U103" s="17">
        <f t="shared" si="5"/>
        <v>1024.8757499999999</v>
      </c>
      <c r="V103" s="7" t="s">
        <v>247</v>
      </c>
      <c r="W103" s="7" t="s">
        <v>84</v>
      </c>
      <c r="X103" s="7" t="s">
        <v>250</v>
      </c>
      <c r="Y103" s="7"/>
      <c r="Z103" s="7"/>
      <c r="AA103" s="7">
        <f>IF(AND(Hypothèses!$B$12=1,Z103="Secondary_Source"),0,1)</f>
        <v>1</v>
      </c>
    </row>
    <row r="104" spans="1:27" x14ac:dyDescent="0.3">
      <c r="A104" s="7" t="s">
        <v>367</v>
      </c>
      <c r="B104" s="7" t="s">
        <v>78</v>
      </c>
      <c r="C104" s="7" t="s">
        <v>146</v>
      </c>
      <c r="D104" s="7" t="s">
        <v>244</v>
      </c>
      <c r="E104" s="7" t="s">
        <v>245</v>
      </c>
      <c r="F104" s="7" t="s">
        <v>258</v>
      </c>
      <c r="G104" s="17"/>
      <c r="H104" s="17">
        <v>396.15384615384602</v>
      </c>
      <c r="I104" s="17"/>
      <c r="J104" s="7" t="s">
        <v>247</v>
      </c>
      <c r="K104" s="7">
        <v>2021</v>
      </c>
      <c r="L104" s="7" t="str">
        <f>IF(Y104&lt;&gt;"",Y104,IF(AND(K104&gt;=Hypothèses!$B$9,K104&lt;=Hypothèses!$B$10),"actuel",IF(K104=2030,"2030",IF(K104=2050,"2050","autre"))))</f>
        <v>actuel</v>
      </c>
      <c r="M104" s="7"/>
      <c r="N104" s="7" t="s">
        <v>248</v>
      </c>
      <c r="O104" s="7"/>
      <c r="P104" s="7" t="s">
        <v>368</v>
      </c>
      <c r="Q104" s="7" t="s">
        <v>49</v>
      </c>
      <c r="R104" s="14">
        <f>INDEX(Hypothèses!$B$14:$B$22,MATCH(Q104,Hypothèses!$A$14:$A$22,0))</f>
        <v>1</v>
      </c>
      <c r="S104" s="17" t="str">
        <f t="shared" si="3"/>
        <v/>
      </c>
      <c r="T104" s="17">
        <f t="shared" si="4"/>
        <v>396.15384615384602</v>
      </c>
      <c r="U104" s="17" t="str">
        <f t="shared" si="5"/>
        <v/>
      </c>
      <c r="V104" s="7" t="s">
        <v>247</v>
      </c>
      <c r="W104" s="7" t="s">
        <v>84</v>
      </c>
      <c r="X104" s="7" t="s">
        <v>250</v>
      </c>
      <c r="Y104" s="7"/>
      <c r="Z104" s="7"/>
      <c r="AA104" s="7">
        <f>IF(AND(Hypothèses!$B$12=1,Z104="Secondary_Source"),0,1)</f>
        <v>1</v>
      </c>
    </row>
    <row r="105" spans="1:27" x14ac:dyDescent="0.3">
      <c r="A105" s="7" t="s">
        <v>369</v>
      </c>
      <c r="B105" s="7" t="s">
        <v>78</v>
      </c>
      <c r="C105" s="7" t="s">
        <v>146</v>
      </c>
      <c r="D105" s="7" t="s">
        <v>244</v>
      </c>
      <c r="E105" s="7" t="s">
        <v>245</v>
      </c>
      <c r="F105" s="7" t="s">
        <v>258</v>
      </c>
      <c r="G105" s="17"/>
      <c r="H105" s="17">
        <v>237.69230769230799</v>
      </c>
      <c r="I105" s="17"/>
      <c r="J105" s="7" t="s">
        <v>247</v>
      </c>
      <c r="K105" s="7">
        <v>2030</v>
      </c>
      <c r="L105" s="7" t="str">
        <f>IF(Y105&lt;&gt;"",Y105,IF(AND(K105&gt;=Hypothèses!$B$9,K105&lt;=Hypothèses!$B$10),"actuel",IF(K105=2030,"2030",IF(K105=2050,"2050","autre"))))</f>
        <v>2030</v>
      </c>
      <c r="M105" s="7"/>
      <c r="N105" s="7" t="s">
        <v>248</v>
      </c>
      <c r="O105" s="7"/>
      <c r="P105" s="7" t="s">
        <v>368</v>
      </c>
      <c r="Q105" s="7" t="s">
        <v>49</v>
      </c>
      <c r="R105" s="14">
        <f>INDEX(Hypothèses!$B$14:$B$22,MATCH(Q105,Hypothèses!$A$14:$A$22,0))</f>
        <v>1</v>
      </c>
      <c r="S105" s="17" t="str">
        <f t="shared" si="3"/>
        <v/>
      </c>
      <c r="T105" s="17">
        <f t="shared" si="4"/>
        <v>237.69230769230799</v>
      </c>
      <c r="U105" s="17" t="str">
        <f t="shared" si="5"/>
        <v/>
      </c>
      <c r="V105" s="7" t="s">
        <v>247</v>
      </c>
      <c r="W105" s="7" t="s">
        <v>84</v>
      </c>
      <c r="X105" s="7" t="s">
        <v>250</v>
      </c>
      <c r="Y105" s="7"/>
      <c r="Z105" s="7"/>
      <c r="AA105" s="7">
        <f>IF(AND(Hypothèses!$B$12=1,Z105="Secondary_Source"),0,1)</f>
        <v>1</v>
      </c>
    </row>
    <row r="106" spans="1:27" x14ac:dyDescent="0.3">
      <c r="A106" s="7" t="s">
        <v>370</v>
      </c>
      <c r="B106" s="7" t="s">
        <v>78</v>
      </c>
      <c r="C106" s="7" t="s">
        <v>146</v>
      </c>
      <c r="D106" s="7" t="s">
        <v>244</v>
      </c>
      <c r="E106" s="7" t="s">
        <v>245</v>
      </c>
      <c r="F106" s="7" t="s">
        <v>258</v>
      </c>
      <c r="G106" s="17"/>
      <c r="H106" s="17">
        <v>79.230769230769198</v>
      </c>
      <c r="I106" s="17"/>
      <c r="J106" s="7" t="s">
        <v>247</v>
      </c>
      <c r="K106" s="7">
        <v>2050</v>
      </c>
      <c r="L106" s="7" t="str">
        <f>IF(Y106&lt;&gt;"",Y106,IF(AND(K106&gt;=Hypothèses!$B$9,K106&lt;=Hypothèses!$B$10),"actuel",IF(K106=2030,"2030",IF(K106=2050,"2050","autre"))))</f>
        <v>2050</v>
      </c>
      <c r="M106" s="7"/>
      <c r="N106" s="7" t="s">
        <v>248</v>
      </c>
      <c r="O106" s="7"/>
      <c r="P106" s="7" t="s">
        <v>368</v>
      </c>
      <c r="Q106" s="7" t="s">
        <v>49</v>
      </c>
      <c r="R106" s="14">
        <f>INDEX(Hypothèses!$B$14:$B$22,MATCH(Q106,Hypothèses!$A$14:$A$22,0))</f>
        <v>1</v>
      </c>
      <c r="S106" s="17" t="str">
        <f t="shared" si="3"/>
        <v/>
      </c>
      <c r="T106" s="17">
        <f t="shared" si="4"/>
        <v>79.230769230769198</v>
      </c>
      <c r="U106" s="17" t="str">
        <f t="shared" si="5"/>
        <v/>
      </c>
      <c r="V106" s="7" t="s">
        <v>247</v>
      </c>
      <c r="W106" s="7" t="s">
        <v>84</v>
      </c>
      <c r="X106" s="7" t="s">
        <v>250</v>
      </c>
      <c r="Y106" s="7"/>
      <c r="Z106" s="7"/>
      <c r="AA106" s="7">
        <f>IF(AND(Hypothèses!$B$12=1,Z106="Secondary_Source"),0,1)</f>
        <v>1</v>
      </c>
    </row>
    <row r="107" spans="1:27" x14ac:dyDescent="0.3">
      <c r="A107" s="7" t="s">
        <v>371</v>
      </c>
      <c r="B107" s="7" t="s">
        <v>78</v>
      </c>
      <c r="C107" s="7" t="s">
        <v>86</v>
      </c>
      <c r="D107" s="7" t="s">
        <v>244</v>
      </c>
      <c r="E107" s="7" t="s">
        <v>372</v>
      </c>
      <c r="F107" s="7" t="s">
        <v>246</v>
      </c>
      <c r="G107" s="17">
        <v>2.5750000000000002</v>
      </c>
      <c r="H107" s="17">
        <v>6.4375</v>
      </c>
      <c r="I107" s="17">
        <v>10.3</v>
      </c>
      <c r="J107" s="7" t="s">
        <v>373</v>
      </c>
      <c r="K107" s="7">
        <v>2016</v>
      </c>
      <c r="L107" s="7" t="str">
        <f>IF(Y107&lt;&gt;"",Y107,IF(AND(K107&gt;=Hypothèses!$B$9,K107&lt;=Hypothèses!$B$10),"actuel",IF(K107=2030,"2030",IF(K107=2050,"2050","autre"))))</f>
        <v>autre</v>
      </c>
      <c r="M107" s="7"/>
      <c r="N107" s="7" t="s">
        <v>248</v>
      </c>
      <c r="O107" s="7"/>
      <c r="P107" s="7" t="s">
        <v>249</v>
      </c>
      <c r="Q107" s="7" t="s">
        <v>49</v>
      </c>
      <c r="R107" s="14">
        <f>INDEX(Hypothèses!$B$14:$B$22,MATCH(Q107,Hypothèses!$A$14:$A$22,0))</f>
        <v>1</v>
      </c>
      <c r="S107" s="17">
        <f t="shared" si="3"/>
        <v>2.5750000000000002</v>
      </c>
      <c r="T107" s="17">
        <f t="shared" si="4"/>
        <v>6.4375</v>
      </c>
      <c r="U107" s="17">
        <f t="shared" si="5"/>
        <v>10.3</v>
      </c>
      <c r="V107" s="7" t="s">
        <v>373</v>
      </c>
      <c r="W107" s="7" t="s">
        <v>84</v>
      </c>
      <c r="X107" s="7" t="s">
        <v>250</v>
      </c>
      <c r="Y107" s="7"/>
      <c r="Z107" s="7"/>
      <c r="AA107" s="7">
        <f>IF(AND(Hypothèses!$B$12=1,Z107="Secondary_Source"),0,1)</f>
        <v>1</v>
      </c>
    </row>
    <row r="108" spans="1:27" x14ac:dyDescent="0.3">
      <c r="A108" s="7" t="s">
        <v>374</v>
      </c>
      <c r="B108" s="7" t="s">
        <v>78</v>
      </c>
      <c r="C108" s="7" t="s">
        <v>86</v>
      </c>
      <c r="D108" s="7" t="s">
        <v>244</v>
      </c>
      <c r="E108" s="7" t="s">
        <v>372</v>
      </c>
      <c r="F108" s="7" t="s">
        <v>246</v>
      </c>
      <c r="G108" s="17">
        <v>1.7509999999999999</v>
      </c>
      <c r="H108" s="17">
        <v>5.4589999999999996</v>
      </c>
      <c r="I108" s="17">
        <v>9.1669999999999998</v>
      </c>
      <c r="J108" s="7" t="s">
        <v>373</v>
      </c>
      <c r="K108" s="7">
        <v>2017</v>
      </c>
      <c r="L108" s="7" t="str">
        <f>IF(Y108&lt;&gt;"",Y108,IF(AND(K108&gt;=Hypothèses!$B$9,K108&lt;=Hypothèses!$B$10),"actuel",IF(K108=2030,"2030",IF(K108=2050,"2050","autre"))))</f>
        <v>autre</v>
      </c>
      <c r="M108" s="7"/>
      <c r="N108" s="7" t="s">
        <v>248</v>
      </c>
      <c r="O108" s="7"/>
      <c r="P108" s="7" t="s">
        <v>249</v>
      </c>
      <c r="Q108" s="7" t="s">
        <v>49</v>
      </c>
      <c r="R108" s="14">
        <f>INDEX(Hypothèses!$B$14:$B$22,MATCH(Q108,Hypothèses!$A$14:$A$22,0))</f>
        <v>1</v>
      </c>
      <c r="S108" s="17">
        <f t="shared" si="3"/>
        <v>1.7509999999999999</v>
      </c>
      <c r="T108" s="17">
        <f t="shared" si="4"/>
        <v>5.4589999999999996</v>
      </c>
      <c r="U108" s="17">
        <f t="shared" si="5"/>
        <v>9.1669999999999998</v>
      </c>
      <c r="V108" s="7" t="s">
        <v>373</v>
      </c>
      <c r="W108" s="7" t="s">
        <v>84</v>
      </c>
      <c r="X108" s="7" t="s">
        <v>250</v>
      </c>
      <c r="Y108" s="7"/>
      <c r="Z108" s="7"/>
      <c r="AA108" s="7">
        <f>IF(AND(Hypothèses!$B$12=1,Z108="Secondary_Source"),0,1)</f>
        <v>1</v>
      </c>
    </row>
    <row r="109" spans="1:27" x14ac:dyDescent="0.3">
      <c r="A109" s="7" t="s">
        <v>375</v>
      </c>
      <c r="B109" s="7" t="s">
        <v>78</v>
      </c>
      <c r="C109" s="7" t="s">
        <v>86</v>
      </c>
      <c r="D109" s="7" t="s">
        <v>244</v>
      </c>
      <c r="E109" s="7" t="s">
        <v>372</v>
      </c>
      <c r="F109" s="7" t="s">
        <v>246</v>
      </c>
      <c r="G109" s="17">
        <v>3.09</v>
      </c>
      <c r="H109" s="17">
        <v>5.4074999999999998</v>
      </c>
      <c r="I109" s="17">
        <v>7.7249999999999996</v>
      </c>
      <c r="J109" s="7" t="s">
        <v>373</v>
      </c>
      <c r="K109" s="7">
        <v>2018</v>
      </c>
      <c r="L109" s="7" t="str">
        <f>IF(Y109&lt;&gt;"",Y109,IF(AND(K109&gt;=Hypothèses!$B$9,K109&lt;=Hypothèses!$B$10),"actuel",IF(K109=2030,"2030",IF(K109=2050,"2050","autre"))))</f>
        <v>autre</v>
      </c>
      <c r="M109" s="7"/>
      <c r="N109" s="7" t="s">
        <v>248</v>
      </c>
      <c r="O109" s="7"/>
      <c r="P109" s="7" t="s">
        <v>249</v>
      </c>
      <c r="Q109" s="7" t="s">
        <v>49</v>
      </c>
      <c r="R109" s="14">
        <f>INDEX(Hypothèses!$B$14:$B$22,MATCH(Q109,Hypothèses!$A$14:$A$22,0))</f>
        <v>1</v>
      </c>
      <c r="S109" s="17">
        <f t="shared" si="3"/>
        <v>3.09</v>
      </c>
      <c r="T109" s="17">
        <f t="shared" si="4"/>
        <v>5.4074999999999998</v>
      </c>
      <c r="U109" s="17">
        <f t="shared" si="5"/>
        <v>7.7249999999999996</v>
      </c>
      <c r="V109" s="7" t="s">
        <v>373</v>
      </c>
      <c r="W109" s="7" t="s">
        <v>84</v>
      </c>
      <c r="X109" s="7" t="s">
        <v>250</v>
      </c>
      <c r="Y109" s="7"/>
      <c r="Z109" s="7"/>
      <c r="AA109" s="7">
        <f>IF(AND(Hypothèses!$B$12=1,Z109="Secondary_Source"),0,1)</f>
        <v>1</v>
      </c>
    </row>
    <row r="110" spans="1:27" x14ac:dyDescent="0.3">
      <c r="A110" s="7" t="s">
        <v>376</v>
      </c>
      <c r="B110" s="7" t="s">
        <v>78</v>
      </c>
      <c r="C110" s="7" t="s">
        <v>86</v>
      </c>
      <c r="D110" s="7" t="s">
        <v>244</v>
      </c>
      <c r="E110" s="7" t="s">
        <v>372</v>
      </c>
      <c r="F110" s="7" t="s">
        <v>246</v>
      </c>
      <c r="G110" s="17">
        <v>2.9045999999999998</v>
      </c>
      <c r="H110" s="17">
        <v>4.9851999999999999</v>
      </c>
      <c r="I110" s="17">
        <v>7.0658000000000003</v>
      </c>
      <c r="J110" s="7" t="s">
        <v>373</v>
      </c>
      <c r="K110" s="7">
        <v>2019</v>
      </c>
      <c r="L110" s="7" t="str">
        <f>IF(Y110&lt;&gt;"",Y110,IF(AND(K110&gt;=Hypothèses!$B$9,K110&lt;=Hypothèses!$B$10),"actuel",IF(K110=2030,"2030",IF(K110=2050,"2050","autre"))))</f>
        <v>autre</v>
      </c>
      <c r="M110" s="7"/>
      <c r="N110" s="7" t="s">
        <v>248</v>
      </c>
      <c r="O110" s="7"/>
      <c r="P110" s="7" t="s">
        <v>249</v>
      </c>
      <c r="Q110" s="7" t="s">
        <v>49</v>
      </c>
      <c r="R110" s="14">
        <f>INDEX(Hypothèses!$B$14:$B$22,MATCH(Q110,Hypothèses!$A$14:$A$22,0))</f>
        <v>1</v>
      </c>
      <c r="S110" s="17">
        <f t="shared" si="3"/>
        <v>2.9045999999999998</v>
      </c>
      <c r="T110" s="17">
        <f t="shared" si="4"/>
        <v>4.9851999999999999</v>
      </c>
      <c r="U110" s="17">
        <f t="shared" si="5"/>
        <v>7.0658000000000003</v>
      </c>
      <c r="V110" s="7" t="s">
        <v>373</v>
      </c>
      <c r="W110" s="7" t="s">
        <v>84</v>
      </c>
      <c r="X110" s="7" t="s">
        <v>250</v>
      </c>
      <c r="Y110" s="7"/>
      <c r="Z110" s="7"/>
      <c r="AA110" s="7">
        <f>IF(AND(Hypothèses!$B$12=1,Z110="Secondary_Source"),0,1)</f>
        <v>1</v>
      </c>
    </row>
    <row r="111" spans="1:27" x14ac:dyDescent="0.3">
      <c r="A111" s="7" t="s">
        <v>377</v>
      </c>
      <c r="B111" s="7" t="s">
        <v>78</v>
      </c>
      <c r="C111" s="7" t="s">
        <v>86</v>
      </c>
      <c r="D111" s="7" t="s">
        <v>244</v>
      </c>
      <c r="E111" s="7" t="s">
        <v>372</v>
      </c>
      <c r="F111" s="7" t="s">
        <v>246</v>
      </c>
      <c r="G111" s="17">
        <v>3.5019999999999998</v>
      </c>
      <c r="H111" s="17">
        <v>5.15</v>
      </c>
      <c r="I111" s="17">
        <v>6.798</v>
      </c>
      <c r="J111" s="7" t="s">
        <v>373</v>
      </c>
      <c r="K111" s="7">
        <v>2020</v>
      </c>
      <c r="L111" s="7" t="str">
        <f>IF(Y111&lt;&gt;"",Y111,IF(AND(K111&gt;=Hypothèses!$B$9,K111&lt;=Hypothèses!$B$10),"actuel",IF(K111=2030,"2030",IF(K111=2050,"2050","autre"))))</f>
        <v>actuel</v>
      </c>
      <c r="M111" s="7"/>
      <c r="N111" s="7" t="s">
        <v>248</v>
      </c>
      <c r="O111" s="7"/>
      <c r="P111" s="7" t="s">
        <v>249</v>
      </c>
      <c r="Q111" s="7" t="s">
        <v>49</v>
      </c>
      <c r="R111" s="14">
        <f>INDEX(Hypothèses!$B$14:$B$22,MATCH(Q111,Hypothèses!$A$14:$A$22,0))</f>
        <v>1</v>
      </c>
      <c r="S111" s="17">
        <f t="shared" si="3"/>
        <v>3.5019999999999998</v>
      </c>
      <c r="T111" s="17">
        <f t="shared" si="4"/>
        <v>5.15</v>
      </c>
      <c r="U111" s="17">
        <f t="shared" si="5"/>
        <v>6.798</v>
      </c>
      <c r="V111" s="7" t="s">
        <v>373</v>
      </c>
      <c r="W111" s="7" t="s">
        <v>84</v>
      </c>
      <c r="X111" s="7" t="s">
        <v>250</v>
      </c>
      <c r="Y111" s="7"/>
      <c r="Z111" s="7"/>
      <c r="AA111" s="7">
        <f>IF(AND(Hypothèses!$B$12=1,Z111="Secondary_Source"),0,1)</f>
        <v>1</v>
      </c>
    </row>
    <row r="112" spans="1:27" x14ac:dyDescent="0.3">
      <c r="A112" s="7" t="s">
        <v>378</v>
      </c>
      <c r="B112" s="7" t="s">
        <v>78</v>
      </c>
      <c r="C112" s="7" t="s">
        <v>86</v>
      </c>
      <c r="D112" s="7" t="s">
        <v>244</v>
      </c>
      <c r="E112" s="7" t="s">
        <v>372</v>
      </c>
      <c r="F112" s="7" t="s">
        <v>246</v>
      </c>
      <c r="G112" s="17">
        <v>3.2753999999999999</v>
      </c>
      <c r="H112" s="17">
        <v>4.5989500000000003</v>
      </c>
      <c r="I112" s="17">
        <v>5.9225000000000003</v>
      </c>
      <c r="J112" s="7" t="s">
        <v>373</v>
      </c>
      <c r="K112" s="7">
        <v>2021</v>
      </c>
      <c r="L112" s="7" t="str">
        <f>IF(Y112&lt;&gt;"",Y112,IF(AND(K112&gt;=Hypothèses!$B$9,K112&lt;=Hypothèses!$B$10),"actuel",IF(K112=2030,"2030",IF(K112=2050,"2050","autre"))))</f>
        <v>actuel</v>
      </c>
      <c r="M112" s="7"/>
      <c r="N112" s="7" t="s">
        <v>248</v>
      </c>
      <c r="O112" s="7"/>
      <c r="P112" s="7" t="s">
        <v>249</v>
      </c>
      <c r="Q112" s="7" t="s">
        <v>49</v>
      </c>
      <c r="R112" s="14">
        <f>INDEX(Hypothèses!$B$14:$B$22,MATCH(Q112,Hypothèses!$A$14:$A$22,0))</f>
        <v>1</v>
      </c>
      <c r="S112" s="17">
        <f t="shared" si="3"/>
        <v>3.2753999999999999</v>
      </c>
      <c r="T112" s="17">
        <f t="shared" si="4"/>
        <v>4.5989500000000003</v>
      </c>
      <c r="U112" s="17">
        <f t="shared" si="5"/>
        <v>5.9225000000000003</v>
      </c>
      <c r="V112" s="7" t="s">
        <v>373</v>
      </c>
      <c r="W112" s="7" t="s">
        <v>84</v>
      </c>
      <c r="X112" s="7" t="s">
        <v>250</v>
      </c>
      <c r="Y112" s="7"/>
      <c r="Z112" s="7"/>
      <c r="AA112" s="7">
        <f>IF(AND(Hypothèses!$B$12=1,Z112="Secondary_Source"),0,1)</f>
        <v>1</v>
      </c>
    </row>
    <row r="113" spans="1:27" x14ac:dyDescent="0.3">
      <c r="A113" s="7" t="s">
        <v>379</v>
      </c>
      <c r="B113" s="7" t="s">
        <v>78</v>
      </c>
      <c r="C113" s="7" t="s">
        <v>86</v>
      </c>
      <c r="D113" s="7" t="s">
        <v>244</v>
      </c>
      <c r="E113" s="7" t="s">
        <v>372</v>
      </c>
      <c r="F113" s="7" t="s">
        <v>246</v>
      </c>
      <c r="G113" s="17">
        <v>3.1002999999999998</v>
      </c>
      <c r="H113" s="17">
        <v>3.8727999999999998</v>
      </c>
      <c r="I113" s="17">
        <v>4.6452999999999998</v>
      </c>
      <c r="J113" s="7" t="s">
        <v>373</v>
      </c>
      <c r="K113" s="7">
        <v>2022</v>
      </c>
      <c r="L113" s="7" t="str">
        <f>IF(Y113&lt;&gt;"",Y113,IF(AND(K113&gt;=Hypothèses!$B$9,K113&lt;=Hypothèses!$B$10),"actuel",IF(K113=2030,"2030",IF(K113=2050,"2050","autre"))))</f>
        <v>actuel</v>
      </c>
      <c r="M113" s="7"/>
      <c r="N113" s="7" t="s">
        <v>248</v>
      </c>
      <c r="O113" s="7"/>
      <c r="P113" s="7" t="s">
        <v>249</v>
      </c>
      <c r="Q113" s="7" t="s">
        <v>49</v>
      </c>
      <c r="R113" s="14">
        <f>INDEX(Hypothèses!$B$14:$B$22,MATCH(Q113,Hypothèses!$A$14:$A$22,0))</f>
        <v>1</v>
      </c>
      <c r="S113" s="17">
        <f t="shared" si="3"/>
        <v>3.1002999999999998</v>
      </c>
      <c r="T113" s="17">
        <f t="shared" si="4"/>
        <v>3.8727999999999998</v>
      </c>
      <c r="U113" s="17">
        <f t="shared" si="5"/>
        <v>4.6452999999999998</v>
      </c>
      <c r="V113" s="7" t="s">
        <v>373</v>
      </c>
      <c r="W113" s="7" t="s">
        <v>84</v>
      </c>
      <c r="X113" s="7" t="s">
        <v>250</v>
      </c>
      <c r="Y113" s="7"/>
      <c r="Z113" s="7"/>
      <c r="AA113" s="7">
        <f>IF(AND(Hypothèses!$B$12=1,Z113="Secondary_Source"),0,1)</f>
        <v>1</v>
      </c>
    </row>
    <row r="114" spans="1:27" x14ac:dyDescent="0.3">
      <c r="A114" s="7" t="s">
        <v>380</v>
      </c>
      <c r="B114" s="7" t="s">
        <v>78</v>
      </c>
      <c r="C114" s="7" t="s">
        <v>88</v>
      </c>
      <c r="D114" s="7" t="s">
        <v>244</v>
      </c>
      <c r="E114" s="7" t="s">
        <v>372</v>
      </c>
      <c r="F114" s="7" t="s">
        <v>258</v>
      </c>
      <c r="G114" s="17"/>
      <c r="H114" s="17">
        <v>4.8410000000000002</v>
      </c>
      <c r="I114" s="17"/>
      <c r="J114" s="7" t="s">
        <v>373</v>
      </c>
      <c r="K114" s="7">
        <v>2019</v>
      </c>
      <c r="L114" s="7" t="str">
        <f>IF(Y114&lt;&gt;"",Y114,IF(AND(K114&gt;=Hypothèses!$B$9,K114&lt;=Hypothèses!$B$10),"actuel",IF(K114=2030,"2030",IF(K114=2050,"2050","autre"))))</f>
        <v>autre</v>
      </c>
      <c r="M114" s="7"/>
      <c r="N114" s="7" t="s">
        <v>248</v>
      </c>
      <c r="O114" s="7"/>
      <c r="P114" s="7" t="s">
        <v>259</v>
      </c>
      <c r="Q114" s="7" t="s">
        <v>49</v>
      </c>
      <c r="R114" s="14">
        <f>INDEX(Hypothèses!$B$14:$B$22,MATCH(Q114,Hypothèses!$A$14:$A$22,0))</f>
        <v>1</v>
      </c>
      <c r="S114" s="17" t="str">
        <f t="shared" si="3"/>
        <v/>
      </c>
      <c r="T114" s="17">
        <f t="shared" si="4"/>
        <v>4.8410000000000002</v>
      </c>
      <c r="U114" s="17" t="str">
        <f t="shared" si="5"/>
        <v/>
      </c>
      <c r="V114" s="7" t="s">
        <v>373</v>
      </c>
      <c r="W114" s="7" t="s">
        <v>84</v>
      </c>
      <c r="X114" s="7" t="s">
        <v>250</v>
      </c>
      <c r="Y114" s="7"/>
      <c r="Z114" s="7"/>
      <c r="AA114" s="7">
        <f>IF(AND(Hypothèses!$B$12=1,Z114="Secondary_Source"),0,1)</f>
        <v>1</v>
      </c>
    </row>
    <row r="115" spans="1:27" x14ac:dyDescent="0.3">
      <c r="A115" s="7" t="s">
        <v>381</v>
      </c>
      <c r="B115" s="7" t="s">
        <v>78</v>
      </c>
      <c r="C115" s="7" t="s">
        <v>88</v>
      </c>
      <c r="D115" s="7" t="s">
        <v>244</v>
      </c>
      <c r="E115" s="7" t="s">
        <v>372</v>
      </c>
      <c r="F115" s="7" t="s">
        <v>258</v>
      </c>
      <c r="G115" s="17"/>
      <c r="H115" s="17">
        <v>2.0291000000000001</v>
      </c>
      <c r="I115" s="17"/>
      <c r="J115" s="7" t="s">
        <v>373</v>
      </c>
      <c r="K115" s="7">
        <v>2030</v>
      </c>
      <c r="L115" s="7" t="str">
        <f>IF(Y115&lt;&gt;"",Y115,IF(AND(K115&gt;=Hypothèses!$B$9,K115&lt;=Hypothèses!$B$10),"actuel",IF(K115=2030,"2030",IF(K115=2050,"2050","autre"))))</f>
        <v>2030</v>
      </c>
      <c r="M115" s="7"/>
      <c r="N115" s="7" t="s">
        <v>248</v>
      </c>
      <c r="O115" s="7"/>
      <c r="P115" s="7" t="s">
        <v>259</v>
      </c>
      <c r="Q115" s="7" t="s">
        <v>49</v>
      </c>
      <c r="R115" s="14">
        <f>INDEX(Hypothèses!$B$14:$B$22,MATCH(Q115,Hypothèses!$A$14:$A$22,0))</f>
        <v>1</v>
      </c>
      <c r="S115" s="17" t="str">
        <f t="shared" si="3"/>
        <v/>
      </c>
      <c r="T115" s="17">
        <f t="shared" si="4"/>
        <v>2.0291000000000001</v>
      </c>
      <c r="U115" s="17" t="str">
        <f t="shared" si="5"/>
        <v/>
      </c>
      <c r="V115" s="7" t="s">
        <v>373</v>
      </c>
      <c r="W115" s="7" t="s">
        <v>84</v>
      </c>
      <c r="X115" s="7" t="s">
        <v>250</v>
      </c>
      <c r="Y115" s="7"/>
      <c r="Z115" s="7"/>
      <c r="AA115" s="7">
        <f>IF(AND(Hypothèses!$B$12=1,Z115="Secondary_Source"),0,1)</f>
        <v>1</v>
      </c>
    </row>
    <row r="116" spans="1:27" x14ac:dyDescent="0.3">
      <c r="A116" s="7" t="s">
        <v>382</v>
      </c>
      <c r="B116" s="7" t="s">
        <v>78</v>
      </c>
      <c r="C116" s="7" t="s">
        <v>88</v>
      </c>
      <c r="D116" s="7" t="s">
        <v>244</v>
      </c>
      <c r="E116" s="7" t="s">
        <v>372</v>
      </c>
      <c r="F116" s="7" t="s">
        <v>258</v>
      </c>
      <c r="G116" s="17"/>
      <c r="H116" s="17">
        <v>1.133</v>
      </c>
      <c r="I116" s="17"/>
      <c r="J116" s="7" t="s">
        <v>373</v>
      </c>
      <c r="K116" s="7">
        <v>2050</v>
      </c>
      <c r="L116" s="7" t="str">
        <f>IF(Y116&lt;&gt;"",Y116,IF(AND(K116&gt;=Hypothèses!$B$9,K116&lt;=Hypothèses!$B$10),"actuel",IF(K116=2030,"2030",IF(K116=2050,"2050","autre"))))</f>
        <v>2050</v>
      </c>
      <c r="M116" s="7"/>
      <c r="N116" s="7" t="s">
        <v>248</v>
      </c>
      <c r="O116" s="7"/>
      <c r="P116" s="7" t="s">
        <v>259</v>
      </c>
      <c r="Q116" s="7" t="s">
        <v>49</v>
      </c>
      <c r="R116" s="14">
        <f>INDEX(Hypothèses!$B$14:$B$22,MATCH(Q116,Hypothèses!$A$14:$A$22,0))</f>
        <v>1</v>
      </c>
      <c r="S116" s="17" t="str">
        <f t="shared" si="3"/>
        <v/>
      </c>
      <c r="T116" s="17">
        <f t="shared" si="4"/>
        <v>1.133</v>
      </c>
      <c r="U116" s="17" t="str">
        <f t="shared" si="5"/>
        <v/>
      </c>
      <c r="V116" s="7" t="s">
        <v>373</v>
      </c>
      <c r="W116" s="7" t="s">
        <v>84</v>
      </c>
      <c r="X116" s="7" t="s">
        <v>250</v>
      </c>
      <c r="Y116" s="7"/>
      <c r="Z116" s="7"/>
      <c r="AA116" s="7">
        <f>IF(AND(Hypothèses!$B$12=1,Z116="Secondary_Source"),0,1)</f>
        <v>1</v>
      </c>
    </row>
    <row r="117" spans="1:27" x14ac:dyDescent="0.3">
      <c r="A117" s="7" t="s">
        <v>383</v>
      </c>
      <c r="B117" s="7" t="s">
        <v>78</v>
      </c>
      <c r="C117" s="7" t="s">
        <v>100</v>
      </c>
      <c r="D117" s="7" t="s">
        <v>244</v>
      </c>
      <c r="E117" s="7" t="s">
        <v>372</v>
      </c>
      <c r="F117" s="7" t="s">
        <v>258</v>
      </c>
      <c r="G117" s="17">
        <v>3.4114939</v>
      </c>
      <c r="H117" s="17">
        <v>5.1315733000000003</v>
      </c>
      <c r="I117" s="17">
        <v>7.21</v>
      </c>
      <c r="J117" s="7" t="s">
        <v>373</v>
      </c>
      <c r="K117" s="7">
        <v>2020</v>
      </c>
      <c r="L117" s="7" t="str">
        <f>IF(Y117&lt;&gt;"",Y117,IF(AND(K117&gt;=Hypothèses!$B$9,K117&lt;=Hypothèses!$B$10),"actuel",IF(K117=2030,"2030",IF(K117=2050,"2050","autre"))))</f>
        <v>actuel</v>
      </c>
      <c r="M117" s="7"/>
      <c r="N117" s="7" t="s">
        <v>248</v>
      </c>
      <c r="O117" s="7"/>
      <c r="P117" s="7" t="s">
        <v>282</v>
      </c>
      <c r="Q117" s="7" t="s">
        <v>49</v>
      </c>
      <c r="R117" s="14">
        <f>INDEX(Hypothèses!$B$14:$B$22,MATCH(Q117,Hypothèses!$A$14:$A$22,0))</f>
        <v>1</v>
      </c>
      <c r="S117" s="17">
        <f t="shared" si="3"/>
        <v>3.4114939</v>
      </c>
      <c r="T117" s="17">
        <f t="shared" si="4"/>
        <v>5.1315733000000003</v>
      </c>
      <c r="U117" s="17">
        <f t="shared" si="5"/>
        <v>7.21</v>
      </c>
      <c r="V117" s="7" t="s">
        <v>373</v>
      </c>
      <c r="W117" s="7" t="s">
        <v>84</v>
      </c>
      <c r="X117" s="7" t="s">
        <v>250</v>
      </c>
      <c r="Y117" s="7"/>
      <c r="Z117" s="7"/>
      <c r="AA117" s="7">
        <f>IF(AND(Hypothèses!$B$12=1,Z117="Secondary_Source"),0,1)</f>
        <v>1</v>
      </c>
    </row>
    <row r="118" spans="1:27" x14ac:dyDescent="0.3">
      <c r="A118" s="7" t="s">
        <v>384</v>
      </c>
      <c r="B118" s="7" t="s">
        <v>78</v>
      </c>
      <c r="C118" s="7" t="s">
        <v>100</v>
      </c>
      <c r="D118" s="7" t="s">
        <v>244</v>
      </c>
      <c r="E118" s="7" t="s">
        <v>372</v>
      </c>
      <c r="F118" s="7" t="s">
        <v>258</v>
      </c>
      <c r="G118" s="17">
        <v>1.7344170000000001</v>
      </c>
      <c r="H118" s="17">
        <v>2.4081090999999999</v>
      </c>
      <c r="I118" s="17">
        <v>7.1096573999999997</v>
      </c>
      <c r="J118" s="7" t="s">
        <v>373</v>
      </c>
      <c r="K118" s="7">
        <v>2030</v>
      </c>
      <c r="L118" s="7" t="str">
        <f>IF(Y118&lt;&gt;"",Y118,IF(AND(K118&gt;=Hypothèses!$B$9,K118&lt;=Hypothèses!$B$10),"actuel",IF(K118=2030,"2030",IF(K118=2050,"2050","autre"))))</f>
        <v>2030</v>
      </c>
      <c r="M118" s="7"/>
      <c r="N118" s="7" t="s">
        <v>248</v>
      </c>
      <c r="O118" s="7"/>
      <c r="P118" s="7" t="s">
        <v>282</v>
      </c>
      <c r="Q118" s="7" t="s">
        <v>49</v>
      </c>
      <c r="R118" s="14">
        <f>INDEX(Hypothèses!$B$14:$B$22,MATCH(Q118,Hypothèses!$A$14:$A$22,0))</f>
        <v>1</v>
      </c>
      <c r="S118" s="17">
        <f t="shared" si="3"/>
        <v>1.7344170000000001</v>
      </c>
      <c r="T118" s="17">
        <f t="shared" si="4"/>
        <v>2.4081090999999999</v>
      </c>
      <c r="U118" s="17">
        <f t="shared" si="5"/>
        <v>7.1096573999999997</v>
      </c>
      <c r="V118" s="7" t="s">
        <v>373</v>
      </c>
      <c r="W118" s="7" t="s">
        <v>84</v>
      </c>
      <c r="X118" s="7" t="s">
        <v>250</v>
      </c>
      <c r="Y118" s="7"/>
      <c r="Z118" s="7"/>
      <c r="AA118" s="7">
        <f>IF(AND(Hypothèses!$B$12=1,Z118="Secondary_Source"),0,1)</f>
        <v>1</v>
      </c>
    </row>
    <row r="119" spans="1:27" x14ac:dyDescent="0.3">
      <c r="A119" s="7" t="s">
        <v>385</v>
      </c>
      <c r="B119" s="7" t="s">
        <v>78</v>
      </c>
      <c r="C119" s="7" t="s">
        <v>100</v>
      </c>
      <c r="D119" s="7" t="s">
        <v>244</v>
      </c>
      <c r="E119" s="7" t="s">
        <v>372</v>
      </c>
      <c r="F119" s="7" t="s">
        <v>258</v>
      </c>
      <c r="G119" s="17">
        <v>1.3760593999999999</v>
      </c>
      <c r="H119" s="17">
        <v>2.0640993999999999</v>
      </c>
      <c r="I119" s="17">
        <v>6.1779503</v>
      </c>
      <c r="J119" s="7" t="s">
        <v>373</v>
      </c>
      <c r="K119" s="7">
        <v>2050</v>
      </c>
      <c r="L119" s="7" t="str">
        <f>IF(Y119&lt;&gt;"",Y119,IF(AND(K119&gt;=Hypothèses!$B$9,K119&lt;=Hypothèses!$B$10),"actuel",IF(K119=2030,"2030",IF(K119=2050,"2050","autre"))))</f>
        <v>2050</v>
      </c>
      <c r="M119" s="7"/>
      <c r="N119" s="7" t="s">
        <v>248</v>
      </c>
      <c r="O119" s="7"/>
      <c r="P119" s="7" t="s">
        <v>282</v>
      </c>
      <c r="Q119" s="7" t="s">
        <v>49</v>
      </c>
      <c r="R119" s="14">
        <f>INDEX(Hypothèses!$B$14:$B$22,MATCH(Q119,Hypothèses!$A$14:$A$22,0))</f>
        <v>1</v>
      </c>
      <c r="S119" s="17">
        <f t="shared" si="3"/>
        <v>1.3760593999999999</v>
      </c>
      <c r="T119" s="17">
        <f t="shared" si="4"/>
        <v>2.0640993999999999</v>
      </c>
      <c r="U119" s="17">
        <f t="shared" si="5"/>
        <v>6.1779503</v>
      </c>
      <c r="V119" s="7" t="s">
        <v>373</v>
      </c>
      <c r="W119" s="7" t="s">
        <v>84</v>
      </c>
      <c r="X119" s="7" t="s">
        <v>250</v>
      </c>
      <c r="Y119" s="7"/>
      <c r="Z119" s="7"/>
      <c r="AA119" s="7">
        <f>IF(AND(Hypothèses!$B$12=1,Z119="Secondary_Source"),0,1)</f>
        <v>1</v>
      </c>
    </row>
    <row r="120" spans="1:27" x14ac:dyDescent="0.3">
      <c r="A120" s="7" t="s">
        <v>386</v>
      </c>
      <c r="B120" s="7" t="s">
        <v>78</v>
      </c>
      <c r="C120" s="7" t="s">
        <v>106</v>
      </c>
      <c r="D120" s="7" t="s">
        <v>244</v>
      </c>
      <c r="E120" s="7" t="s">
        <v>372</v>
      </c>
      <c r="F120" s="7" t="s">
        <v>258</v>
      </c>
      <c r="G120" s="17"/>
      <c r="H120" s="17">
        <v>3.79863697903986</v>
      </c>
      <c r="I120" s="17"/>
      <c r="J120" s="7" t="s">
        <v>373</v>
      </c>
      <c r="K120" s="7">
        <v>2020</v>
      </c>
      <c r="L120" s="7" t="str">
        <f>IF(Y120&lt;&gt;"",Y120,IF(AND(K120&gt;=Hypothèses!$B$9,K120&lt;=Hypothèses!$B$10),"actuel",IF(K120=2030,"2030",IF(K120=2050,"2050","autre"))))</f>
        <v>actuel</v>
      </c>
      <c r="M120" s="7"/>
      <c r="N120" s="7" t="s">
        <v>248</v>
      </c>
      <c r="O120" s="7"/>
      <c r="P120" s="7" t="s">
        <v>290</v>
      </c>
      <c r="Q120" s="7" t="s">
        <v>49</v>
      </c>
      <c r="R120" s="14">
        <f>INDEX(Hypothèses!$B$14:$B$22,MATCH(Q120,Hypothèses!$A$14:$A$22,0))</f>
        <v>1</v>
      </c>
      <c r="S120" s="17" t="str">
        <f t="shared" si="3"/>
        <v/>
      </c>
      <c r="T120" s="17">
        <f t="shared" si="4"/>
        <v>3.79863697903986</v>
      </c>
      <c r="U120" s="17" t="str">
        <f t="shared" si="5"/>
        <v/>
      </c>
      <c r="V120" s="7" t="s">
        <v>373</v>
      </c>
      <c r="W120" s="7" t="s">
        <v>84</v>
      </c>
      <c r="X120" s="7" t="s">
        <v>250</v>
      </c>
      <c r="Y120" s="7"/>
      <c r="Z120" s="7"/>
      <c r="AA120" s="7">
        <f>IF(AND(Hypothèses!$B$12=1,Z120="Secondary_Source"),0,1)</f>
        <v>1</v>
      </c>
    </row>
    <row r="121" spans="1:27" x14ac:dyDescent="0.3">
      <c r="A121" s="7" t="s">
        <v>387</v>
      </c>
      <c r="B121" s="7" t="s">
        <v>78</v>
      </c>
      <c r="C121" s="7" t="s">
        <v>106</v>
      </c>
      <c r="D121" s="7" t="s">
        <v>244</v>
      </c>
      <c r="E121" s="7" t="s">
        <v>372</v>
      </c>
      <c r="F121" s="7" t="s">
        <v>258</v>
      </c>
      <c r="G121" s="17"/>
      <c r="H121" s="17">
        <v>1.74263825075913</v>
      </c>
      <c r="I121" s="17"/>
      <c r="J121" s="7" t="s">
        <v>373</v>
      </c>
      <c r="K121" s="7">
        <v>2025</v>
      </c>
      <c r="L121" s="7" t="str">
        <f>IF(Y121&lt;&gt;"",Y121,IF(AND(K121&gt;=Hypothèses!$B$9,K121&lt;=Hypothèses!$B$10),"actuel",IF(K121=2030,"2030",IF(K121=2050,"2050","autre"))))</f>
        <v>actuel</v>
      </c>
      <c r="M121" s="7"/>
      <c r="N121" s="7" t="s">
        <v>248</v>
      </c>
      <c r="O121" s="7"/>
      <c r="P121" s="7" t="s">
        <v>290</v>
      </c>
      <c r="Q121" s="7" t="s">
        <v>49</v>
      </c>
      <c r="R121" s="14">
        <f>INDEX(Hypothèses!$B$14:$B$22,MATCH(Q121,Hypothèses!$A$14:$A$22,0))</f>
        <v>1</v>
      </c>
      <c r="S121" s="17" t="str">
        <f t="shared" si="3"/>
        <v/>
      </c>
      <c r="T121" s="17">
        <f t="shared" si="4"/>
        <v>1.74263825075913</v>
      </c>
      <c r="U121" s="17" t="str">
        <f t="shared" si="5"/>
        <v/>
      </c>
      <c r="V121" s="7" t="s">
        <v>373</v>
      </c>
      <c r="W121" s="7" t="s">
        <v>84</v>
      </c>
      <c r="X121" s="7" t="s">
        <v>250</v>
      </c>
      <c r="Y121" s="7"/>
      <c r="Z121" s="7"/>
      <c r="AA121" s="7">
        <f>IF(AND(Hypothèses!$B$12=1,Z121="Secondary_Source"),0,1)</f>
        <v>1</v>
      </c>
    </row>
    <row r="122" spans="1:27" x14ac:dyDescent="0.3">
      <c r="A122" s="7" t="s">
        <v>388</v>
      </c>
      <c r="B122" s="7" t="s">
        <v>78</v>
      </c>
      <c r="C122" s="7" t="s">
        <v>106</v>
      </c>
      <c r="D122" s="7" t="s">
        <v>244</v>
      </c>
      <c r="E122" s="7" t="s">
        <v>372</v>
      </c>
      <c r="F122" s="7" t="s">
        <v>258</v>
      </c>
      <c r="G122" s="17"/>
      <c r="H122" s="17">
        <v>1.1647040352020499</v>
      </c>
      <c r="I122" s="17"/>
      <c r="J122" s="7" t="s">
        <v>373</v>
      </c>
      <c r="K122" s="7">
        <v>2030</v>
      </c>
      <c r="L122" s="7" t="str">
        <f>IF(Y122&lt;&gt;"",Y122,IF(AND(K122&gt;=Hypothèses!$B$9,K122&lt;=Hypothèses!$B$10),"actuel",IF(K122=2030,"2030",IF(K122=2050,"2050","autre"))))</f>
        <v>2030</v>
      </c>
      <c r="M122" s="7"/>
      <c r="N122" s="7" t="s">
        <v>248</v>
      </c>
      <c r="O122" s="7"/>
      <c r="P122" s="7" t="s">
        <v>290</v>
      </c>
      <c r="Q122" s="7" t="s">
        <v>49</v>
      </c>
      <c r="R122" s="14">
        <f>INDEX(Hypothèses!$B$14:$B$22,MATCH(Q122,Hypothèses!$A$14:$A$22,0))</f>
        <v>1</v>
      </c>
      <c r="S122" s="17" t="str">
        <f t="shared" si="3"/>
        <v/>
      </c>
      <c r="T122" s="17">
        <f t="shared" si="4"/>
        <v>1.1647040352020499</v>
      </c>
      <c r="U122" s="17" t="str">
        <f t="shared" si="5"/>
        <v/>
      </c>
      <c r="V122" s="7" t="s">
        <v>373</v>
      </c>
      <c r="W122" s="7" t="s">
        <v>84</v>
      </c>
      <c r="X122" s="7" t="s">
        <v>250</v>
      </c>
      <c r="Y122" s="7"/>
      <c r="Z122" s="7"/>
      <c r="AA122" s="7">
        <f>IF(AND(Hypothèses!$B$12=1,Z122="Secondary_Source"),0,1)</f>
        <v>1</v>
      </c>
    </row>
    <row r="123" spans="1:27" x14ac:dyDescent="0.3">
      <c r="A123" s="7" t="s">
        <v>389</v>
      </c>
      <c r="B123" s="7" t="s">
        <v>78</v>
      </c>
      <c r="C123" s="7" t="s">
        <v>106</v>
      </c>
      <c r="D123" s="7" t="s">
        <v>244</v>
      </c>
      <c r="E123" s="7" t="s">
        <v>372</v>
      </c>
      <c r="F123" s="7" t="s">
        <v>258</v>
      </c>
      <c r="G123" s="17"/>
      <c r="H123" s="17">
        <v>0.73592212245002597</v>
      </c>
      <c r="I123" s="17"/>
      <c r="J123" s="7" t="s">
        <v>373</v>
      </c>
      <c r="K123" s="7">
        <v>2050</v>
      </c>
      <c r="L123" s="7" t="str">
        <f>IF(Y123&lt;&gt;"",Y123,IF(AND(K123&gt;=Hypothèses!$B$9,K123&lt;=Hypothèses!$B$10),"actuel",IF(K123=2030,"2030",IF(K123=2050,"2050","autre"))))</f>
        <v>2050</v>
      </c>
      <c r="M123" s="7"/>
      <c r="N123" s="7" t="s">
        <v>248</v>
      </c>
      <c r="O123" s="7"/>
      <c r="P123" s="7" t="s">
        <v>290</v>
      </c>
      <c r="Q123" s="7" t="s">
        <v>49</v>
      </c>
      <c r="R123" s="14">
        <f>INDEX(Hypothèses!$B$14:$B$22,MATCH(Q123,Hypothèses!$A$14:$A$22,0))</f>
        <v>1</v>
      </c>
      <c r="S123" s="17" t="str">
        <f t="shared" si="3"/>
        <v/>
      </c>
      <c r="T123" s="17">
        <f t="shared" si="4"/>
        <v>0.73592212245002597</v>
      </c>
      <c r="U123" s="17" t="str">
        <f t="shared" si="5"/>
        <v/>
      </c>
      <c r="V123" s="7" t="s">
        <v>373</v>
      </c>
      <c r="W123" s="7" t="s">
        <v>84</v>
      </c>
      <c r="X123" s="7" t="s">
        <v>250</v>
      </c>
      <c r="Y123" s="7"/>
      <c r="Z123" s="7"/>
      <c r="AA123" s="7">
        <f>IF(AND(Hypothèses!$B$12=1,Z123="Secondary_Source"),0,1)</f>
        <v>1</v>
      </c>
    </row>
    <row r="124" spans="1:27" x14ac:dyDescent="0.3">
      <c r="A124" s="7" t="s">
        <v>390</v>
      </c>
      <c r="B124" s="7" t="s">
        <v>78</v>
      </c>
      <c r="C124" s="7" t="s">
        <v>108</v>
      </c>
      <c r="D124" s="7" t="s">
        <v>244</v>
      </c>
      <c r="E124" s="7" t="s">
        <v>372</v>
      </c>
      <c r="F124" s="7" t="s">
        <v>258</v>
      </c>
      <c r="G124" s="17"/>
      <c r="H124" s="17">
        <v>8.8051891950715397</v>
      </c>
      <c r="I124" s="17"/>
      <c r="J124" s="7" t="s">
        <v>373</v>
      </c>
      <c r="K124" s="7">
        <v>2020</v>
      </c>
      <c r="L124" s="7" t="str">
        <f>IF(Y124&lt;&gt;"",Y124,IF(AND(K124&gt;=Hypothèses!$B$9,K124&lt;=Hypothèses!$B$10),"actuel",IF(K124=2030,"2030",IF(K124=2050,"2050","autre"))))</f>
        <v>actuel</v>
      </c>
      <c r="M124" s="7"/>
      <c r="N124" s="7" t="s">
        <v>248</v>
      </c>
      <c r="O124" s="7"/>
      <c r="P124" s="7" t="s">
        <v>295</v>
      </c>
      <c r="Q124" s="7" t="s">
        <v>49</v>
      </c>
      <c r="R124" s="14">
        <f>INDEX(Hypothèses!$B$14:$B$22,MATCH(Q124,Hypothèses!$A$14:$A$22,0))</f>
        <v>1</v>
      </c>
      <c r="S124" s="17" t="str">
        <f t="shared" si="3"/>
        <v/>
      </c>
      <c r="T124" s="17">
        <f t="shared" si="4"/>
        <v>8.8051891950715397</v>
      </c>
      <c r="U124" s="17" t="str">
        <f t="shared" si="5"/>
        <v/>
      </c>
      <c r="V124" s="7" t="s">
        <v>373</v>
      </c>
      <c r="W124" s="7" t="s">
        <v>84</v>
      </c>
      <c r="X124" s="7" t="s">
        <v>250</v>
      </c>
      <c r="Y124" s="7"/>
      <c r="Z124" s="7"/>
      <c r="AA124" s="7">
        <f>IF(AND(Hypothèses!$B$12=1,Z124="Secondary_Source"),0,1)</f>
        <v>1</v>
      </c>
    </row>
    <row r="125" spans="1:27" x14ac:dyDescent="0.3">
      <c r="A125" s="7" t="s">
        <v>391</v>
      </c>
      <c r="B125" s="7" t="s">
        <v>78</v>
      </c>
      <c r="C125" s="7" t="s">
        <v>108</v>
      </c>
      <c r="D125" s="7" t="s">
        <v>244</v>
      </c>
      <c r="E125" s="7" t="s">
        <v>372</v>
      </c>
      <c r="F125" s="7" t="s">
        <v>258</v>
      </c>
      <c r="G125" s="17"/>
      <c r="H125" s="17">
        <v>9.0608831995452892</v>
      </c>
      <c r="I125" s="17"/>
      <c r="J125" s="7" t="s">
        <v>373</v>
      </c>
      <c r="K125" s="7">
        <v>2025</v>
      </c>
      <c r="L125" s="7" t="str">
        <f>IF(Y125&lt;&gt;"",Y125,IF(AND(K125&gt;=Hypothèses!$B$9,K125&lt;=Hypothèses!$B$10),"actuel",IF(K125=2030,"2030",IF(K125=2050,"2050","autre"))))</f>
        <v>actuel</v>
      </c>
      <c r="M125" s="7"/>
      <c r="N125" s="7" t="s">
        <v>248</v>
      </c>
      <c r="O125" s="7"/>
      <c r="P125" s="7" t="s">
        <v>295</v>
      </c>
      <c r="Q125" s="7" t="s">
        <v>49</v>
      </c>
      <c r="R125" s="14">
        <f>INDEX(Hypothèses!$B$14:$B$22,MATCH(Q125,Hypothèses!$A$14:$A$22,0))</f>
        <v>1</v>
      </c>
      <c r="S125" s="17" t="str">
        <f t="shared" si="3"/>
        <v/>
      </c>
      <c r="T125" s="17">
        <f t="shared" si="4"/>
        <v>9.0608831995452892</v>
      </c>
      <c r="U125" s="17" t="str">
        <f t="shared" si="5"/>
        <v/>
      </c>
      <c r="V125" s="7" t="s">
        <v>373</v>
      </c>
      <c r="W125" s="7" t="s">
        <v>84</v>
      </c>
      <c r="X125" s="7" t="s">
        <v>250</v>
      </c>
      <c r="Y125" s="7"/>
      <c r="Z125" s="7"/>
      <c r="AA125" s="7">
        <f>IF(AND(Hypothèses!$B$12=1,Z125="Secondary_Source"),0,1)</f>
        <v>1</v>
      </c>
    </row>
    <row r="126" spans="1:27" x14ac:dyDescent="0.3">
      <c r="A126" s="7" t="s">
        <v>392</v>
      </c>
      <c r="B126" s="7" t="s">
        <v>78</v>
      </c>
      <c r="C126" s="7" t="s">
        <v>108</v>
      </c>
      <c r="D126" s="7" t="s">
        <v>244</v>
      </c>
      <c r="E126" s="7" t="s">
        <v>372</v>
      </c>
      <c r="F126" s="7" t="s">
        <v>258</v>
      </c>
      <c r="G126" s="17"/>
      <c r="H126" s="17">
        <v>9.0703209823488304</v>
      </c>
      <c r="I126" s="17"/>
      <c r="J126" s="7" t="s">
        <v>373</v>
      </c>
      <c r="K126" s="7">
        <v>2030</v>
      </c>
      <c r="L126" s="7" t="str">
        <f>IF(Y126&lt;&gt;"",Y126,IF(AND(K126&gt;=Hypothèses!$B$9,K126&lt;=Hypothèses!$B$10),"actuel",IF(K126=2030,"2030",IF(K126=2050,"2050","autre"))))</f>
        <v>2030</v>
      </c>
      <c r="M126" s="7"/>
      <c r="N126" s="7" t="s">
        <v>248</v>
      </c>
      <c r="O126" s="7"/>
      <c r="P126" s="7" t="s">
        <v>295</v>
      </c>
      <c r="Q126" s="7" t="s">
        <v>49</v>
      </c>
      <c r="R126" s="14">
        <f>INDEX(Hypothèses!$B$14:$B$22,MATCH(Q126,Hypothèses!$A$14:$A$22,0))</f>
        <v>1</v>
      </c>
      <c r="S126" s="17" t="str">
        <f t="shared" si="3"/>
        <v/>
      </c>
      <c r="T126" s="17">
        <f t="shared" si="4"/>
        <v>9.0703209823488304</v>
      </c>
      <c r="U126" s="17" t="str">
        <f t="shared" si="5"/>
        <v/>
      </c>
      <c r="V126" s="7" t="s">
        <v>373</v>
      </c>
      <c r="W126" s="7" t="s">
        <v>84</v>
      </c>
      <c r="X126" s="7" t="s">
        <v>250</v>
      </c>
      <c r="Y126" s="7"/>
      <c r="Z126" s="7"/>
      <c r="AA126" s="7">
        <f>IF(AND(Hypothèses!$B$12=1,Z126="Secondary_Source"),0,1)</f>
        <v>1</v>
      </c>
    </row>
    <row r="127" spans="1:27" x14ac:dyDescent="0.3">
      <c r="A127" s="7" t="s">
        <v>393</v>
      </c>
      <c r="B127" s="7" t="s">
        <v>78</v>
      </c>
      <c r="C127" s="7" t="s">
        <v>108</v>
      </c>
      <c r="D127" s="7" t="s">
        <v>244</v>
      </c>
      <c r="E127" s="7" t="s">
        <v>372</v>
      </c>
      <c r="F127" s="7" t="s">
        <v>258</v>
      </c>
      <c r="G127" s="17"/>
      <c r="H127" s="17">
        <v>8.9945565592870604</v>
      </c>
      <c r="I127" s="17"/>
      <c r="J127" s="7" t="s">
        <v>373</v>
      </c>
      <c r="K127" s="7">
        <v>2035</v>
      </c>
      <c r="L127" s="7" t="str">
        <f>IF(Y127&lt;&gt;"",Y127,IF(AND(K127&gt;=Hypothèses!$B$9,K127&lt;=Hypothèses!$B$10),"actuel",IF(K127=2030,"2030",IF(K127=2050,"2050","autre"))))</f>
        <v>autre</v>
      </c>
      <c r="M127" s="7"/>
      <c r="N127" s="7" t="s">
        <v>248</v>
      </c>
      <c r="O127" s="7"/>
      <c r="P127" s="7" t="s">
        <v>295</v>
      </c>
      <c r="Q127" s="7" t="s">
        <v>49</v>
      </c>
      <c r="R127" s="14">
        <f>INDEX(Hypothèses!$B$14:$B$22,MATCH(Q127,Hypothèses!$A$14:$A$22,0))</f>
        <v>1</v>
      </c>
      <c r="S127" s="17" t="str">
        <f t="shared" si="3"/>
        <v/>
      </c>
      <c r="T127" s="17">
        <f t="shared" si="4"/>
        <v>8.9945565592870604</v>
      </c>
      <c r="U127" s="17" t="str">
        <f t="shared" si="5"/>
        <v/>
      </c>
      <c r="V127" s="7" t="s">
        <v>373</v>
      </c>
      <c r="W127" s="7" t="s">
        <v>84</v>
      </c>
      <c r="X127" s="7" t="s">
        <v>250</v>
      </c>
      <c r="Y127" s="7"/>
      <c r="Z127" s="7"/>
      <c r="AA127" s="7">
        <f>IF(AND(Hypothèses!$B$12=1,Z127="Secondary_Source"),0,1)</f>
        <v>1</v>
      </c>
    </row>
    <row r="128" spans="1:27" x14ac:dyDescent="0.3">
      <c r="A128" s="7" t="s">
        <v>394</v>
      </c>
      <c r="B128" s="7" t="s">
        <v>78</v>
      </c>
      <c r="C128" s="7" t="s">
        <v>108</v>
      </c>
      <c r="D128" s="7" t="s">
        <v>244</v>
      </c>
      <c r="E128" s="7" t="s">
        <v>372</v>
      </c>
      <c r="F128" s="7" t="s">
        <v>258</v>
      </c>
      <c r="G128" s="17"/>
      <c r="H128" s="17">
        <v>8.7673506769795608</v>
      </c>
      <c r="I128" s="17"/>
      <c r="J128" s="7" t="s">
        <v>373</v>
      </c>
      <c r="K128" s="7">
        <v>2040</v>
      </c>
      <c r="L128" s="7" t="str">
        <f>IF(Y128&lt;&gt;"",Y128,IF(AND(K128&gt;=Hypothèses!$B$9,K128&lt;=Hypothèses!$B$10),"actuel",IF(K128=2030,"2030",IF(K128=2050,"2050","autre"))))</f>
        <v>autre</v>
      </c>
      <c r="M128" s="7"/>
      <c r="N128" s="7" t="s">
        <v>248</v>
      </c>
      <c r="O128" s="7"/>
      <c r="P128" s="7" t="s">
        <v>295</v>
      </c>
      <c r="Q128" s="7" t="s">
        <v>49</v>
      </c>
      <c r="R128" s="14">
        <f>INDEX(Hypothèses!$B$14:$B$22,MATCH(Q128,Hypothèses!$A$14:$A$22,0))</f>
        <v>1</v>
      </c>
      <c r="S128" s="17" t="str">
        <f t="shared" si="3"/>
        <v/>
      </c>
      <c r="T128" s="17">
        <f t="shared" si="4"/>
        <v>8.7673506769795608</v>
      </c>
      <c r="U128" s="17" t="str">
        <f t="shared" si="5"/>
        <v/>
      </c>
      <c r="V128" s="7" t="s">
        <v>373</v>
      </c>
      <c r="W128" s="7" t="s">
        <v>84</v>
      </c>
      <c r="X128" s="7" t="s">
        <v>250</v>
      </c>
      <c r="Y128" s="7"/>
      <c r="Z128" s="7"/>
      <c r="AA128" s="7">
        <f>IF(AND(Hypothèses!$B$12=1,Z128="Secondary_Source"),0,1)</f>
        <v>1</v>
      </c>
    </row>
    <row r="129" spans="1:27" x14ac:dyDescent="0.3">
      <c r="A129" s="7" t="s">
        <v>395</v>
      </c>
      <c r="B129" s="7" t="s">
        <v>78</v>
      </c>
      <c r="C129" s="7" t="s">
        <v>108</v>
      </c>
      <c r="D129" s="7" t="s">
        <v>244</v>
      </c>
      <c r="E129" s="7" t="s">
        <v>372</v>
      </c>
      <c r="F129" s="7" t="s">
        <v>258</v>
      </c>
      <c r="G129" s="17"/>
      <c r="H129" s="17">
        <v>8.4833083693440603</v>
      </c>
      <c r="I129" s="17"/>
      <c r="J129" s="7" t="s">
        <v>373</v>
      </c>
      <c r="K129" s="7">
        <v>2045</v>
      </c>
      <c r="L129" s="7" t="str">
        <f>IF(Y129&lt;&gt;"",Y129,IF(AND(K129&gt;=Hypothèses!$B$9,K129&lt;=Hypothèses!$B$10),"actuel",IF(K129=2030,"2030",IF(K129=2050,"2050","autre"))))</f>
        <v>autre</v>
      </c>
      <c r="M129" s="7"/>
      <c r="N129" s="7" t="s">
        <v>248</v>
      </c>
      <c r="O129" s="7"/>
      <c r="P129" s="7" t="s">
        <v>295</v>
      </c>
      <c r="Q129" s="7" t="s">
        <v>49</v>
      </c>
      <c r="R129" s="14">
        <f>INDEX(Hypothèses!$B$14:$B$22,MATCH(Q129,Hypothèses!$A$14:$A$22,0))</f>
        <v>1</v>
      </c>
      <c r="S129" s="17" t="str">
        <f t="shared" si="3"/>
        <v/>
      </c>
      <c r="T129" s="17">
        <f t="shared" si="4"/>
        <v>8.4833083693440603</v>
      </c>
      <c r="U129" s="17" t="str">
        <f t="shared" si="5"/>
        <v/>
      </c>
      <c r="V129" s="7" t="s">
        <v>373</v>
      </c>
      <c r="W129" s="7" t="s">
        <v>84</v>
      </c>
      <c r="X129" s="7" t="s">
        <v>250</v>
      </c>
      <c r="Y129" s="7"/>
      <c r="Z129" s="7"/>
      <c r="AA129" s="7">
        <f>IF(AND(Hypothèses!$B$12=1,Z129="Secondary_Source"),0,1)</f>
        <v>1</v>
      </c>
    </row>
    <row r="130" spans="1:27" x14ac:dyDescent="0.3">
      <c r="A130" s="7" t="s">
        <v>396</v>
      </c>
      <c r="B130" s="7" t="s">
        <v>78</v>
      </c>
      <c r="C130" s="7" t="s">
        <v>108</v>
      </c>
      <c r="D130" s="7" t="s">
        <v>244</v>
      </c>
      <c r="E130" s="7" t="s">
        <v>372</v>
      </c>
      <c r="F130" s="7" t="s">
        <v>258</v>
      </c>
      <c r="G130" s="17"/>
      <c r="H130" s="17">
        <v>8.2371395345516696</v>
      </c>
      <c r="I130" s="17"/>
      <c r="J130" s="7" t="s">
        <v>373</v>
      </c>
      <c r="K130" s="7">
        <v>2050</v>
      </c>
      <c r="L130" s="7" t="str">
        <f>IF(Y130&lt;&gt;"",Y130,IF(AND(K130&gt;=Hypothèses!$B$9,K130&lt;=Hypothèses!$B$10),"actuel",IF(K130=2030,"2030",IF(K130=2050,"2050","autre"))))</f>
        <v>2050</v>
      </c>
      <c r="M130" s="7"/>
      <c r="N130" s="7" t="s">
        <v>248</v>
      </c>
      <c r="O130" s="7"/>
      <c r="P130" s="7" t="s">
        <v>295</v>
      </c>
      <c r="Q130" s="7" t="s">
        <v>49</v>
      </c>
      <c r="R130" s="14">
        <f>INDEX(Hypothèses!$B$14:$B$22,MATCH(Q130,Hypothèses!$A$14:$A$22,0))</f>
        <v>1</v>
      </c>
      <c r="S130" s="17" t="str">
        <f t="shared" ref="S130:S193" si="6">IF(G130="","",G130*R130)</f>
        <v/>
      </c>
      <c r="T130" s="17">
        <f t="shared" ref="T130:T193" si="7">IF(H130="","",H130*R130)</f>
        <v>8.2371395345516696</v>
      </c>
      <c r="U130" s="17" t="str">
        <f t="shared" ref="U130:U193" si="8">IF(I130="","",I130*R130)</f>
        <v/>
      </c>
      <c r="V130" s="7" t="s">
        <v>373</v>
      </c>
      <c r="W130" s="7" t="s">
        <v>84</v>
      </c>
      <c r="X130" s="7" t="s">
        <v>250</v>
      </c>
      <c r="Y130" s="7"/>
      <c r="Z130" s="7"/>
      <c r="AA130" s="7">
        <f>IF(AND(Hypothèses!$B$12=1,Z130="Secondary_Source"),0,1)</f>
        <v>1</v>
      </c>
    </row>
    <row r="131" spans="1:27" x14ac:dyDescent="0.3">
      <c r="A131" s="7" t="s">
        <v>397</v>
      </c>
      <c r="B131" s="7" t="s">
        <v>78</v>
      </c>
      <c r="C131" s="7" t="s">
        <v>114</v>
      </c>
      <c r="D131" s="7" t="s">
        <v>244</v>
      </c>
      <c r="E131" s="7" t="s">
        <v>372</v>
      </c>
      <c r="F131" s="7" t="s">
        <v>258</v>
      </c>
      <c r="G131" s="17"/>
      <c r="H131" s="17">
        <v>4.7137950000000002</v>
      </c>
      <c r="I131" s="17"/>
      <c r="J131" s="7" t="s">
        <v>373</v>
      </c>
      <c r="K131" s="7">
        <v>2020</v>
      </c>
      <c r="L131" s="7" t="str">
        <f>IF(Y131&lt;&gt;"",Y131,IF(AND(K131&gt;=Hypothèses!$B$9,K131&lt;=Hypothèses!$B$10),"actuel",IF(K131=2030,"2030",IF(K131=2050,"2050","autre"))))</f>
        <v>actuel</v>
      </c>
      <c r="M131" s="7"/>
      <c r="N131" s="7" t="s">
        <v>248</v>
      </c>
      <c r="O131" s="7"/>
      <c r="P131" s="7" t="s">
        <v>335</v>
      </c>
      <c r="Q131" s="7" t="s">
        <v>49</v>
      </c>
      <c r="R131" s="14">
        <f>INDEX(Hypothèses!$B$14:$B$22,MATCH(Q131,Hypothèses!$A$14:$A$22,0))</f>
        <v>1</v>
      </c>
      <c r="S131" s="17" t="str">
        <f t="shared" si="6"/>
        <v/>
      </c>
      <c r="T131" s="17">
        <f t="shared" si="7"/>
        <v>4.7137950000000002</v>
      </c>
      <c r="U131" s="17" t="str">
        <f t="shared" si="8"/>
        <v/>
      </c>
      <c r="V131" s="7" t="s">
        <v>373</v>
      </c>
      <c r="W131" s="7" t="s">
        <v>84</v>
      </c>
      <c r="X131" s="7" t="s">
        <v>250</v>
      </c>
      <c r="Y131" s="7"/>
      <c r="Z131" s="7"/>
      <c r="AA131" s="7">
        <f>IF(AND(Hypothèses!$B$12=1,Z131="Secondary_Source"),0,1)</f>
        <v>1</v>
      </c>
    </row>
    <row r="132" spans="1:27" x14ac:dyDescent="0.3">
      <c r="A132" s="7" t="s">
        <v>398</v>
      </c>
      <c r="B132" s="7" t="s">
        <v>78</v>
      </c>
      <c r="C132" s="7" t="s">
        <v>114</v>
      </c>
      <c r="D132" s="7" t="s">
        <v>244</v>
      </c>
      <c r="E132" s="7" t="s">
        <v>372</v>
      </c>
      <c r="F132" s="7" t="s">
        <v>258</v>
      </c>
      <c r="G132" s="17"/>
      <c r="H132" s="17">
        <v>2.3294891999999998</v>
      </c>
      <c r="I132" s="17"/>
      <c r="J132" s="7" t="s">
        <v>373</v>
      </c>
      <c r="K132" s="7">
        <v>2030</v>
      </c>
      <c r="L132" s="7" t="str">
        <f>IF(Y132&lt;&gt;"",Y132,IF(AND(K132&gt;=Hypothèses!$B$9,K132&lt;=Hypothèses!$B$10),"actuel",IF(K132=2030,"2030",IF(K132=2050,"2050","autre"))))</f>
        <v>2030</v>
      </c>
      <c r="M132" s="7"/>
      <c r="N132" s="7" t="s">
        <v>248</v>
      </c>
      <c r="O132" s="7"/>
      <c r="P132" s="7" t="s">
        <v>335</v>
      </c>
      <c r="Q132" s="7" t="s">
        <v>49</v>
      </c>
      <c r="R132" s="14">
        <f>INDEX(Hypothèses!$B$14:$B$22,MATCH(Q132,Hypothèses!$A$14:$A$22,0))</f>
        <v>1</v>
      </c>
      <c r="S132" s="17" t="str">
        <f t="shared" si="6"/>
        <v/>
      </c>
      <c r="T132" s="17">
        <f t="shared" si="7"/>
        <v>2.3294891999999998</v>
      </c>
      <c r="U132" s="17" t="str">
        <f t="shared" si="8"/>
        <v/>
      </c>
      <c r="V132" s="7" t="s">
        <v>373</v>
      </c>
      <c r="W132" s="7" t="s">
        <v>84</v>
      </c>
      <c r="X132" s="7" t="s">
        <v>250</v>
      </c>
      <c r="Y132" s="7"/>
      <c r="Z132" s="7"/>
      <c r="AA132" s="7">
        <f>IF(AND(Hypothèses!$B$12=1,Z132="Secondary_Source"),0,1)</f>
        <v>1</v>
      </c>
    </row>
    <row r="133" spans="1:27" x14ac:dyDescent="0.3">
      <c r="A133" s="7" t="s">
        <v>399</v>
      </c>
      <c r="B133" s="7" t="s">
        <v>78</v>
      </c>
      <c r="C133" s="7" t="s">
        <v>114</v>
      </c>
      <c r="D133" s="7" t="s">
        <v>244</v>
      </c>
      <c r="E133" s="7" t="s">
        <v>372</v>
      </c>
      <c r="F133" s="7" t="s">
        <v>258</v>
      </c>
      <c r="G133" s="17"/>
      <c r="H133" s="17">
        <v>1.2743675000000001</v>
      </c>
      <c r="I133" s="17"/>
      <c r="J133" s="7" t="s">
        <v>373</v>
      </c>
      <c r="K133" s="7">
        <v>2050</v>
      </c>
      <c r="L133" s="7" t="str">
        <f>IF(Y133&lt;&gt;"",Y133,IF(AND(K133&gt;=Hypothèses!$B$9,K133&lt;=Hypothèses!$B$10),"actuel",IF(K133=2030,"2030",IF(K133=2050,"2050","autre"))))</f>
        <v>2050</v>
      </c>
      <c r="M133" s="7"/>
      <c r="N133" s="7" t="s">
        <v>248</v>
      </c>
      <c r="O133" s="7"/>
      <c r="P133" s="7" t="s">
        <v>335</v>
      </c>
      <c r="Q133" s="7" t="s">
        <v>49</v>
      </c>
      <c r="R133" s="14">
        <f>INDEX(Hypothèses!$B$14:$B$22,MATCH(Q133,Hypothèses!$A$14:$A$22,0))</f>
        <v>1</v>
      </c>
      <c r="S133" s="17" t="str">
        <f t="shared" si="6"/>
        <v/>
      </c>
      <c r="T133" s="17">
        <f t="shared" si="7"/>
        <v>1.2743675000000001</v>
      </c>
      <c r="U133" s="17" t="str">
        <f t="shared" si="8"/>
        <v/>
      </c>
      <c r="V133" s="7" t="s">
        <v>373</v>
      </c>
      <c r="W133" s="7" t="s">
        <v>84</v>
      </c>
      <c r="X133" s="7" t="s">
        <v>250</v>
      </c>
      <c r="Y133" s="7"/>
      <c r="Z133" s="7"/>
      <c r="AA133" s="7">
        <f>IF(AND(Hypothèses!$B$12=1,Z133="Secondary_Source"),0,1)</f>
        <v>1</v>
      </c>
    </row>
    <row r="134" spans="1:27" x14ac:dyDescent="0.3">
      <c r="A134" s="7" t="s">
        <v>400</v>
      </c>
      <c r="B134" s="7" t="s">
        <v>78</v>
      </c>
      <c r="C134" s="7" t="s">
        <v>118</v>
      </c>
      <c r="D134" s="7" t="s">
        <v>244</v>
      </c>
      <c r="E134" s="7" t="s">
        <v>372</v>
      </c>
      <c r="F134" s="7" t="s">
        <v>258</v>
      </c>
      <c r="G134" s="17">
        <v>3.8308377999999998</v>
      </c>
      <c r="H134" s="17">
        <v>4.9600113500000003</v>
      </c>
      <c r="I134" s="17">
        <v>6.0891849000000002</v>
      </c>
      <c r="J134" s="7" t="s">
        <v>373</v>
      </c>
      <c r="K134" s="7">
        <v>2020</v>
      </c>
      <c r="L134" s="7" t="str">
        <f>IF(Y134&lt;&gt;"",Y134,IF(AND(K134&gt;=Hypothèses!$B$9,K134&lt;=Hypothèses!$B$10),"actuel",IF(K134=2030,"2030",IF(K134=2050,"2050","autre"))))</f>
        <v>actuel</v>
      </c>
      <c r="M134" s="7"/>
      <c r="N134" s="7" t="s">
        <v>248</v>
      </c>
      <c r="O134" s="7"/>
      <c r="P134" s="7" t="s">
        <v>339</v>
      </c>
      <c r="Q134" s="7" t="s">
        <v>49</v>
      </c>
      <c r="R134" s="14">
        <f>INDEX(Hypothèses!$B$14:$B$22,MATCH(Q134,Hypothèses!$A$14:$A$22,0))</f>
        <v>1</v>
      </c>
      <c r="S134" s="17">
        <f t="shared" si="6"/>
        <v>3.8308377999999998</v>
      </c>
      <c r="T134" s="17">
        <f t="shared" si="7"/>
        <v>4.9600113500000003</v>
      </c>
      <c r="U134" s="17">
        <f t="shared" si="8"/>
        <v>6.0891849000000002</v>
      </c>
      <c r="V134" s="7" t="s">
        <v>373</v>
      </c>
      <c r="W134" s="7" t="s">
        <v>84</v>
      </c>
      <c r="X134" s="7" t="s">
        <v>250</v>
      </c>
      <c r="Y134" s="7"/>
      <c r="Z134" s="7"/>
      <c r="AA134" s="7">
        <f>IF(AND(Hypothèses!$B$12=1,Z134="Secondary_Source"),0,1)</f>
        <v>1</v>
      </c>
    </row>
    <row r="135" spans="1:27" x14ac:dyDescent="0.3">
      <c r="A135" s="7" t="s">
        <v>401</v>
      </c>
      <c r="B135" s="7" t="s">
        <v>78</v>
      </c>
      <c r="C135" s="7" t="s">
        <v>118</v>
      </c>
      <c r="D135" s="7" t="s">
        <v>244</v>
      </c>
      <c r="E135" s="7" t="s">
        <v>372</v>
      </c>
      <c r="F135" s="7" t="s">
        <v>258</v>
      </c>
      <c r="G135" s="17">
        <v>1.7063082999999999</v>
      </c>
      <c r="H135" s="17">
        <v>2.6681995500000002</v>
      </c>
      <c r="I135" s="17">
        <v>3.6300908000000001</v>
      </c>
      <c r="J135" s="7" t="s">
        <v>373</v>
      </c>
      <c r="K135" s="7">
        <v>2030</v>
      </c>
      <c r="L135" s="7" t="str">
        <f>IF(Y135&lt;&gt;"",Y135,IF(AND(K135&gt;=Hypothèses!$B$9,K135&lt;=Hypothèses!$B$10),"actuel",IF(K135=2030,"2030",IF(K135=2050,"2050","autre"))))</f>
        <v>2030</v>
      </c>
      <c r="M135" s="7"/>
      <c r="N135" s="7" t="s">
        <v>248</v>
      </c>
      <c r="O135" s="7"/>
      <c r="P135" s="7" t="s">
        <v>339</v>
      </c>
      <c r="Q135" s="7" t="s">
        <v>49</v>
      </c>
      <c r="R135" s="14">
        <f>INDEX(Hypothèses!$B$14:$B$22,MATCH(Q135,Hypothèses!$A$14:$A$22,0))</f>
        <v>1</v>
      </c>
      <c r="S135" s="17">
        <f t="shared" si="6"/>
        <v>1.7063082999999999</v>
      </c>
      <c r="T135" s="17">
        <f t="shared" si="7"/>
        <v>2.6681995500000002</v>
      </c>
      <c r="U135" s="17">
        <f t="shared" si="8"/>
        <v>3.6300908000000001</v>
      </c>
      <c r="V135" s="7" t="s">
        <v>373</v>
      </c>
      <c r="W135" s="7" t="s">
        <v>84</v>
      </c>
      <c r="X135" s="7" t="s">
        <v>250</v>
      </c>
      <c r="Y135" s="7"/>
      <c r="Z135" s="7"/>
      <c r="AA135" s="7">
        <f>IF(AND(Hypothèses!$B$12=1,Z135="Secondary_Source"),0,1)</f>
        <v>1</v>
      </c>
    </row>
    <row r="136" spans="1:27" x14ac:dyDescent="0.3">
      <c r="A136" s="7" t="s">
        <v>402</v>
      </c>
      <c r="B136" s="7" t="s">
        <v>78</v>
      </c>
      <c r="C136" s="7" t="s">
        <v>118</v>
      </c>
      <c r="D136" s="7" t="s">
        <v>244</v>
      </c>
      <c r="E136" s="7" t="s">
        <v>372</v>
      </c>
      <c r="F136" s="7" t="s">
        <v>258</v>
      </c>
      <c r="G136" s="17">
        <v>0.82399999999999995</v>
      </c>
      <c r="H136" s="17">
        <v>1.4729000000000001</v>
      </c>
      <c r="I136" s="17">
        <v>2.472</v>
      </c>
      <c r="J136" s="7" t="s">
        <v>373</v>
      </c>
      <c r="K136" s="7">
        <v>2050</v>
      </c>
      <c r="L136" s="7" t="str">
        <f>IF(Y136&lt;&gt;"",Y136,IF(AND(K136&gt;=Hypothèses!$B$9,K136&lt;=Hypothèses!$B$10),"actuel",IF(K136=2030,"2030",IF(K136=2050,"2050","autre"))))</f>
        <v>2050</v>
      </c>
      <c r="M136" s="7"/>
      <c r="N136" s="7" t="s">
        <v>248</v>
      </c>
      <c r="O136" s="7"/>
      <c r="P136" s="7" t="s">
        <v>339</v>
      </c>
      <c r="Q136" s="7" t="s">
        <v>49</v>
      </c>
      <c r="R136" s="14">
        <f>INDEX(Hypothèses!$B$14:$B$22,MATCH(Q136,Hypothèses!$A$14:$A$22,0))</f>
        <v>1</v>
      </c>
      <c r="S136" s="17">
        <f t="shared" si="6"/>
        <v>0.82399999999999995</v>
      </c>
      <c r="T136" s="17">
        <f t="shared" si="7"/>
        <v>1.4729000000000001</v>
      </c>
      <c r="U136" s="17">
        <f t="shared" si="8"/>
        <v>2.472</v>
      </c>
      <c r="V136" s="7" t="s">
        <v>373</v>
      </c>
      <c r="W136" s="7" t="s">
        <v>84</v>
      </c>
      <c r="X136" s="7" t="s">
        <v>250</v>
      </c>
      <c r="Y136" s="7"/>
      <c r="Z136" s="7"/>
      <c r="AA136" s="7">
        <f>IF(AND(Hypothèses!$B$12=1,Z136="Secondary_Source"),0,1)</f>
        <v>1</v>
      </c>
    </row>
    <row r="137" spans="1:27" x14ac:dyDescent="0.3">
      <c r="A137" s="7" t="s">
        <v>403</v>
      </c>
      <c r="B137" s="7" t="s">
        <v>78</v>
      </c>
      <c r="C137" s="7" t="s">
        <v>122</v>
      </c>
      <c r="D137" s="7" t="s">
        <v>244</v>
      </c>
      <c r="E137" s="7" t="s">
        <v>372</v>
      </c>
      <c r="F137" s="7" t="s">
        <v>258</v>
      </c>
      <c r="G137" s="17">
        <v>2.6686372999999999</v>
      </c>
      <c r="H137" s="17">
        <v>4.7910604499999998</v>
      </c>
      <c r="I137" s="17">
        <v>6.9134836000000002</v>
      </c>
      <c r="J137" s="7" t="s">
        <v>373</v>
      </c>
      <c r="K137" s="7">
        <v>2020</v>
      </c>
      <c r="L137" s="7" t="str">
        <f>IF(Y137&lt;&gt;"",Y137,IF(AND(K137&gt;=Hypothèses!$B$9,K137&lt;=Hypothèses!$B$10),"actuel",IF(K137=2030,"2030",IF(K137=2050,"2050","autre"))))</f>
        <v>actuel</v>
      </c>
      <c r="M137" s="7"/>
      <c r="N137" s="7" t="s">
        <v>248</v>
      </c>
      <c r="O137" s="7"/>
      <c r="P137" s="7" t="s">
        <v>282</v>
      </c>
      <c r="Q137" s="7" t="s">
        <v>49</v>
      </c>
      <c r="R137" s="14">
        <f>INDEX(Hypothèses!$B$14:$B$22,MATCH(Q137,Hypothèses!$A$14:$A$22,0))</f>
        <v>1</v>
      </c>
      <c r="S137" s="17">
        <f t="shared" si="6"/>
        <v>2.6686372999999999</v>
      </c>
      <c r="T137" s="17">
        <f t="shared" si="7"/>
        <v>4.7910604499999998</v>
      </c>
      <c r="U137" s="17">
        <f t="shared" si="8"/>
        <v>6.9134836000000002</v>
      </c>
      <c r="V137" s="7" t="s">
        <v>373</v>
      </c>
      <c r="W137" s="7" t="s">
        <v>84</v>
      </c>
      <c r="X137" s="7" t="s">
        <v>250</v>
      </c>
      <c r="Y137" s="7"/>
      <c r="Z137" s="7"/>
      <c r="AA137" s="7">
        <f>IF(AND(Hypothèses!$B$12=1,Z137="Secondary_Source"),0,1)</f>
        <v>1</v>
      </c>
    </row>
    <row r="138" spans="1:27" x14ac:dyDescent="0.3">
      <c r="A138" s="7" t="s">
        <v>404</v>
      </c>
      <c r="B138" s="7" t="s">
        <v>78</v>
      </c>
      <c r="C138" s="7" t="s">
        <v>122</v>
      </c>
      <c r="D138" s="7" t="s">
        <v>244</v>
      </c>
      <c r="E138" s="7" t="s">
        <v>372</v>
      </c>
      <c r="F138" s="7" t="s">
        <v>258</v>
      </c>
      <c r="G138" s="17">
        <v>2.5437910000000001</v>
      </c>
      <c r="H138" s="17">
        <v>4.4789395499999998</v>
      </c>
      <c r="I138" s="17">
        <v>6.4140880999999998</v>
      </c>
      <c r="J138" s="7" t="s">
        <v>373</v>
      </c>
      <c r="K138" s="7">
        <v>2021</v>
      </c>
      <c r="L138" s="7" t="str">
        <f>IF(Y138&lt;&gt;"",Y138,IF(AND(K138&gt;=Hypothèses!$B$9,K138&lt;=Hypothèses!$B$10),"actuel",IF(K138=2030,"2030",IF(K138=2050,"2050","autre"))))</f>
        <v>actuel</v>
      </c>
      <c r="M138" s="7"/>
      <c r="N138" s="7" t="s">
        <v>248</v>
      </c>
      <c r="O138" s="7"/>
      <c r="P138" s="7" t="s">
        <v>282</v>
      </c>
      <c r="Q138" s="7" t="s">
        <v>49</v>
      </c>
      <c r="R138" s="14">
        <f>INDEX(Hypothèses!$B$14:$B$22,MATCH(Q138,Hypothèses!$A$14:$A$22,0))</f>
        <v>1</v>
      </c>
      <c r="S138" s="17">
        <f t="shared" si="6"/>
        <v>2.5437910000000001</v>
      </c>
      <c r="T138" s="17">
        <f t="shared" si="7"/>
        <v>4.4789395499999998</v>
      </c>
      <c r="U138" s="17">
        <f t="shared" si="8"/>
        <v>6.4140880999999998</v>
      </c>
      <c r="V138" s="7" t="s">
        <v>373</v>
      </c>
      <c r="W138" s="7" t="s">
        <v>84</v>
      </c>
      <c r="X138" s="7" t="s">
        <v>250</v>
      </c>
      <c r="Y138" s="7"/>
      <c r="Z138" s="7"/>
      <c r="AA138" s="7">
        <f>IF(AND(Hypothèses!$B$12=1,Z138="Secondary_Source"),0,1)</f>
        <v>1</v>
      </c>
    </row>
    <row r="139" spans="1:27" x14ac:dyDescent="0.3">
      <c r="A139" s="7" t="s">
        <v>405</v>
      </c>
      <c r="B139" s="7" t="s">
        <v>78</v>
      </c>
      <c r="C139" s="7" t="s">
        <v>122</v>
      </c>
      <c r="D139" s="7" t="s">
        <v>244</v>
      </c>
      <c r="E139" s="7" t="s">
        <v>372</v>
      </c>
      <c r="F139" s="7" t="s">
        <v>258</v>
      </c>
      <c r="G139" s="17">
        <v>2.2940881000000002</v>
      </c>
      <c r="H139" s="17">
        <v>4.1434067499999996</v>
      </c>
      <c r="I139" s="17">
        <v>5.9927254000000003</v>
      </c>
      <c r="J139" s="7" t="s">
        <v>373</v>
      </c>
      <c r="K139" s="7">
        <v>2022</v>
      </c>
      <c r="L139" s="7" t="str">
        <f>IF(Y139&lt;&gt;"",Y139,IF(AND(K139&gt;=Hypothèses!$B$9,K139&lt;=Hypothèses!$B$10),"actuel",IF(K139=2030,"2030",IF(K139=2050,"2050","autre"))))</f>
        <v>actuel</v>
      </c>
      <c r="M139" s="7"/>
      <c r="N139" s="7" t="s">
        <v>248</v>
      </c>
      <c r="O139" s="7"/>
      <c r="P139" s="7" t="s">
        <v>282</v>
      </c>
      <c r="Q139" s="7" t="s">
        <v>49</v>
      </c>
      <c r="R139" s="14">
        <f>INDEX(Hypothèses!$B$14:$B$22,MATCH(Q139,Hypothèses!$A$14:$A$22,0))</f>
        <v>1</v>
      </c>
      <c r="S139" s="17">
        <f t="shared" si="6"/>
        <v>2.2940881000000002</v>
      </c>
      <c r="T139" s="17">
        <f t="shared" si="7"/>
        <v>4.1434067499999996</v>
      </c>
      <c r="U139" s="17">
        <f t="shared" si="8"/>
        <v>5.9927254000000003</v>
      </c>
      <c r="V139" s="7" t="s">
        <v>373</v>
      </c>
      <c r="W139" s="7" t="s">
        <v>84</v>
      </c>
      <c r="X139" s="7" t="s">
        <v>250</v>
      </c>
      <c r="Y139" s="7"/>
      <c r="Z139" s="7"/>
      <c r="AA139" s="7">
        <f>IF(AND(Hypothèses!$B$12=1,Z139="Secondary_Source"),0,1)</f>
        <v>1</v>
      </c>
    </row>
    <row r="140" spans="1:27" x14ac:dyDescent="0.3">
      <c r="A140" s="7" t="s">
        <v>406</v>
      </c>
      <c r="B140" s="7" t="s">
        <v>78</v>
      </c>
      <c r="C140" s="7" t="s">
        <v>122</v>
      </c>
      <c r="D140" s="7" t="s">
        <v>244</v>
      </c>
      <c r="E140" s="7" t="s">
        <v>372</v>
      </c>
      <c r="F140" s="7" t="s">
        <v>258</v>
      </c>
      <c r="G140" s="17">
        <v>2.2004508</v>
      </c>
      <c r="H140" s="17">
        <v>3.8937089999999999</v>
      </c>
      <c r="I140" s="17">
        <v>5.5869672000000001</v>
      </c>
      <c r="J140" s="7" t="s">
        <v>373</v>
      </c>
      <c r="K140" s="7">
        <v>2023</v>
      </c>
      <c r="L140" s="7" t="str">
        <f>IF(Y140&lt;&gt;"",Y140,IF(AND(K140&gt;=Hypothèses!$B$9,K140&lt;=Hypothèses!$B$10),"actuel",IF(K140=2030,"2030",IF(K140=2050,"2050","autre"))))</f>
        <v>actuel</v>
      </c>
      <c r="M140" s="7"/>
      <c r="N140" s="7" t="s">
        <v>248</v>
      </c>
      <c r="O140" s="7"/>
      <c r="P140" s="7" t="s">
        <v>282</v>
      </c>
      <c r="Q140" s="7" t="s">
        <v>49</v>
      </c>
      <c r="R140" s="14">
        <f>INDEX(Hypothèses!$B$14:$B$22,MATCH(Q140,Hypothèses!$A$14:$A$22,0))</f>
        <v>1</v>
      </c>
      <c r="S140" s="17">
        <f t="shared" si="6"/>
        <v>2.2004508</v>
      </c>
      <c r="T140" s="17">
        <f t="shared" si="7"/>
        <v>3.8937089999999999</v>
      </c>
      <c r="U140" s="17">
        <f t="shared" si="8"/>
        <v>5.5869672000000001</v>
      </c>
      <c r="V140" s="7" t="s">
        <v>373</v>
      </c>
      <c r="W140" s="7" t="s">
        <v>84</v>
      </c>
      <c r="X140" s="7" t="s">
        <v>250</v>
      </c>
      <c r="Y140" s="7"/>
      <c r="Z140" s="7"/>
      <c r="AA140" s="7">
        <f>IF(AND(Hypothèses!$B$12=1,Z140="Secondary_Source"),0,1)</f>
        <v>1</v>
      </c>
    </row>
    <row r="141" spans="1:27" x14ac:dyDescent="0.3">
      <c r="A141" s="7" t="s">
        <v>407</v>
      </c>
      <c r="B141" s="7" t="s">
        <v>78</v>
      </c>
      <c r="C141" s="7" t="s">
        <v>122</v>
      </c>
      <c r="D141" s="7" t="s">
        <v>244</v>
      </c>
      <c r="E141" s="7" t="s">
        <v>372</v>
      </c>
      <c r="F141" s="7" t="s">
        <v>258</v>
      </c>
      <c r="G141" s="17">
        <v>2.2004508</v>
      </c>
      <c r="H141" s="17">
        <v>3.7064395499999998</v>
      </c>
      <c r="I141" s="17">
        <v>5.2124283</v>
      </c>
      <c r="J141" s="7" t="s">
        <v>373</v>
      </c>
      <c r="K141" s="7">
        <v>2024</v>
      </c>
      <c r="L141" s="7" t="str">
        <f>IF(Y141&lt;&gt;"",Y141,IF(AND(K141&gt;=Hypothèses!$B$9,K141&lt;=Hypothèses!$B$10),"actuel",IF(K141=2030,"2030",IF(K141=2050,"2050","autre"))))</f>
        <v>actuel</v>
      </c>
      <c r="M141" s="7"/>
      <c r="N141" s="7" t="s">
        <v>248</v>
      </c>
      <c r="O141" s="7"/>
      <c r="P141" s="7" t="s">
        <v>282</v>
      </c>
      <c r="Q141" s="7" t="s">
        <v>49</v>
      </c>
      <c r="R141" s="14">
        <f>INDEX(Hypothèses!$B$14:$B$22,MATCH(Q141,Hypothèses!$A$14:$A$22,0))</f>
        <v>1</v>
      </c>
      <c r="S141" s="17">
        <f t="shared" si="6"/>
        <v>2.2004508</v>
      </c>
      <c r="T141" s="17">
        <f t="shared" si="7"/>
        <v>3.7064395499999998</v>
      </c>
      <c r="U141" s="17">
        <f t="shared" si="8"/>
        <v>5.2124283</v>
      </c>
      <c r="V141" s="7" t="s">
        <v>373</v>
      </c>
      <c r="W141" s="7" t="s">
        <v>84</v>
      </c>
      <c r="X141" s="7" t="s">
        <v>250</v>
      </c>
      <c r="Y141" s="7"/>
      <c r="Z141" s="7"/>
      <c r="AA141" s="7">
        <f>IF(AND(Hypothèses!$B$12=1,Z141="Secondary_Source"),0,1)</f>
        <v>1</v>
      </c>
    </row>
    <row r="142" spans="1:27" x14ac:dyDescent="0.3">
      <c r="A142" s="7" t="s">
        <v>408</v>
      </c>
      <c r="B142" s="7" t="s">
        <v>78</v>
      </c>
      <c r="C142" s="7" t="s">
        <v>122</v>
      </c>
      <c r="D142" s="7" t="s">
        <v>244</v>
      </c>
      <c r="E142" s="7" t="s">
        <v>372</v>
      </c>
      <c r="F142" s="7" t="s">
        <v>258</v>
      </c>
      <c r="G142" s="17">
        <v>2.0443954999999998</v>
      </c>
      <c r="H142" s="17">
        <v>3.4723514500000001</v>
      </c>
      <c r="I142" s="17">
        <v>4.9003074</v>
      </c>
      <c r="J142" s="7" t="s">
        <v>373</v>
      </c>
      <c r="K142" s="7">
        <v>2025</v>
      </c>
      <c r="L142" s="7" t="str">
        <f>IF(Y142&lt;&gt;"",Y142,IF(AND(K142&gt;=Hypothèses!$B$9,K142&lt;=Hypothèses!$B$10),"actuel",IF(K142=2030,"2030",IF(K142=2050,"2050","autre"))))</f>
        <v>actuel</v>
      </c>
      <c r="M142" s="7"/>
      <c r="N142" s="7" t="s">
        <v>248</v>
      </c>
      <c r="O142" s="7"/>
      <c r="P142" s="7" t="s">
        <v>282</v>
      </c>
      <c r="Q142" s="7" t="s">
        <v>49</v>
      </c>
      <c r="R142" s="14">
        <f>INDEX(Hypothèses!$B$14:$B$22,MATCH(Q142,Hypothèses!$A$14:$A$22,0))</f>
        <v>1</v>
      </c>
      <c r="S142" s="17">
        <f t="shared" si="6"/>
        <v>2.0443954999999998</v>
      </c>
      <c r="T142" s="17">
        <f t="shared" si="7"/>
        <v>3.4723514500000001</v>
      </c>
      <c r="U142" s="17">
        <f t="shared" si="8"/>
        <v>4.9003074</v>
      </c>
      <c r="V142" s="7" t="s">
        <v>373</v>
      </c>
      <c r="W142" s="7" t="s">
        <v>84</v>
      </c>
      <c r="X142" s="7" t="s">
        <v>250</v>
      </c>
      <c r="Y142" s="7"/>
      <c r="Z142" s="7"/>
      <c r="AA142" s="7">
        <f>IF(AND(Hypothèses!$B$12=1,Z142="Secondary_Source"),0,1)</f>
        <v>1</v>
      </c>
    </row>
    <row r="143" spans="1:27" x14ac:dyDescent="0.3">
      <c r="A143" s="7" t="s">
        <v>409</v>
      </c>
      <c r="B143" s="7" t="s">
        <v>78</v>
      </c>
      <c r="C143" s="7" t="s">
        <v>122</v>
      </c>
      <c r="D143" s="7" t="s">
        <v>244</v>
      </c>
      <c r="E143" s="7" t="s">
        <v>372</v>
      </c>
      <c r="F143" s="7" t="s">
        <v>258</v>
      </c>
      <c r="G143" s="17">
        <v>1.9975717</v>
      </c>
      <c r="H143" s="17">
        <v>3.2928790999999999</v>
      </c>
      <c r="I143" s="17">
        <v>4.5881864999999999</v>
      </c>
      <c r="J143" s="7" t="s">
        <v>373</v>
      </c>
      <c r="K143" s="7">
        <v>2026</v>
      </c>
      <c r="L143" s="7" t="str">
        <f>IF(Y143&lt;&gt;"",Y143,IF(AND(K143&gt;=Hypothèses!$B$9,K143&lt;=Hypothèses!$B$10),"actuel",IF(K143=2030,"2030",IF(K143=2050,"2050","autre"))))</f>
        <v>autre</v>
      </c>
      <c r="M143" s="7"/>
      <c r="N143" s="7" t="s">
        <v>248</v>
      </c>
      <c r="O143" s="7"/>
      <c r="P143" s="7" t="s">
        <v>282</v>
      </c>
      <c r="Q143" s="7" t="s">
        <v>49</v>
      </c>
      <c r="R143" s="14">
        <f>INDEX(Hypothèses!$B$14:$B$22,MATCH(Q143,Hypothèses!$A$14:$A$22,0))</f>
        <v>1</v>
      </c>
      <c r="S143" s="17">
        <f t="shared" si="6"/>
        <v>1.9975717</v>
      </c>
      <c r="T143" s="17">
        <f t="shared" si="7"/>
        <v>3.2928790999999999</v>
      </c>
      <c r="U143" s="17">
        <f t="shared" si="8"/>
        <v>4.5881864999999999</v>
      </c>
      <c r="V143" s="7" t="s">
        <v>373</v>
      </c>
      <c r="W143" s="7" t="s">
        <v>84</v>
      </c>
      <c r="X143" s="7" t="s">
        <v>250</v>
      </c>
      <c r="Y143" s="7"/>
      <c r="Z143" s="7"/>
      <c r="AA143" s="7">
        <f>IF(AND(Hypothèses!$B$12=1,Z143="Secondary_Source"),0,1)</f>
        <v>1</v>
      </c>
    </row>
    <row r="144" spans="1:27" x14ac:dyDescent="0.3">
      <c r="A144" s="7" t="s">
        <v>410</v>
      </c>
      <c r="B144" s="7" t="s">
        <v>78</v>
      </c>
      <c r="C144" s="7" t="s">
        <v>122</v>
      </c>
      <c r="D144" s="7" t="s">
        <v>244</v>
      </c>
      <c r="E144" s="7" t="s">
        <v>372</v>
      </c>
      <c r="F144" s="7" t="s">
        <v>258</v>
      </c>
      <c r="G144" s="17">
        <v>1.8727254</v>
      </c>
      <c r="H144" s="17">
        <v>3.0665881000000001</v>
      </c>
      <c r="I144" s="17">
        <v>4.2604508000000001</v>
      </c>
      <c r="J144" s="7" t="s">
        <v>373</v>
      </c>
      <c r="K144" s="7">
        <v>2027</v>
      </c>
      <c r="L144" s="7" t="str">
        <f>IF(Y144&lt;&gt;"",Y144,IF(AND(K144&gt;=Hypothèses!$B$9,K144&lt;=Hypothèses!$B$10),"actuel",IF(K144=2030,"2030",IF(K144=2050,"2050","autre"))))</f>
        <v>autre</v>
      </c>
      <c r="M144" s="7"/>
      <c r="N144" s="7" t="s">
        <v>248</v>
      </c>
      <c r="O144" s="7"/>
      <c r="P144" s="7" t="s">
        <v>282</v>
      </c>
      <c r="Q144" s="7" t="s">
        <v>49</v>
      </c>
      <c r="R144" s="14">
        <f>INDEX(Hypothèses!$B$14:$B$22,MATCH(Q144,Hypothèses!$A$14:$A$22,0))</f>
        <v>1</v>
      </c>
      <c r="S144" s="17">
        <f t="shared" si="6"/>
        <v>1.8727254</v>
      </c>
      <c r="T144" s="17">
        <f t="shared" si="7"/>
        <v>3.0665881000000001</v>
      </c>
      <c r="U144" s="17">
        <f t="shared" si="8"/>
        <v>4.2604508000000001</v>
      </c>
      <c r="V144" s="7" t="s">
        <v>373</v>
      </c>
      <c r="W144" s="7" t="s">
        <v>84</v>
      </c>
      <c r="X144" s="7" t="s">
        <v>250</v>
      </c>
      <c r="Y144" s="7"/>
      <c r="Z144" s="7"/>
      <c r="AA144" s="7">
        <f>IF(AND(Hypothèses!$B$12=1,Z144="Secondary_Source"),0,1)</f>
        <v>1</v>
      </c>
    </row>
    <row r="145" spans="1:27" x14ac:dyDescent="0.3">
      <c r="A145" s="7" t="s">
        <v>411</v>
      </c>
      <c r="B145" s="7" t="s">
        <v>78</v>
      </c>
      <c r="C145" s="7" t="s">
        <v>122</v>
      </c>
      <c r="D145" s="7" t="s">
        <v>244</v>
      </c>
      <c r="E145" s="7" t="s">
        <v>372</v>
      </c>
      <c r="F145" s="7" t="s">
        <v>258</v>
      </c>
      <c r="G145" s="17">
        <v>1.8727254</v>
      </c>
      <c r="H145" s="17">
        <v>2.9105276500000001</v>
      </c>
      <c r="I145" s="17">
        <v>3.9483299000000001</v>
      </c>
      <c r="J145" s="7" t="s">
        <v>373</v>
      </c>
      <c r="K145" s="7">
        <v>2028</v>
      </c>
      <c r="L145" s="7" t="str">
        <f>IF(Y145&lt;&gt;"",Y145,IF(AND(K145&gt;=Hypothèses!$B$9,K145&lt;=Hypothèses!$B$10),"actuel",IF(K145=2030,"2030",IF(K145=2050,"2050","autre"))))</f>
        <v>autre</v>
      </c>
      <c r="M145" s="7"/>
      <c r="N145" s="7" t="s">
        <v>248</v>
      </c>
      <c r="O145" s="7"/>
      <c r="P145" s="7" t="s">
        <v>282</v>
      </c>
      <c r="Q145" s="7" t="s">
        <v>49</v>
      </c>
      <c r="R145" s="14">
        <f>INDEX(Hypothèses!$B$14:$B$22,MATCH(Q145,Hypothèses!$A$14:$A$22,0))</f>
        <v>1</v>
      </c>
      <c r="S145" s="17">
        <f t="shared" si="6"/>
        <v>1.8727254</v>
      </c>
      <c r="T145" s="17">
        <f t="shared" si="7"/>
        <v>2.9105276500000001</v>
      </c>
      <c r="U145" s="17">
        <f t="shared" si="8"/>
        <v>3.9483299000000001</v>
      </c>
      <c r="V145" s="7" t="s">
        <v>373</v>
      </c>
      <c r="W145" s="7" t="s">
        <v>84</v>
      </c>
      <c r="X145" s="7" t="s">
        <v>250</v>
      </c>
      <c r="Y145" s="7"/>
      <c r="Z145" s="7"/>
      <c r="AA145" s="7">
        <f>IF(AND(Hypothèses!$B$12=1,Z145="Secondary_Source"),0,1)</f>
        <v>1</v>
      </c>
    </row>
    <row r="146" spans="1:27" x14ac:dyDescent="0.3">
      <c r="A146" s="7" t="s">
        <v>412</v>
      </c>
      <c r="B146" s="7" t="s">
        <v>78</v>
      </c>
      <c r="C146" s="7" t="s">
        <v>122</v>
      </c>
      <c r="D146" s="7" t="s">
        <v>244</v>
      </c>
      <c r="E146" s="7" t="s">
        <v>372</v>
      </c>
      <c r="F146" s="7" t="s">
        <v>258</v>
      </c>
      <c r="G146" s="17">
        <v>1.7478791</v>
      </c>
      <c r="H146" s="17">
        <v>2.6998462999999999</v>
      </c>
      <c r="I146" s="17">
        <v>3.6518134999999998</v>
      </c>
      <c r="J146" s="7" t="s">
        <v>373</v>
      </c>
      <c r="K146" s="7">
        <v>2029</v>
      </c>
      <c r="L146" s="7" t="str">
        <f>IF(Y146&lt;&gt;"",Y146,IF(AND(K146&gt;=Hypothèses!$B$9,K146&lt;=Hypothèses!$B$10),"actuel",IF(K146=2030,"2030",IF(K146=2050,"2050","autre"))))</f>
        <v>autre</v>
      </c>
      <c r="M146" s="7"/>
      <c r="N146" s="7" t="s">
        <v>248</v>
      </c>
      <c r="O146" s="7"/>
      <c r="P146" s="7" t="s">
        <v>282</v>
      </c>
      <c r="Q146" s="7" t="s">
        <v>49</v>
      </c>
      <c r="R146" s="14">
        <f>INDEX(Hypothèses!$B$14:$B$22,MATCH(Q146,Hypothèses!$A$14:$A$22,0))</f>
        <v>1</v>
      </c>
      <c r="S146" s="17">
        <f t="shared" si="6"/>
        <v>1.7478791</v>
      </c>
      <c r="T146" s="17">
        <f t="shared" si="7"/>
        <v>2.6998462999999999</v>
      </c>
      <c r="U146" s="17">
        <f t="shared" si="8"/>
        <v>3.6518134999999998</v>
      </c>
      <c r="V146" s="7" t="s">
        <v>373</v>
      </c>
      <c r="W146" s="7" t="s">
        <v>84</v>
      </c>
      <c r="X146" s="7" t="s">
        <v>250</v>
      </c>
      <c r="Y146" s="7"/>
      <c r="Z146" s="7"/>
      <c r="AA146" s="7">
        <f>IF(AND(Hypothèses!$B$12=1,Z146="Secondary_Source"),0,1)</f>
        <v>1</v>
      </c>
    </row>
    <row r="147" spans="1:27" x14ac:dyDescent="0.3">
      <c r="A147" s="7" t="s">
        <v>413</v>
      </c>
      <c r="B147" s="7" t="s">
        <v>78</v>
      </c>
      <c r="C147" s="7" t="s">
        <v>122</v>
      </c>
      <c r="D147" s="7" t="s">
        <v>244</v>
      </c>
      <c r="E147" s="7" t="s">
        <v>372</v>
      </c>
      <c r="F147" s="7" t="s">
        <v>258</v>
      </c>
      <c r="G147" s="17">
        <v>1.6230328000000001</v>
      </c>
      <c r="H147" s="17">
        <v>2.4657581999999998</v>
      </c>
      <c r="I147" s="17">
        <v>3.3084836000000002</v>
      </c>
      <c r="J147" s="7" t="s">
        <v>373</v>
      </c>
      <c r="K147" s="7">
        <v>2030</v>
      </c>
      <c r="L147" s="7" t="str">
        <f>IF(Y147&lt;&gt;"",Y147,IF(AND(K147&gt;=Hypothèses!$B$9,K147&lt;=Hypothèses!$B$10),"actuel",IF(K147=2030,"2030",IF(K147=2050,"2050","autre"))))</f>
        <v>2030</v>
      </c>
      <c r="M147" s="7"/>
      <c r="N147" s="7" t="s">
        <v>248</v>
      </c>
      <c r="O147" s="7"/>
      <c r="P147" s="7" t="s">
        <v>282</v>
      </c>
      <c r="Q147" s="7" t="s">
        <v>49</v>
      </c>
      <c r="R147" s="14">
        <f>INDEX(Hypothèses!$B$14:$B$22,MATCH(Q147,Hypothèses!$A$14:$A$22,0))</f>
        <v>1</v>
      </c>
      <c r="S147" s="17">
        <f t="shared" si="6"/>
        <v>1.6230328000000001</v>
      </c>
      <c r="T147" s="17">
        <f t="shared" si="7"/>
        <v>2.4657581999999998</v>
      </c>
      <c r="U147" s="17">
        <f t="shared" si="8"/>
        <v>3.3084836000000002</v>
      </c>
      <c r="V147" s="7" t="s">
        <v>373</v>
      </c>
      <c r="W147" s="7" t="s">
        <v>84</v>
      </c>
      <c r="X147" s="7" t="s">
        <v>250</v>
      </c>
      <c r="Y147" s="7"/>
      <c r="Z147" s="7"/>
      <c r="AA147" s="7">
        <f>IF(AND(Hypothèses!$B$12=1,Z147="Secondary_Source"),0,1)</f>
        <v>1</v>
      </c>
    </row>
    <row r="148" spans="1:27" x14ac:dyDescent="0.3">
      <c r="A148" s="7" t="s">
        <v>414</v>
      </c>
      <c r="B148" s="7" t="s">
        <v>78</v>
      </c>
      <c r="C148" s="7" t="s">
        <v>122</v>
      </c>
      <c r="D148" s="7" t="s">
        <v>244</v>
      </c>
      <c r="E148" s="7" t="s">
        <v>372</v>
      </c>
      <c r="F148" s="7" t="s">
        <v>258</v>
      </c>
      <c r="G148" s="17">
        <v>1.6386373000000001</v>
      </c>
      <c r="H148" s="17">
        <v>2.4501537</v>
      </c>
      <c r="I148" s="17">
        <v>3.2616700999999999</v>
      </c>
      <c r="J148" s="7" t="s">
        <v>373</v>
      </c>
      <c r="K148" s="7">
        <v>2031</v>
      </c>
      <c r="L148" s="7" t="str">
        <f>IF(Y148&lt;&gt;"",Y148,IF(AND(K148&gt;=Hypothèses!$B$9,K148&lt;=Hypothèses!$B$10),"actuel",IF(K148=2030,"2030",IF(K148=2050,"2050","autre"))))</f>
        <v>autre</v>
      </c>
      <c r="M148" s="7"/>
      <c r="N148" s="7" t="s">
        <v>248</v>
      </c>
      <c r="O148" s="7"/>
      <c r="P148" s="7" t="s">
        <v>282</v>
      </c>
      <c r="Q148" s="7" t="s">
        <v>49</v>
      </c>
      <c r="R148" s="14">
        <f>INDEX(Hypothèses!$B$14:$B$22,MATCH(Q148,Hypothèses!$A$14:$A$22,0))</f>
        <v>1</v>
      </c>
      <c r="S148" s="17">
        <f t="shared" si="6"/>
        <v>1.6386373000000001</v>
      </c>
      <c r="T148" s="17">
        <f t="shared" si="7"/>
        <v>2.4501537</v>
      </c>
      <c r="U148" s="17">
        <f t="shared" si="8"/>
        <v>3.2616700999999999</v>
      </c>
      <c r="V148" s="7" t="s">
        <v>373</v>
      </c>
      <c r="W148" s="7" t="s">
        <v>84</v>
      </c>
      <c r="X148" s="7" t="s">
        <v>250</v>
      </c>
      <c r="Y148" s="7"/>
      <c r="Z148" s="7"/>
      <c r="AA148" s="7">
        <f>IF(AND(Hypothèses!$B$12=1,Z148="Secondary_Source"),0,1)</f>
        <v>1</v>
      </c>
    </row>
    <row r="149" spans="1:27" x14ac:dyDescent="0.3">
      <c r="A149" s="7" t="s">
        <v>415</v>
      </c>
      <c r="B149" s="7" t="s">
        <v>78</v>
      </c>
      <c r="C149" s="7" t="s">
        <v>122</v>
      </c>
      <c r="D149" s="7" t="s">
        <v>244</v>
      </c>
      <c r="E149" s="7" t="s">
        <v>372</v>
      </c>
      <c r="F149" s="7" t="s">
        <v>258</v>
      </c>
      <c r="G149" s="17">
        <v>1.576209</v>
      </c>
      <c r="H149" s="17">
        <v>2.36431865</v>
      </c>
      <c r="I149" s="17">
        <v>3.1524283</v>
      </c>
      <c r="J149" s="7" t="s">
        <v>373</v>
      </c>
      <c r="K149" s="7">
        <v>2032</v>
      </c>
      <c r="L149" s="7" t="str">
        <f>IF(Y149&lt;&gt;"",Y149,IF(AND(K149&gt;=Hypothèses!$B$9,K149&lt;=Hypothèses!$B$10),"actuel",IF(K149=2030,"2030",IF(K149=2050,"2050","autre"))))</f>
        <v>autre</v>
      </c>
      <c r="M149" s="7"/>
      <c r="N149" s="7" t="s">
        <v>248</v>
      </c>
      <c r="O149" s="7"/>
      <c r="P149" s="7" t="s">
        <v>282</v>
      </c>
      <c r="Q149" s="7" t="s">
        <v>49</v>
      </c>
      <c r="R149" s="14">
        <f>INDEX(Hypothèses!$B$14:$B$22,MATCH(Q149,Hypothèses!$A$14:$A$22,0))</f>
        <v>1</v>
      </c>
      <c r="S149" s="17">
        <f t="shared" si="6"/>
        <v>1.576209</v>
      </c>
      <c r="T149" s="17">
        <f t="shared" si="7"/>
        <v>2.36431865</v>
      </c>
      <c r="U149" s="17">
        <f t="shared" si="8"/>
        <v>3.1524283</v>
      </c>
      <c r="V149" s="7" t="s">
        <v>373</v>
      </c>
      <c r="W149" s="7" t="s">
        <v>84</v>
      </c>
      <c r="X149" s="7" t="s">
        <v>250</v>
      </c>
      <c r="Y149" s="7"/>
      <c r="Z149" s="7"/>
      <c r="AA149" s="7">
        <f>IF(AND(Hypothèses!$B$12=1,Z149="Secondary_Source"),0,1)</f>
        <v>1</v>
      </c>
    </row>
    <row r="150" spans="1:27" x14ac:dyDescent="0.3">
      <c r="A150" s="7" t="s">
        <v>416</v>
      </c>
      <c r="B150" s="7" t="s">
        <v>78</v>
      </c>
      <c r="C150" s="7" t="s">
        <v>122</v>
      </c>
      <c r="D150" s="7" t="s">
        <v>244</v>
      </c>
      <c r="E150" s="7" t="s">
        <v>372</v>
      </c>
      <c r="F150" s="7" t="s">
        <v>258</v>
      </c>
      <c r="G150" s="17">
        <v>1.5449999999999999</v>
      </c>
      <c r="H150" s="17">
        <v>2.3096977500000002</v>
      </c>
      <c r="I150" s="17">
        <v>3.0743955000000001</v>
      </c>
      <c r="J150" s="7" t="s">
        <v>373</v>
      </c>
      <c r="K150" s="7">
        <v>2033</v>
      </c>
      <c r="L150" s="7" t="str">
        <f>IF(Y150&lt;&gt;"",Y150,IF(AND(K150&gt;=Hypothèses!$B$9,K150&lt;=Hypothèses!$B$10),"actuel",IF(K150=2030,"2030",IF(K150=2050,"2050","autre"))))</f>
        <v>autre</v>
      </c>
      <c r="M150" s="7"/>
      <c r="N150" s="7" t="s">
        <v>248</v>
      </c>
      <c r="O150" s="7"/>
      <c r="P150" s="7" t="s">
        <v>282</v>
      </c>
      <c r="Q150" s="7" t="s">
        <v>49</v>
      </c>
      <c r="R150" s="14">
        <f>INDEX(Hypothèses!$B$14:$B$22,MATCH(Q150,Hypothèses!$A$14:$A$22,0))</f>
        <v>1</v>
      </c>
      <c r="S150" s="17">
        <f t="shared" si="6"/>
        <v>1.5449999999999999</v>
      </c>
      <c r="T150" s="17">
        <f t="shared" si="7"/>
        <v>2.3096977500000002</v>
      </c>
      <c r="U150" s="17">
        <f t="shared" si="8"/>
        <v>3.0743955000000001</v>
      </c>
      <c r="V150" s="7" t="s">
        <v>373</v>
      </c>
      <c r="W150" s="7" t="s">
        <v>84</v>
      </c>
      <c r="X150" s="7" t="s">
        <v>250</v>
      </c>
      <c r="Y150" s="7"/>
      <c r="Z150" s="7"/>
      <c r="AA150" s="7">
        <f>IF(AND(Hypothèses!$B$12=1,Z150="Secondary_Source"),0,1)</f>
        <v>1</v>
      </c>
    </row>
    <row r="151" spans="1:27" x14ac:dyDescent="0.3">
      <c r="A151" s="7" t="s">
        <v>417</v>
      </c>
      <c r="B151" s="7" t="s">
        <v>78</v>
      </c>
      <c r="C151" s="7" t="s">
        <v>122</v>
      </c>
      <c r="D151" s="7" t="s">
        <v>244</v>
      </c>
      <c r="E151" s="7" t="s">
        <v>372</v>
      </c>
      <c r="F151" s="7" t="s">
        <v>258</v>
      </c>
      <c r="G151" s="17">
        <v>1.4825717</v>
      </c>
      <c r="H151" s="17">
        <v>2.2472694500000001</v>
      </c>
      <c r="I151" s="17">
        <v>3.0119672</v>
      </c>
      <c r="J151" s="7" t="s">
        <v>373</v>
      </c>
      <c r="K151" s="7">
        <v>2034</v>
      </c>
      <c r="L151" s="7" t="str">
        <f>IF(Y151&lt;&gt;"",Y151,IF(AND(K151&gt;=Hypothèses!$B$9,K151&lt;=Hypothèses!$B$10),"actuel",IF(K151=2030,"2030",IF(K151=2050,"2050","autre"))))</f>
        <v>autre</v>
      </c>
      <c r="M151" s="7"/>
      <c r="N151" s="7" t="s">
        <v>248</v>
      </c>
      <c r="O151" s="7"/>
      <c r="P151" s="7" t="s">
        <v>282</v>
      </c>
      <c r="Q151" s="7" t="s">
        <v>49</v>
      </c>
      <c r="R151" s="14">
        <f>INDEX(Hypothèses!$B$14:$B$22,MATCH(Q151,Hypothèses!$A$14:$A$22,0))</f>
        <v>1</v>
      </c>
      <c r="S151" s="17">
        <f t="shared" si="6"/>
        <v>1.4825717</v>
      </c>
      <c r="T151" s="17">
        <f t="shared" si="7"/>
        <v>2.2472694500000001</v>
      </c>
      <c r="U151" s="17">
        <f t="shared" si="8"/>
        <v>3.0119672</v>
      </c>
      <c r="V151" s="7" t="s">
        <v>373</v>
      </c>
      <c r="W151" s="7" t="s">
        <v>84</v>
      </c>
      <c r="X151" s="7" t="s">
        <v>250</v>
      </c>
      <c r="Y151" s="7"/>
      <c r="Z151" s="7"/>
      <c r="AA151" s="7">
        <f>IF(AND(Hypothèses!$B$12=1,Z151="Secondary_Source"),0,1)</f>
        <v>1</v>
      </c>
    </row>
    <row r="152" spans="1:27" x14ac:dyDescent="0.3">
      <c r="A152" s="7" t="s">
        <v>418</v>
      </c>
      <c r="B152" s="7" t="s">
        <v>78</v>
      </c>
      <c r="C152" s="7" t="s">
        <v>122</v>
      </c>
      <c r="D152" s="7" t="s">
        <v>244</v>
      </c>
      <c r="E152" s="7" t="s">
        <v>372</v>
      </c>
      <c r="F152" s="7" t="s">
        <v>258</v>
      </c>
      <c r="G152" s="17">
        <v>1.4513627</v>
      </c>
      <c r="H152" s="17">
        <v>2.1926485499999999</v>
      </c>
      <c r="I152" s="17">
        <v>2.9339344000000001</v>
      </c>
      <c r="J152" s="7" t="s">
        <v>373</v>
      </c>
      <c r="K152" s="7">
        <v>2035</v>
      </c>
      <c r="L152" s="7" t="str">
        <f>IF(Y152&lt;&gt;"",Y152,IF(AND(K152&gt;=Hypothèses!$B$9,K152&lt;=Hypothèses!$B$10),"actuel",IF(K152=2030,"2030",IF(K152=2050,"2050","autre"))))</f>
        <v>autre</v>
      </c>
      <c r="M152" s="7"/>
      <c r="N152" s="7" t="s">
        <v>248</v>
      </c>
      <c r="O152" s="7"/>
      <c r="P152" s="7" t="s">
        <v>282</v>
      </c>
      <c r="Q152" s="7" t="s">
        <v>49</v>
      </c>
      <c r="R152" s="14">
        <f>INDEX(Hypothèses!$B$14:$B$22,MATCH(Q152,Hypothèses!$A$14:$A$22,0))</f>
        <v>1</v>
      </c>
      <c r="S152" s="17">
        <f t="shared" si="6"/>
        <v>1.4513627</v>
      </c>
      <c r="T152" s="17">
        <f t="shared" si="7"/>
        <v>2.1926485499999999</v>
      </c>
      <c r="U152" s="17">
        <f t="shared" si="8"/>
        <v>2.9339344000000001</v>
      </c>
      <c r="V152" s="7" t="s">
        <v>373</v>
      </c>
      <c r="W152" s="7" t="s">
        <v>84</v>
      </c>
      <c r="X152" s="7" t="s">
        <v>250</v>
      </c>
      <c r="Y152" s="7"/>
      <c r="Z152" s="7"/>
      <c r="AA152" s="7">
        <f>IF(AND(Hypothèses!$B$12=1,Z152="Secondary_Source"),0,1)</f>
        <v>1</v>
      </c>
    </row>
    <row r="153" spans="1:27" x14ac:dyDescent="0.3">
      <c r="A153" s="7" t="s">
        <v>419</v>
      </c>
      <c r="B153" s="7" t="s">
        <v>78</v>
      </c>
      <c r="C153" s="7" t="s">
        <v>122</v>
      </c>
      <c r="D153" s="7" t="s">
        <v>244</v>
      </c>
      <c r="E153" s="7" t="s">
        <v>372</v>
      </c>
      <c r="F153" s="7" t="s">
        <v>258</v>
      </c>
      <c r="G153" s="17">
        <v>1.4201537</v>
      </c>
      <c r="H153" s="17">
        <v>2.1458350500000001</v>
      </c>
      <c r="I153" s="17">
        <v>2.8715164</v>
      </c>
      <c r="J153" s="7" t="s">
        <v>373</v>
      </c>
      <c r="K153" s="7">
        <v>2036</v>
      </c>
      <c r="L153" s="7" t="str">
        <f>IF(Y153&lt;&gt;"",Y153,IF(AND(K153&gt;=Hypothèses!$B$9,K153&lt;=Hypothèses!$B$10),"actuel",IF(K153=2030,"2030",IF(K153=2050,"2050","autre"))))</f>
        <v>autre</v>
      </c>
      <c r="M153" s="7"/>
      <c r="N153" s="7" t="s">
        <v>248</v>
      </c>
      <c r="O153" s="7"/>
      <c r="P153" s="7" t="s">
        <v>282</v>
      </c>
      <c r="Q153" s="7" t="s">
        <v>49</v>
      </c>
      <c r="R153" s="14">
        <f>INDEX(Hypothèses!$B$14:$B$22,MATCH(Q153,Hypothèses!$A$14:$A$22,0))</f>
        <v>1</v>
      </c>
      <c r="S153" s="17">
        <f t="shared" si="6"/>
        <v>1.4201537</v>
      </c>
      <c r="T153" s="17">
        <f t="shared" si="7"/>
        <v>2.1458350500000001</v>
      </c>
      <c r="U153" s="17">
        <f t="shared" si="8"/>
        <v>2.8715164</v>
      </c>
      <c r="V153" s="7" t="s">
        <v>373</v>
      </c>
      <c r="W153" s="7" t="s">
        <v>84</v>
      </c>
      <c r="X153" s="7" t="s">
        <v>250</v>
      </c>
      <c r="Y153" s="7"/>
      <c r="Z153" s="7"/>
      <c r="AA153" s="7">
        <f>IF(AND(Hypothèses!$B$12=1,Z153="Secondary_Source"),0,1)</f>
        <v>1</v>
      </c>
    </row>
    <row r="154" spans="1:27" x14ac:dyDescent="0.3">
      <c r="A154" s="7" t="s">
        <v>420</v>
      </c>
      <c r="B154" s="7" t="s">
        <v>78</v>
      </c>
      <c r="C154" s="7" t="s">
        <v>122</v>
      </c>
      <c r="D154" s="7" t="s">
        <v>244</v>
      </c>
      <c r="E154" s="7" t="s">
        <v>372</v>
      </c>
      <c r="F154" s="7" t="s">
        <v>258</v>
      </c>
      <c r="G154" s="17">
        <v>1.4201537</v>
      </c>
      <c r="H154" s="17">
        <v>2.1146208999999998</v>
      </c>
      <c r="I154" s="17">
        <v>2.8090880999999999</v>
      </c>
      <c r="J154" s="7" t="s">
        <v>373</v>
      </c>
      <c r="K154" s="7">
        <v>2037</v>
      </c>
      <c r="L154" s="7" t="str">
        <f>IF(Y154&lt;&gt;"",Y154,IF(AND(K154&gt;=Hypothèses!$B$9,K154&lt;=Hypothèses!$B$10),"actuel",IF(K154=2030,"2030",IF(K154=2050,"2050","autre"))))</f>
        <v>autre</v>
      </c>
      <c r="M154" s="7"/>
      <c r="N154" s="7" t="s">
        <v>248</v>
      </c>
      <c r="O154" s="7"/>
      <c r="P154" s="7" t="s">
        <v>282</v>
      </c>
      <c r="Q154" s="7" t="s">
        <v>49</v>
      </c>
      <c r="R154" s="14">
        <f>INDEX(Hypothèses!$B$14:$B$22,MATCH(Q154,Hypothèses!$A$14:$A$22,0))</f>
        <v>1</v>
      </c>
      <c r="S154" s="17">
        <f t="shared" si="6"/>
        <v>1.4201537</v>
      </c>
      <c r="T154" s="17">
        <f t="shared" si="7"/>
        <v>2.1146208999999998</v>
      </c>
      <c r="U154" s="17">
        <f t="shared" si="8"/>
        <v>2.8090880999999999</v>
      </c>
      <c r="V154" s="7" t="s">
        <v>373</v>
      </c>
      <c r="W154" s="7" t="s">
        <v>84</v>
      </c>
      <c r="X154" s="7" t="s">
        <v>250</v>
      </c>
      <c r="Y154" s="7"/>
      <c r="Z154" s="7"/>
      <c r="AA154" s="7">
        <f>IF(AND(Hypothèses!$B$12=1,Z154="Secondary_Source"),0,1)</f>
        <v>1</v>
      </c>
    </row>
    <row r="155" spans="1:27" x14ac:dyDescent="0.3">
      <c r="A155" s="7" t="s">
        <v>421</v>
      </c>
      <c r="B155" s="7" t="s">
        <v>78</v>
      </c>
      <c r="C155" s="7" t="s">
        <v>122</v>
      </c>
      <c r="D155" s="7" t="s">
        <v>244</v>
      </c>
      <c r="E155" s="7" t="s">
        <v>372</v>
      </c>
      <c r="F155" s="7" t="s">
        <v>258</v>
      </c>
      <c r="G155" s="17">
        <v>1.3733299000000001</v>
      </c>
      <c r="H155" s="17">
        <v>2.0521977499999999</v>
      </c>
      <c r="I155" s="17">
        <v>2.7310656</v>
      </c>
      <c r="J155" s="7" t="s">
        <v>373</v>
      </c>
      <c r="K155" s="7">
        <v>2038</v>
      </c>
      <c r="L155" s="7" t="str">
        <f>IF(Y155&lt;&gt;"",Y155,IF(AND(K155&gt;=Hypothèses!$B$9,K155&lt;=Hypothèses!$B$10),"actuel",IF(K155=2030,"2030",IF(K155=2050,"2050","autre"))))</f>
        <v>autre</v>
      </c>
      <c r="M155" s="7"/>
      <c r="N155" s="7" t="s">
        <v>248</v>
      </c>
      <c r="O155" s="7"/>
      <c r="P155" s="7" t="s">
        <v>282</v>
      </c>
      <c r="Q155" s="7" t="s">
        <v>49</v>
      </c>
      <c r="R155" s="14">
        <f>INDEX(Hypothèses!$B$14:$B$22,MATCH(Q155,Hypothèses!$A$14:$A$22,0))</f>
        <v>1</v>
      </c>
      <c r="S155" s="17">
        <f t="shared" si="6"/>
        <v>1.3733299000000001</v>
      </c>
      <c r="T155" s="17">
        <f t="shared" si="7"/>
        <v>2.0521977499999999</v>
      </c>
      <c r="U155" s="17">
        <f t="shared" si="8"/>
        <v>2.7310656</v>
      </c>
      <c r="V155" s="7" t="s">
        <v>373</v>
      </c>
      <c r="W155" s="7" t="s">
        <v>84</v>
      </c>
      <c r="X155" s="7" t="s">
        <v>250</v>
      </c>
      <c r="Y155" s="7"/>
      <c r="Z155" s="7"/>
      <c r="AA155" s="7">
        <f>IF(AND(Hypothèses!$B$12=1,Z155="Secondary_Source"),0,1)</f>
        <v>1</v>
      </c>
    </row>
    <row r="156" spans="1:27" x14ac:dyDescent="0.3">
      <c r="A156" s="7" t="s">
        <v>422</v>
      </c>
      <c r="B156" s="7" t="s">
        <v>78</v>
      </c>
      <c r="C156" s="7" t="s">
        <v>122</v>
      </c>
      <c r="D156" s="7" t="s">
        <v>244</v>
      </c>
      <c r="E156" s="7" t="s">
        <v>372</v>
      </c>
      <c r="F156" s="7" t="s">
        <v>258</v>
      </c>
      <c r="G156" s="17">
        <v>1.2953074</v>
      </c>
      <c r="H156" s="17">
        <v>1.9741701</v>
      </c>
      <c r="I156" s="17">
        <v>2.6530328000000001</v>
      </c>
      <c r="J156" s="7" t="s">
        <v>373</v>
      </c>
      <c r="K156" s="7">
        <v>2039</v>
      </c>
      <c r="L156" s="7" t="str">
        <f>IF(Y156&lt;&gt;"",Y156,IF(AND(K156&gt;=Hypothèses!$B$9,K156&lt;=Hypothèses!$B$10),"actuel",IF(K156=2030,"2030",IF(K156=2050,"2050","autre"))))</f>
        <v>autre</v>
      </c>
      <c r="M156" s="7"/>
      <c r="N156" s="7" t="s">
        <v>248</v>
      </c>
      <c r="O156" s="7"/>
      <c r="P156" s="7" t="s">
        <v>282</v>
      </c>
      <c r="Q156" s="7" t="s">
        <v>49</v>
      </c>
      <c r="R156" s="14">
        <f>INDEX(Hypothèses!$B$14:$B$22,MATCH(Q156,Hypothèses!$A$14:$A$22,0))</f>
        <v>1</v>
      </c>
      <c r="S156" s="17">
        <f t="shared" si="6"/>
        <v>1.2953074</v>
      </c>
      <c r="T156" s="17">
        <f t="shared" si="7"/>
        <v>1.9741701</v>
      </c>
      <c r="U156" s="17">
        <f t="shared" si="8"/>
        <v>2.6530328000000001</v>
      </c>
      <c r="V156" s="7" t="s">
        <v>373</v>
      </c>
      <c r="W156" s="7" t="s">
        <v>84</v>
      </c>
      <c r="X156" s="7" t="s">
        <v>250</v>
      </c>
      <c r="Y156" s="7"/>
      <c r="Z156" s="7"/>
      <c r="AA156" s="7">
        <f>IF(AND(Hypothèses!$B$12=1,Z156="Secondary_Source"),0,1)</f>
        <v>1</v>
      </c>
    </row>
    <row r="157" spans="1:27" x14ac:dyDescent="0.3">
      <c r="A157" s="7" t="s">
        <v>423</v>
      </c>
      <c r="B157" s="7" t="s">
        <v>78</v>
      </c>
      <c r="C157" s="7" t="s">
        <v>122</v>
      </c>
      <c r="D157" s="7" t="s">
        <v>244</v>
      </c>
      <c r="E157" s="7" t="s">
        <v>372</v>
      </c>
      <c r="F157" s="7" t="s">
        <v>258</v>
      </c>
      <c r="G157" s="17">
        <v>1.2640880999999999</v>
      </c>
      <c r="H157" s="17">
        <v>1.9195440500000001</v>
      </c>
      <c r="I157" s="17">
        <v>2.5750000000000002</v>
      </c>
      <c r="J157" s="7" t="s">
        <v>373</v>
      </c>
      <c r="K157" s="7">
        <v>2040</v>
      </c>
      <c r="L157" s="7" t="str">
        <f>IF(Y157&lt;&gt;"",Y157,IF(AND(K157&gt;=Hypothèses!$B$9,K157&lt;=Hypothèses!$B$10),"actuel",IF(K157=2030,"2030",IF(K157=2050,"2050","autre"))))</f>
        <v>autre</v>
      </c>
      <c r="M157" s="7"/>
      <c r="N157" s="7" t="s">
        <v>248</v>
      </c>
      <c r="O157" s="7"/>
      <c r="P157" s="7" t="s">
        <v>282</v>
      </c>
      <c r="Q157" s="7" t="s">
        <v>49</v>
      </c>
      <c r="R157" s="14">
        <f>INDEX(Hypothèses!$B$14:$B$22,MATCH(Q157,Hypothèses!$A$14:$A$22,0))</f>
        <v>1</v>
      </c>
      <c r="S157" s="17">
        <f t="shared" si="6"/>
        <v>1.2640880999999999</v>
      </c>
      <c r="T157" s="17">
        <f t="shared" si="7"/>
        <v>1.9195440500000001</v>
      </c>
      <c r="U157" s="17">
        <f t="shared" si="8"/>
        <v>2.5750000000000002</v>
      </c>
      <c r="V157" s="7" t="s">
        <v>373</v>
      </c>
      <c r="W157" s="7" t="s">
        <v>84</v>
      </c>
      <c r="X157" s="7" t="s">
        <v>250</v>
      </c>
      <c r="Y157" s="7"/>
      <c r="Z157" s="7"/>
      <c r="AA157" s="7">
        <f>IF(AND(Hypothèses!$B$12=1,Z157="Secondary_Source"),0,1)</f>
        <v>1</v>
      </c>
    </row>
    <row r="158" spans="1:27" x14ac:dyDescent="0.3">
      <c r="A158" s="7" t="s">
        <v>424</v>
      </c>
      <c r="B158" s="7" t="s">
        <v>78</v>
      </c>
      <c r="C158" s="7" t="s">
        <v>122</v>
      </c>
      <c r="D158" s="7" t="s">
        <v>244</v>
      </c>
      <c r="E158" s="7" t="s">
        <v>372</v>
      </c>
      <c r="F158" s="7" t="s">
        <v>258</v>
      </c>
      <c r="G158" s="17">
        <v>1.1860656000000001</v>
      </c>
      <c r="H158" s="17">
        <v>1.8649283000000001</v>
      </c>
      <c r="I158" s="17">
        <v>2.5437910000000001</v>
      </c>
      <c r="J158" s="7" t="s">
        <v>373</v>
      </c>
      <c r="K158" s="7">
        <v>2041</v>
      </c>
      <c r="L158" s="7" t="str">
        <f>IF(Y158&lt;&gt;"",Y158,IF(AND(K158&gt;=Hypothèses!$B$9,K158&lt;=Hypothèses!$B$10),"actuel",IF(K158=2030,"2030",IF(K158=2050,"2050","autre"))))</f>
        <v>autre</v>
      </c>
      <c r="M158" s="7"/>
      <c r="N158" s="7" t="s">
        <v>248</v>
      </c>
      <c r="O158" s="7"/>
      <c r="P158" s="7" t="s">
        <v>282</v>
      </c>
      <c r="Q158" s="7" t="s">
        <v>49</v>
      </c>
      <c r="R158" s="14">
        <f>INDEX(Hypothèses!$B$14:$B$22,MATCH(Q158,Hypothèses!$A$14:$A$22,0))</f>
        <v>1</v>
      </c>
      <c r="S158" s="17">
        <f t="shared" si="6"/>
        <v>1.1860656000000001</v>
      </c>
      <c r="T158" s="17">
        <f t="shared" si="7"/>
        <v>1.8649283000000001</v>
      </c>
      <c r="U158" s="17">
        <f t="shared" si="8"/>
        <v>2.5437910000000001</v>
      </c>
      <c r="V158" s="7" t="s">
        <v>373</v>
      </c>
      <c r="W158" s="7" t="s">
        <v>84</v>
      </c>
      <c r="X158" s="7" t="s">
        <v>250</v>
      </c>
      <c r="Y158" s="7"/>
      <c r="Z158" s="7"/>
      <c r="AA158" s="7">
        <f>IF(AND(Hypothèses!$B$12=1,Z158="Secondary_Source"),0,1)</f>
        <v>1</v>
      </c>
    </row>
    <row r="159" spans="1:27" x14ac:dyDescent="0.3">
      <c r="A159" s="7" t="s">
        <v>425</v>
      </c>
      <c r="B159" s="7" t="s">
        <v>78</v>
      </c>
      <c r="C159" s="7" t="s">
        <v>122</v>
      </c>
      <c r="D159" s="7" t="s">
        <v>244</v>
      </c>
      <c r="E159" s="7" t="s">
        <v>372</v>
      </c>
      <c r="F159" s="7" t="s">
        <v>258</v>
      </c>
      <c r="G159" s="17">
        <v>1.2172746000000001</v>
      </c>
      <c r="H159" s="17">
        <v>1.8493186500000001</v>
      </c>
      <c r="I159" s="17">
        <v>2.4813627</v>
      </c>
      <c r="J159" s="7" t="s">
        <v>373</v>
      </c>
      <c r="K159" s="7">
        <v>2042</v>
      </c>
      <c r="L159" s="7" t="str">
        <f>IF(Y159&lt;&gt;"",Y159,IF(AND(K159&gt;=Hypothèses!$B$9,K159&lt;=Hypothèses!$B$10),"actuel",IF(K159=2030,"2030",IF(K159=2050,"2050","autre"))))</f>
        <v>autre</v>
      </c>
      <c r="M159" s="7"/>
      <c r="N159" s="7" t="s">
        <v>248</v>
      </c>
      <c r="O159" s="7"/>
      <c r="P159" s="7" t="s">
        <v>282</v>
      </c>
      <c r="Q159" s="7" t="s">
        <v>49</v>
      </c>
      <c r="R159" s="14">
        <f>INDEX(Hypothèses!$B$14:$B$22,MATCH(Q159,Hypothèses!$A$14:$A$22,0))</f>
        <v>1</v>
      </c>
      <c r="S159" s="17">
        <f t="shared" si="6"/>
        <v>1.2172746000000001</v>
      </c>
      <c r="T159" s="17">
        <f t="shared" si="7"/>
        <v>1.8493186500000001</v>
      </c>
      <c r="U159" s="17">
        <f t="shared" si="8"/>
        <v>2.4813627</v>
      </c>
      <c r="V159" s="7" t="s">
        <v>373</v>
      </c>
      <c r="W159" s="7" t="s">
        <v>84</v>
      </c>
      <c r="X159" s="7" t="s">
        <v>250</v>
      </c>
      <c r="Y159" s="7"/>
      <c r="Z159" s="7"/>
      <c r="AA159" s="7">
        <f>IF(AND(Hypothèses!$B$12=1,Z159="Secondary_Source"),0,1)</f>
        <v>1</v>
      </c>
    </row>
    <row r="160" spans="1:27" x14ac:dyDescent="0.3">
      <c r="A160" s="7" t="s">
        <v>426</v>
      </c>
      <c r="B160" s="7" t="s">
        <v>78</v>
      </c>
      <c r="C160" s="7" t="s">
        <v>122</v>
      </c>
      <c r="D160" s="7" t="s">
        <v>244</v>
      </c>
      <c r="E160" s="7" t="s">
        <v>372</v>
      </c>
      <c r="F160" s="7" t="s">
        <v>258</v>
      </c>
      <c r="G160" s="17">
        <v>1.1704508</v>
      </c>
      <c r="H160" s="17">
        <v>1.7946926000000001</v>
      </c>
      <c r="I160" s="17">
        <v>2.4189343999999999</v>
      </c>
      <c r="J160" s="7" t="s">
        <v>373</v>
      </c>
      <c r="K160" s="7">
        <v>2043</v>
      </c>
      <c r="L160" s="7" t="str">
        <f>IF(Y160&lt;&gt;"",Y160,IF(AND(K160&gt;=Hypothèses!$B$9,K160&lt;=Hypothèses!$B$10),"actuel",IF(K160=2030,"2030",IF(K160=2050,"2050","autre"))))</f>
        <v>autre</v>
      </c>
      <c r="M160" s="7"/>
      <c r="N160" s="7" t="s">
        <v>248</v>
      </c>
      <c r="O160" s="7"/>
      <c r="P160" s="7" t="s">
        <v>282</v>
      </c>
      <c r="Q160" s="7" t="s">
        <v>49</v>
      </c>
      <c r="R160" s="14">
        <f>INDEX(Hypothèses!$B$14:$B$22,MATCH(Q160,Hypothèses!$A$14:$A$22,0))</f>
        <v>1</v>
      </c>
      <c r="S160" s="17">
        <f t="shared" si="6"/>
        <v>1.1704508</v>
      </c>
      <c r="T160" s="17">
        <f t="shared" si="7"/>
        <v>1.7946926000000001</v>
      </c>
      <c r="U160" s="17">
        <f t="shared" si="8"/>
        <v>2.4189343999999999</v>
      </c>
      <c r="V160" s="7" t="s">
        <v>373</v>
      </c>
      <c r="W160" s="7" t="s">
        <v>84</v>
      </c>
      <c r="X160" s="7" t="s">
        <v>250</v>
      </c>
      <c r="Y160" s="7"/>
      <c r="Z160" s="7"/>
      <c r="AA160" s="7">
        <f>IF(AND(Hypothèses!$B$12=1,Z160="Secondary_Source"),0,1)</f>
        <v>1</v>
      </c>
    </row>
    <row r="161" spans="1:27" x14ac:dyDescent="0.3">
      <c r="A161" s="7" t="s">
        <v>427</v>
      </c>
      <c r="B161" s="7" t="s">
        <v>78</v>
      </c>
      <c r="C161" s="7" t="s">
        <v>122</v>
      </c>
      <c r="D161" s="7" t="s">
        <v>244</v>
      </c>
      <c r="E161" s="7" t="s">
        <v>372</v>
      </c>
      <c r="F161" s="7" t="s">
        <v>258</v>
      </c>
      <c r="G161" s="17">
        <v>1.1548463</v>
      </c>
      <c r="H161" s="17">
        <v>1.7556813499999999</v>
      </c>
      <c r="I161" s="17">
        <v>2.3565163999999998</v>
      </c>
      <c r="J161" s="7" t="s">
        <v>373</v>
      </c>
      <c r="K161" s="7">
        <v>2044</v>
      </c>
      <c r="L161" s="7" t="str">
        <f>IF(Y161&lt;&gt;"",Y161,IF(AND(K161&gt;=Hypothèses!$B$9,K161&lt;=Hypothèses!$B$10),"actuel",IF(K161=2030,"2030",IF(K161=2050,"2050","autre"))))</f>
        <v>autre</v>
      </c>
      <c r="M161" s="7"/>
      <c r="N161" s="7" t="s">
        <v>248</v>
      </c>
      <c r="O161" s="7"/>
      <c r="P161" s="7" t="s">
        <v>282</v>
      </c>
      <c r="Q161" s="7" t="s">
        <v>49</v>
      </c>
      <c r="R161" s="14">
        <f>INDEX(Hypothèses!$B$14:$B$22,MATCH(Q161,Hypothèses!$A$14:$A$22,0))</f>
        <v>1</v>
      </c>
      <c r="S161" s="17">
        <f t="shared" si="6"/>
        <v>1.1548463</v>
      </c>
      <c r="T161" s="17">
        <f t="shared" si="7"/>
        <v>1.7556813499999999</v>
      </c>
      <c r="U161" s="17">
        <f t="shared" si="8"/>
        <v>2.3565163999999998</v>
      </c>
      <c r="V161" s="7" t="s">
        <v>373</v>
      </c>
      <c r="W161" s="7" t="s">
        <v>84</v>
      </c>
      <c r="X161" s="7" t="s">
        <v>250</v>
      </c>
      <c r="Y161" s="7"/>
      <c r="Z161" s="7"/>
      <c r="AA161" s="7">
        <f>IF(AND(Hypothèses!$B$12=1,Z161="Secondary_Source"),0,1)</f>
        <v>1</v>
      </c>
    </row>
    <row r="162" spans="1:27" x14ac:dyDescent="0.3">
      <c r="A162" s="7" t="s">
        <v>428</v>
      </c>
      <c r="B162" s="7" t="s">
        <v>78</v>
      </c>
      <c r="C162" s="7" t="s">
        <v>122</v>
      </c>
      <c r="D162" s="7" t="s">
        <v>244</v>
      </c>
      <c r="E162" s="7" t="s">
        <v>372</v>
      </c>
      <c r="F162" s="7" t="s">
        <v>258</v>
      </c>
      <c r="G162" s="17">
        <v>1.1080327999999999</v>
      </c>
      <c r="H162" s="17">
        <v>1.6932582</v>
      </c>
      <c r="I162" s="17">
        <v>2.2784835999999999</v>
      </c>
      <c r="J162" s="7" t="s">
        <v>373</v>
      </c>
      <c r="K162" s="7">
        <v>2045</v>
      </c>
      <c r="L162" s="7" t="str">
        <f>IF(Y162&lt;&gt;"",Y162,IF(AND(K162&gt;=Hypothèses!$B$9,K162&lt;=Hypothèses!$B$10),"actuel",IF(K162=2030,"2030",IF(K162=2050,"2050","autre"))))</f>
        <v>autre</v>
      </c>
      <c r="M162" s="7"/>
      <c r="N162" s="7" t="s">
        <v>248</v>
      </c>
      <c r="O162" s="7"/>
      <c r="P162" s="7" t="s">
        <v>282</v>
      </c>
      <c r="Q162" s="7" t="s">
        <v>49</v>
      </c>
      <c r="R162" s="14">
        <f>INDEX(Hypothèses!$B$14:$B$22,MATCH(Q162,Hypothèses!$A$14:$A$22,0))</f>
        <v>1</v>
      </c>
      <c r="S162" s="17">
        <f t="shared" si="6"/>
        <v>1.1080327999999999</v>
      </c>
      <c r="T162" s="17">
        <f t="shared" si="7"/>
        <v>1.6932582</v>
      </c>
      <c r="U162" s="17">
        <f t="shared" si="8"/>
        <v>2.2784835999999999</v>
      </c>
      <c r="V162" s="7" t="s">
        <v>373</v>
      </c>
      <c r="W162" s="7" t="s">
        <v>84</v>
      </c>
      <c r="X162" s="7" t="s">
        <v>250</v>
      </c>
      <c r="Y162" s="7"/>
      <c r="Z162" s="7"/>
      <c r="AA162" s="7">
        <f>IF(AND(Hypothèses!$B$12=1,Z162="Secondary_Source"),0,1)</f>
        <v>1</v>
      </c>
    </row>
    <row r="163" spans="1:27" x14ac:dyDescent="0.3">
      <c r="A163" s="7" t="s">
        <v>429</v>
      </c>
      <c r="B163" s="7" t="s">
        <v>78</v>
      </c>
      <c r="C163" s="7" t="s">
        <v>122</v>
      </c>
      <c r="D163" s="7" t="s">
        <v>244</v>
      </c>
      <c r="E163" s="7" t="s">
        <v>372</v>
      </c>
      <c r="F163" s="7" t="s">
        <v>258</v>
      </c>
      <c r="G163" s="17">
        <v>1.0612090000000001</v>
      </c>
      <c r="H163" s="17">
        <v>1.6386373000000001</v>
      </c>
      <c r="I163" s="17">
        <v>2.2160655999999999</v>
      </c>
      <c r="J163" s="7" t="s">
        <v>373</v>
      </c>
      <c r="K163" s="7">
        <v>2046</v>
      </c>
      <c r="L163" s="7" t="str">
        <f>IF(Y163&lt;&gt;"",Y163,IF(AND(K163&gt;=Hypothèses!$B$9,K163&lt;=Hypothèses!$B$10),"actuel",IF(K163=2030,"2030",IF(K163=2050,"2050","autre"))))</f>
        <v>autre</v>
      </c>
      <c r="M163" s="7"/>
      <c r="N163" s="7" t="s">
        <v>248</v>
      </c>
      <c r="O163" s="7"/>
      <c r="P163" s="7" t="s">
        <v>282</v>
      </c>
      <c r="Q163" s="7" t="s">
        <v>49</v>
      </c>
      <c r="R163" s="14">
        <f>INDEX(Hypothèses!$B$14:$B$22,MATCH(Q163,Hypothèses!$A$14:$A$22,0))</f>
        <v>1</v>
      </c>
      <c r="S163" s="17">
        <f t="shared" si="6"/>
        <v>1.0612090000000001</v>
      </c>
      <c r="T163" s="17">
        <f t="shared" si="7"/>
        <v>1.6386373000000001</v>
      </c>
      <c r="U163" s="17">
        <f t="shared" si="8"/>
        <v>2.2160655999999999</v>
      </c>
      <c r="V163" s="7" t="s">
        <v>373</v>
      </c>
      <c r="W163" s="7" t="s">
        <v>84</v>
      </c>
      <c r="X163" s="7" t="s">
        <v>250</v>
      </c>
      <c r="Y163" s="7"/>
      <c r="Z163" s="7"/>
      <c r="AA163" s="7">
        <f>IF(AND(Hypothèses!$B$12=1,Z163="Secondary_Source"),0,1)</f>
        <v>1</v>
      </c>
    </row>
    <row r="164" spans="1:27" x14ac:dyDescent="0.3">
      <c r="A164" s="7" t="s">
        <v>430</v>
      </c>
      <c r="B164" s="7" t="s">
        <v>78</v>
      </c>
      <c r="C164" s="7" t="s">
        <v>122</v>
      </c>
      <c r="D164" s="7" t="s">
        <v>244</v>
      </c>
      <c r="E164" s="7" t="s">
        <v>372</v>
      </c>
      <c r="F164" s="7" t="s">
        <v>258</v>
      </c>
      <c r="G164" s="17">
        <v>0.98318134999999995</v>
      </c>
      <c r="H164" s="17">
        <v>1.5762115750000001</v>
      </c>
      <c r="I164" s="17">
        <v>2.1692418</v>
      </c>
      <c r="J164" s="7" t="s">
        <v>373</v>
      </c>
      <c r="K164" s="7">
        <v>2047</v>
      </c>
      <c r="L164" s="7" t="str">
        <f>IF(Y164&lt;&gt;"",Y164,IF(AND(K164&gt;=Hypothèses!$B$9,K164&lt;=Hypothèses!$B$10),"actuel",IF(K164=2030,"2030",IF(K164=2050,"2050","autre"))))</f>
        <v>autre</v>
      </c>
      <c r="M164" s="7"/>
      <c r="N164" s="7" t="s">
        <v>248</v>
      </c>
      <c r="O164" s="7"/>
      <c r="P164" s="7" t="s">
        <v>282</v>
      </c>
      <c r="Q164" s="7" t="s">
        <v>49</v>
      </c>
      <c r="R164" s="14">
        <f>INDEX(Hypothèses!$B$14:$B$22,MATCH(Q164,Hypothèses!$A$14:$A$22,0))</f>
        <v>1</v>
      </c>
      <c r="S164" s="17">
        <f t="shared" si="6"/>
        <v>0.98318134999999995</v>
      </c>
      <c r="T164" s="17">
        <f t="shared" si="7"/>
        <v>1.5762115750000001</v>
      </c>
      <c r="U164" s="17">
        <f t="shared" si="8"/>
        <v>2.1692418</v>
      </c>
      <c r="V164" s="7" t="s">
        <v>373</v>
      </c>
      <c r="W164" s="7" t="s">
        <v>84</v>
      </c>
      <c r="X164" s="7" t="s">
        <v>250</v>
      </c>
      <c r="Y164" s="7"/>
      <c r="Z164" s="7"/>
      <c r="AA164" s="7">
        <f>IF(AND(Hypothèses!$B$12=1,Z164="Secondary_Source"),0,1)</f>
        <v>1</v>
      </c>
    </row>
    <row r="165" spans="1:27" x14ac:dyDescent="0.3">
      <c r="A165" s="7" t="s">
        <v>431</v>
      </c>
      <c r="B165" s="7" t="s">
        <v>78</v>
      </c>
      <c r="C165" s="7" t="s">
        <v>122</v>
      </c>
      <c r="D165" s="7" t="s">
        <v>244</v>
      </c>
      <c r="E165" s="7" t="s">
        <v>372</v>
      </c>
      <c r="F165" s="7" t="s">
        <v>258</v>
      </c>
      <c r="G165" s="17">
        <v>0.93636372999999995</v>
      </c>
      <c r="H165" s="17">
        <v>1.521588615</v>
      </c>
      <c r="I165" s="17">
        <v>2.1068134999999999</v>
      </c>
      <c r="J165" s="7" t="s">
        <v>373</v>
      </c>
      <c r="K165" s="7">
        <v>2048</v>
      </c>
      <c r="L165" s="7" t="str">
        <f>IF(Y165&lt;&gt;"",Y165,IF(AND(K165&gt;=Hypothèses!$B$9,K165&lt;=Hypothèses!$B$10),"actuel",IF(K165=2030,"2030",IF(K165=2050,"2050","autre"))))</f>
        <v>autre</v>
      </c>
      <c r="M165" s="7"/>
      <c r="N165" s="7" t="s">
        <v>248</v>
      </c>
      <c r="O165" s="7"/>
      <c r="P165" s="7" t="s">
        <v>282</v>
      </c>
      <c r="Q165" s="7" t="s">
        <v>49</v>
      </c>
      <c r="R165" s="14">
        <f>INDEX(Hypothèses!$B$14:$B$22,MATCH(Q165,Hypothèses!$A$14:$A$22,0))</f>
        <v>1</v>
      </c>
      <c r="S165" s="17">
        <f t="shared" si="6"/>
        <v>0.93636372999999995</v>
      </c>
      <c r="T165" s="17">
        <f t="shared" si="7"/>
        <v>1.521588615</v>
      </c>
      <c r="U165" s="17">
        <f t="shared" si="8"/>
        <v>2.1068134999999999</v>
      </c>
      <c r="V165" s="7" t="s">
        <v>373</v>
      </c>
      <c r="W165" s="7" t="s">
        <v>84</v>
      </c>
      <c r="X165" s="7" t="s">
        <v>250</v>
      </c>
      <c r="Y165" s="7"/>
      <c r="Z165" s="7"/>
      <c r="AA165" s="7">
        <f>IF(AND(Hypothèses!$B$12=1,Z165="Secondary_Source"),0,1)</f>
        <v>1</v>
      </c>
    </row>
    <row r="166" spans="1:27" x14ac:dyDescent="0.3">
      <c r="A166" s="7" t="s">
        <v>432</v>
      </c>
      <c r="B166" s="7" t="s">
        <v>78</v>
      </c>
      <c r="C166" s="7" t="s">
        <v>122</v>
      </c>
      <c r="D166" s="7" t="s">
        <v>244</v>
      </c>
      <c r="E166" s="7" t="s">
        <v>372</v>
      </c>
      <c r="F166" s="7" t="s">
        <v>258</v>
      </c>
      <c r="G166" s="17">
        <v>0.98318134999999995</v>
      </c>
      <c r="H166" s="17">
        <v>1.513788425</v>
      </c>
      <c r="I166" s="17">
        <v>2.0443954999999998</v>
      </c>
      <c r="J166" s="7" t="s">
        <v>373</v>
      </c>
      <c r="K166" s="7">
        <v>2049</v>
      </c>
      <c r="L166" s="7" t="str">
        <f>IF(Y166&lt;&gt;"",Y166,IF(AND(K166&gt;=Hypothèses!$B$9,K166&lt;=Hypothèses!$B$10),"actuel",IF(K166=2030,"2030",IF(K166=2050,"2050","autre"))))</f>
        <v>autre</v>
      </c>
      <c r="M166" s="7"/>
      <c r="N166" s="7" t="s">
        <v>248</v>
      </c>
      <c r="O166" s="7"/>
      <c r="P166" s="7" t="s">
        <v>282</v>
      </c>
      <c r="Q166" s="7" t="s">
        <v>49</v>
      </c>
      <c r="R166" s="14">
        <f>INDEX(Hypothèses!$B$14:$B$22,MATCH(Q166,Hypothèses!$A$14:$A$22,0))</f>
        <v>1</v>
      </c>
      <c r="S166" s="17">
        <f t="shared" si="6"/>
        <v>0.98318134999999995</v>
      </c>
      <c r="T166" s="17">
        <f t="shared" si="7"/>
        <v>1.513788425</v>
      </c>
      <c r="U166" s="17">
        <f t="shared" si="8"/>
        <v>2.0443954999999998</v>
      </c>
      <c r="V166" s="7" t="s">
        <v>373</v>
      </c>
      <c r="W166" s="7" t="s">
        <v>84</v>
      </c>
      <c r="X166" s="7" t="s">
        <v>250</v>
      </c>
      <c r="Y166" s="7"/>
      <c r="Z166" s="7"/>
      <c r="AA166" s="7">
        <f>IF(AND(Hypothèses!$B$12=1,Z166="Secondary_Source"),0,1)</f>
        <v>1</v>
      </c>
    </row>
    <row r="167" spans="1:27" x14ac:dyDescent="0.3">
      <c r="A167" s="7" t="s">
        <v>433</v>
      </c>
      <c r="B167" s="7" t="s">
        <v>78</v>
      </c>
      <c r="C167" s="7" t="s">
        <v>122</v>
      </c>
      <c r="D167" s="7" t="s">
        <v>244</v>
      </c>
      <c r="E167" s="7" t="s">
        <v>372</v>
      </c>
      <c r="F167" s="7" t="s">
        <v>258</v>
      </c>
      <c r="G167" s="17">
        <v>0.93636372999999995</v>
      </c>
      <c r="H167" s="17">
        <v>1.451363215</v>
      </c>
      <c r="I167" s="17">
        <v>1.9663626999999999</v>
      </c>
      <c r="J167" s="7" t="s">
        <v>373</v>
      </c>
      <c r="K167" s="7">
        <v>2050</v>
      </c>
      <c r="L167" s="7" t="str">
        <f>IF(Y167&lt;&gt;"",Y167,IF(AND(K167&gt;=Hypothèses!$B$9,K167&lt;=Hypothèses!$B$10),"actuel",IF(K167=2030,"2030",IF(K167=2050,"2050","autre"))))</f>
        <v>2050</v>
      </c>
      <c r="M167" s="7"/>
      <c r="N167" s="7" t="s">
        <v>248</v>
      </c>
      <c r="O167" s="7"/>
      <c r="P167" s="7" t="s">
        <v>282</v>
      </c>
      <c r="Q167" s="7" t="s">
        <v>49</v>
      </c>
      <c r="R167" s="14">
        <f>INDEX(Hypothèses!$B$14:$B$22,MATCH(Q167,Hypothèses!$A$14:$A$22,0))</f>
        <v>1</v>
      </c>
      <c r="S167" s="17">
        <f t="shared" si="6"/>
        <v>0.93636372999999995</v>
      </c>
      <c r="T167" s="17">
        <f t="shared" si="7"/>
        <v>1.451363215</v>
      </c>
      <c r="U167" s="17">
        <f t="shared" si="8"/>
        <v>1.9663626999999999</v>
      </c>
      <c r="V167" s="7" t="s">
        <v>373</v>
      </c>
      <c r="W167" s="7" t="s">
        <v>84</v>
      </c>
      <c r="X167" s="7" t="s">
        <v>250</v>
      </c>
      <c r="Y167" s="7"/>
      <c r="Z167" s="7"/>
      <c r="AA167" s="7">
        <f>IF(AND(Hypothèses!$B$12=1,Z167="Secondary_Source"),0,1)</f>
        <v>1</v>
      </c>
    </row>
    <row r="168" spans="1:27" x14ac:dyDescent="0.3">
      <c r="A168" s="7" t="s">
        <v>434</v>
      </c>
      <c r="B168" s="7" t="s">
        <v>78</v>
      </c>
      <c r="C168" s="7" t="s">
        <v>124</v>
      </c>
      <c r="D168" s="7" t="s">
        <v>244</v>
      </c>
      <c r="E168" s="7" t="s">
        <v>372</v>
      </c>
      <c r="F168" s="7" t="s">
        <v>258</v>
      </c>
      <c r="G168" s="17">
        <v>2.2381236823808099</v>
      </c>
      <c r="H168" s="17">
        <v>4.3637524478801497</v>
      </c>
      <c r="I168" s="17">
        <v>6.4893812133794997</v>
      </c>
      <c r="J168" s="7" t="s">
        <v>373</v>
      </c>
      <c r="K168" s="7">
        <v>2020</v>
      </c>
      <c r="L168" s="7" t="str">
        <f>IF(Y168&lt;&gt;"",Y168,IF(AND(K168&gt;=Hypothèses!$B$9,K168&lt;=Hypothèses!$B$10),"actuel",IF(K168=2030,"2030",IF(K168=2050,"2050","autre"))))</f>
        <v>actuel</v>
      </c>
      <c r="M168" s="7"/>
      <c r="N168" s="7" t="s">
        <v>248</v>
      </c>
      <c r="O168" s="7"/>
      <c r="P168" s="7" t="s">
        <v>264</v>
      </c>
      <c r="Q168" s="7" t="s">
        <v>49</v>
      </c>
      <c r="R168" s="14">
        <f>INDEX(Hypothèses!$B$14:$B$22,MATCH(Q168,Hypothèses!$A$14:$A$22,0))</f>
        <v>1</v>
      </c>
      <c r="S168" s="17">
        <f t="shared" si="6"/>
        <v>2.2381236823808099</v>
      </c>
      <c r="T168" s="17">
        <f t="shared" si="7"/>
        <v>4.3637524478801497</v>
      </c>
      <c r="U168" s="17">
        <f t="shared" si="8"/>
        <v>6.4893812133794997</v>
      </c>
      <c r="V168" s="7" t="s">
        <v>373</v>
      </c>
      <c r="W168" s="7" t="s">
        <v>84</v>
      </c>
      <c r="X168" s="7" t="s">
        <v>250</v>
      </c>
      <c r="Y168" s="7"/>
      <c r="Z168" s="7"/>
      <c r="AA168" s="7">
        <f>IF(AND(Hypothèses!$B$12=1,Z168="Secondary_Source"),0,1)</f>
        <v>1</v>
      </c>
    </row>
    <row r="169" spans="1:27" x14ac:dyDescent="0.3">
      <c r="A169" s="7" t="s">
        <v>435</v>
      </c>
      <c r="B169" s="7" t="s">
        <v>78</v>
      </c>
      <c r="C169" s="7" t="s">
        <v>124</v>
      </c>
      <c r="D169" s="7" t="s">
        <v>244</v>
      </c>
      <c r="E169" s="7" t="s">
        <v>372</v>
      </c>
      <c r="F169" s="7" t="s">
        <v>258</v>
      </c>
      <c r="G169" s="17">
        <v>1.9482770728286001</v>
      </c>
      <c r="H169" s="17">
        <v>3.4927183321983901</v>
      </c>
      <c r="I169" s="17">
        <v>5.0371595915681704</v>
      </c>
      <c r="J169" s="7" t="s">
        <v>373</v>
      </c>
      <c r="K169" s="7">
        <v>2030</v>
      </c>
      <c r="L169" s="7" t="str">
        <f>IF(Y169&lt;&gt;"",Y169,IF(AND(K169&gt;=Hypothèses!$B$9,K169&lt;=Hypothèses!$B$10),"actuel",IF(K169=2030,"2030",IF(K169=2050,"2050","autre"))))</f>
        <v>2030</v>
      </c>
      <c r="M169" s="7"/>
      <c r="N169" s="7" t="s">
        <v>248</v>
      </c>
      <c r="O169" s="7"/>
      <c r="P169" s="7" t="s">
        <v>264</v>
      </c>
      <c r="Q169" s="7" t="s">
        <v>49</v>
      </c>
      <c r="R169" s="14">
        <f>INDEX(Hypothèses!$B$14:$B$22,MATCH(Q169,Hypothèses!$A$14:$A$22,0))</f>
        <v>1</v>
      </c>
      <c r="S169" s="17">
        <f t="shared" si="6"/>
        <v>1.9482770728286001</v>
      </c>
      <c r="T169" s="17">
        <f t="shared" si="7"/>
        <v>3.4927183321983901</v>
      </c>
      <c r="U169" s="17">
        <f t="shared" si="8"/>
        <v>5.0371595915681704</v>
      </c>
      <c r="V169" s="7" t="s">
        <v>373</v>
      </c>
      <c r="W169" s="7" t="s">
        <v>84</v>
      </c>
      <c r="X169" s="7" t="s">
        <v>250</v>
      </c>
      <c r="Y169" s="7"/>
      <c r="Z169" s="7"/>
      <c r="AA169" s="7">
        <f>IF(AND(Hypothèses!$B$12=1,Z169="Secondary_Source"),0,1)</f>
        <v>1</v>
      </c>
    </row>
    <row r="170" spans="1:27" x14ac:dyDescent="0.3">
      <c r="A170" s="7" t="s">
        <v>436</v>
      </c>
      <c r="B170" s="7" t="s">
        <v>78</v>
      </c>
      <c r="C170" s="7" t="s">
        <v>124</v>
      </c>
      <c r="D170" s="7" t="s">
        <v>244</v>
      </c>
      <c r="E170" s="7" t="s">
        <v>372</v>
      </c>
      <c r="F170" s="7" t="s">
        <v>258</v>
      </c>
      <c r="G170" s="17">
        <v>1.74941679589531</v>
      </c>
      <c r="H170" s="17">
        <v>3.0287974859411899</v>
      </c>
      <c r="I170" s="17">
        <v>4.3081781759870603</v>
      </c>
      <c r="J170" s="7" t="s">
        <v>373</v>
      </c>
      <c r="K170" s="7">
        <v>2040</v>
      </c>
      <c r="L170" s="7" t="str">
        <f>IF(Y170&lt;&gt;"",Y170,IF(AND(K170&gt;=Hypothèses!$B$9,K170&lt;=Hypothèses!$B$10),"actuel",IF(K170=2030,"2030",IF(K170=2050,"2050","autre"))))</f>
        <v>autre</v>
      </c>
      <c r="M170" s="7"/>
      <c r="N170" s="7" t="s">
        <v>248</v>
      </c>
      <c r="O170" s="7"/>
      <c r="P170" s="7" t="s">
        <v>264</v>
      </c>
      <c r="Q170" s="7" t="s">
        <v>49</v>
      </c>
      <c r="R170" s="14">
        <f>INDEX(Hypothèses!$B$14:$B$22,MATCH(Q170,Hypothèses!$A$14:$A$22,0))</f>
        <v>1</v>
      </c>
      <c r="S170" s="17">
        <f t="shared" si="6"/>
        <v>1.74941679589531</v>
      </c>
      <c r="T170" s="17">
        <f t="shared" si="7"/>
        <v>3.0287974859411899</v>
      </c>
      <c r="U170" s="17">
        <f t="shared" si="8"/>
        <v>4.3081781759870603</v>
      </c>
      <c r="V170" s="7" t="s">
        <v>373</v>
      </c>
      <c r="W170" s="7" t="s">
        <v>84</v>
      </c>
      <c r="X170" s="7" t="s">
        <v>250</v>
      </c>
      <c r="Y170" s="7"/>
      <c r="Z170" s="7"/>
      <c r="AA170" s="7">
        <f>IF(AND(Hypothèses!$B$12=1,Z170="Secondary_Source"),0,1)</f>
        <v>1</v>
      </c>
    </row>
    <row r="171" spans="1:27" x14ac:dyDescent="0.3">
      <c r="A171" s="7" t="s">
        <v>437</v>
      </c>
      <c r="B171" s="7" t="s">
        <v>78</v>
      </c>
      <c r="C171" s="7" t="s">
        <v>124</v>
      </c>
      <c r="D171" s="7" t="s">
        <v>244</v>
      </c>
      <c r="E171" s="7" t="s">
        <v>372</v>
      </c>
      <c r="F171" s="7" t="s">
        <v>258</v>
      </c>
      <c r="G171" s="17">
        <v>1.59894012047361</v>
      </c>
      <c r="H171" s="17">
        <v>2.6772545417105098</v>
      </c>
      <c r="I171" s="17">
        <v>3.75556896294741</v>
      </c>
      <c r="J171" s="7" t="s">
        <v>373</v>
      </c>
      <c r="K171" s="7">
        <v>2050</v>
      </c>
      <c r="L171" s="7" t="str">
        <f>IF(Y171&lt;&gt;"",Y171,IF(AND(K171&gt;=Hypothèses!$B$9,K171&lt;=Hypothèses!$B$10),"actuel",IF(K171=2030,"2030",IF(K171=2050,"2050","autre"))))</f>
        <v>2050</v>
      </c>
      <c r="M171" s="7"/>
      <c r="N171" s="7" t="s">
        <v>248</v>
      </c>
      <c r="O171" s="7"/>
      <c r="P171" s="7" t="s">
        <v>264</v>
      </c>
      <c r="Q171" s="7" t="s">
        <v>49</v>
      </c>
      <c r="R171" s="14">
        <f>INDEX(Hypothèses!$B$14:$B$22,MATCH(Q171,Hypothèses!$A$14:$A$22,0))</f>
        <v>1</v>
      </c>
      <c r="S171" s="17">
        <f t="shared" si="6"/>
        <v>1.59894012047361</v>
      </c>
      <c r="T171" s="17">
        <f t="shared" si="7"/>
        <v>2.6772545417105098</v>
      </c>
      <c r="U171" s="17">
        <f t="shared" si="8"/>
        <v>3.75556896294741</v>
      </c>
      <c r="V171" s="7" t="s">
        <v>373</v>
      </c>
      <c r="W171" s="7" t="s">
        <v>84</v>
      </c>
      <c r="X171" s="7" t="s">
        <v>250</v>
      </c>
      <c r="Y171" s="7"/>
      <c r="Z171" s="7"/>
      <c r="AA171" s="7">
        <f>IF(AND(Hypothèses!$B$12=1,Z171="Secondary_Source"),0,1)</f>
        <v>1</v>
      </c>
    </row>
    <row r="172" spans="1:27" x14ac:dyDescent="0.3">
      <c r="A172" s="7" t="s">
        <v>438</v>
      </c>
      <c r="B172" s="7" t="s">
        <v>78</v>
      </c>
      <c r="C172" s="7" t="s">
        <v>128</v>
      </c>
      <c r="D172" s="7" t="s">
        <v>244</v>
      </c>
      <c r="E172" s="7" t="s">
        <v>372</v>
      </c>
      <c r="F172" s="7" t="s">
        <v>258</v>
      </c>
      <c r="G172" s="17"/>
      <c r="H172" s="17">
        <v>3.1915326652961999</v>
      </c>
      <c r="I172" s="17"/>
      <c r="J172" s="7" t="s">
        <v>373</v>
      </c>
      <c r="K172" s="7">
        <v>2020</v>
      </c>
      <c r="L172" s="7" t="str">
        <f>IF(Y172&lt;&gt;"",Y172,IF(AND(K172&gt;=Hypothèses!$B$9,K172&lt;=Hypothèses!$B$10),"actuel",IF(K172=2030,"2030",IF(K172=2050,"2050","autre"))))</f>
        <v>actuel</v>
      </c>
      <c r="M172" s="7"/>
      <c r="N172" s="7" t="s">
        <v>248</v>
      </c>
      <c r="O172" s="7"/>
      <c r="P172" s="7" t="s">
        <v>439</v>
      </c>
      <c r="Q172" s="7" t="s">
        <v>49</v>
      </c>
      <c r="R172" s="14">
        <f>INDEX(Hypothèses!$B$14:$B$22,MATCH(Q172,Hypothèses!$A$14:$A$22,0))</f>
        <v>1</v>
      </c>
      <c r="S172" s="17" t="str">
        <f t="shared" si="6"/>
        <v/>
      </c>
      <c r="T172" s="17">
        <f t="shared" si="7"/>
        <v>3.1915326652961999</v>
      </c>
      <c r="U172" s="17" t="str">
        <f t="shared" si="8"/>
        <v/>
      </c>
      <c r="V172" s="7" t="s">
        <v>373</v>
      </c>
      <c r="W172" s="7" t="s">
        <v>84</v>
      </c>
      <c r="X172" s="7" t="s">
        <v>250</v>
      </c>
      <c r="Y172" s="7"/>
      <c r="Z172" s="7"/>
      <c r="AA172" s="7">
        <f>IF(AND(Hypothèses!$B$12=1,Z172="Secondary_Source"),0,1)</f>
        <v>1</v>
      </c>
    </row>
    <row r="173" spans="1:27" x14ac:dyDescent="0.3">
      <c r="A173" s="7" t="s">
        <v>440</v>
      </c>
      <c r="B173" s="7" t="s">
        <v>78</v>
      </c>
      <c r="C173" s="7" t="s">
        <v>128</v>
      </c>
      <c r="D173" s="7" t="s">
        <v>244</v>
      </c>
      <c r="E173" s="7" t="s">
        <v>372</v>
      </c>
      <c r="F173" s="7" t="s">
        <v>258</v>
      </c>
      <c r="G173" s="17"/>
      <c r="H173" s="17">
        <v>2.5228167527482799</v>
      </c>
      <c r="I173" s="17"/>
      <c r="J173" s="7" t="s">
        <v>373</v>
      </c>
      <c r="K173" s="7">
        <v>2030</v>
      </c>
      <c r="L173" s="7" t="str">
        <f>IF(Y173&lt;&gt;"",Y173,IF(AND(K173&gt;=Hypothèses!$B$9,K173&lt;=Hypothèses!$B$10),"actuel",IF(K173=2030,"2030",IF(K173=2050,"2050","autre"))))</f>
        <v>2030</v>
      </c>
      <c r="M173" s="7"/>
      <c r="N173" s="7" t="s">
        <v>248</v>
      </c>
      <c r="O173" s="7"/>
      <c r="P173" s="7" t="s">
        <v>439</v>
      </c>
      <c r="Q173" s="7" t="s">
        <v>49</v>
      </c>
      <c r="R173" s="14">
        <f>INDEX(Hypothèses!$B$14:$B$22,MATCH(Q173,Hypothèses!$A$14:$A$22,0))</f>
        <v>1</v>
      </c>
      <c r="S173" s="17" t="str">
        <f t="shared" si="6"/>
        <v/>
      </c>
      <c r="T173" s="17">
        <f t="shared" si="7"/>
        <v>2.5228167527482799</v>
      </c>
      <c r="U173" s="17" t="str">
        <f t="shared" si="8"/>
        <v/>
      </c>
      <c r="V173" s="7" t="s">
        <v>373</v>
      </c>
      <c r="W173" s="7" t="s">
        <v>84</v>
      </c>
      <c r="X173" s="7" t="s">
        <v>250</v>
      </c>
      <c r="Y173" s="7"/>
      <c r="Z173" s="7"/>
      <c r="AA173" s="7">
        <f>IF(AND(Hypothèses!$B$12=1,Z173="Secondary_Source"),0,1)</f>
        <v>1</v>
      </c>
    </row>
    <row r="174" spans="1:27" x14ac:dyDescent="0.3">
      <c r="A174" s="7" t="s">
        <v>441</v>
      </c>
      <c r="B174" s="7" t="s">
        <v>78</v>
      </c>
      <c r="C174" s="7" t="s">
        <v>128</v>
      </c>
      <c r="D174" s="7" t="s">
        <v>244</v>
      </c>
      <c r="E174" s="7" t="s">
        <v>372</v>
      </c>
      <c r="F174" s="7" t="s">
        <v>258</v>
      </c>
      <c r="G174" s="17"/>
      <c r="H174" s="17">
        <v>2.2776477477960402</v>
      </c>
      <c r="I174" s="17"/>
      <c r="J174" s="7" t="s">
        <v>373</v>
      </c>
      <c r="K174" s="7">
        <v>2040</v>
      </c>
      <c r="L174" s="7" t="str">
        <f>IF(Y174&lt;&gt;"",Y174,IF(AND(K174&gt;=Hypothèses!$B$9,K174&lt;=Hypothèses!$B$10),"actuel",IF(K174=2030,"2030",IF(K174=2050,"2050","autre"))))</f>
        <v>autre</v>
      </c>
      <c r="M174" s="7"/>
      <c r="N174" s="7" t="s">
        <v>248</v>
      </c>
      <c r="O174" s="7"/>
      <c r="P174" s="7" t="s">
        <v>439</v>
      </c>
      <c r="Q174" s="7" t="s">
        <v>49</v>
      </c>
      <c r="R174" s="14">
        <f>INDEX(Hypothèses!$B$14:$B$22,MATCH(Q174,Hypothèses!$A$14:$A$22,0))</f>
        <v>1</v>
      </c>
      <c r="S174" s="17" t="str">
        <f t="shared" si="6"/>
        <v/>
      </c>
      <c r="T174" s="17">
        <f t="shared" si="7"/>
        <v>2.2776477477960402</v>
      </c>
      <c r="U174" s="17" t="str">
        <f t="shared" si="8"/>
        <v/>
      </c>
      <c r="V174" s="7" t="s">
        <v>373</v>
      </c>
      <c r="W174" s="7" t="s">
        <v>84</v>
      </c>
      <c r="X174" s="7" t="s">
        <v>250</v>
      </c>
      <c r="Y174" s="7"/>
      <c r="Z174" s="7"/>
      <c r="AA174" s="7">
        <f>IF(AND(Hypothèses!$B$12=1,Z174="Secondary_Source"),0,1)</f>
        <v>1</v>
      </c>
    </row>
    <row r="175" spans="1:27" x14ac:dyDescent="0.3">
      <c r="A175" s="7" t="s">
        <v>442</v>
      </c>
      <c r="B175" s="7" t="s">
        <v>78</v>
      </c>
      <c r="C175" s="7" t="s">
        <v>128</v>
      </c>
      <c r="D175" s="7" t="s">
        <v>244</v>
      </c>
      <c r="E175" s="7" t="s">
        <v>372</v>
      </c>
      <c r="F175" s="7" t="s">
        <v>258</v>
      </c>
      <c r="G175" s="17"/>
      <c r="H175" s="17">
        <v>2.1409662754216798</v>
      </c>
      <c r="I175" s="17"/>
      <c r="J175" s="7" t="s">
        <v>373</v>
      </c>
      <c r="K175" s="7">
        <v>2050</v>
      </c>
      <c r="L175" s="7" t="str">
        <f>IF(Y175&lt;&gt;"",Y175,IF(AND(K175&gt;=Hypothèses!$B$9,K175&lt;=Hypothèses!$B$10),"actuel",IF(K175=2030,"2030",IF(K175=2050,"2050","autre"))))</f>
        <v>2050</v>
      </c>
      <c r="M175" s="7"/>
      <c r="N175" s="7" t="s">
        <v>248</v>
      </c>
      <c r="O175" s="7"/>
      <c r="P175" s="7" t="s">
        <v>439</v>
      </c>
      <c r="Q175" s="7" t="s">
        <v>49</v>
      </c>
      <c r="R175" s="14">
        <f>INDEX(Hypothèses!$B$14:$B$22,MATCH(Q175,Hypothèses!$A$14:$A$22,0))</f>
        <v>1</v>
      </c>
      <c r="S175" s="17" t="str">
        <f t="shared" si="6"/>
        <v/>
      </c>
      <c r="T175" s="17">
        <f t="shared" si="7"/>
        <v>2.1409662754216798</v>
      </c>
      <c r="U175" s="17" t="str">
        <f t="shared" si="8"/>
        <v/>
      </c>
      <c r="V175" s="7" t="s">
        <v>373</v>
      </c>
      <c r="W175" s="7" t="s">
        <v>84</v>
      </c>
      <c r="X175" s="7" t="s">
        <v>250</v>
      </c>
      <c r="Y175" s="7"/>
      <c r="Z175" s="7"/>
      <c r="AA175" s="7">
        <f>IF(AND(Hypothèses!$B$12=1,Z175="Secondary_Source"),0,1)</f>
        <v>1</v>
      </c>
    </row>
    <row r="176" spans="1:27" x14ac:dyDescent="0.3">
      <c r="A176" s="7" t="s">
        <v>443</v>
      </c>
      <c r="B176" s="7" t="s">
        <v>78</v>
      </c>
      <c r="C176" s="7" t="s">
        <v>130</v>
      </c>
      <c r="D176" s="7" t="s">
        <v>244</v>
      </c>
      <c r="E176" s="7" t="s">
        <v>372</v>
      </c>
      <c r="F176" s="7" t="s">
        <v>258</v>
      </c>
      <c r="G176" s="17"/>
      <c r="H176" s="17">
        <v>3.4383794774343501</v>
      </c>
      <c r="I176" s="17"/>
      <c r="J176" s="7" t="s">
        <v>373</v>
      </c>
      <c r="K176" s="7">
        <v>2020</v>
      </c>
      <c r="L176" s="7" t="str">
        <f>IF(Y176&lt;&gt;"",Y176,IF(AND(K176&gt;=Hypothèses!$B$9,K176&lt;=Hypothèses!$B$10),"actuel",IF(K176=2030,"2030",IF(K176=2050,"2050","autre"))))</f>
        <v>actuel</v>
      </c>
      <c r="M176" s="7"/>
      <c r="N176" s="7" t="s">
        <v>248</v>
      </c>
      <c r="O176" s="7"/>
      <c r="P176" s="7" t="s">
        <v>444</v>
      </c>
      <c r="Q176" s="7" t="s">
        <v>49</v>
      </c>
      <c r="R176" s="14">
        <f>INDEX(Hypothèses!$B$14:$B$22,MATCH(Q176,Hypothèses!$A$14:$A$22,0))</f>
        <v>1</v>
      </c>
      <c r="S176" s="17" t="str">
        <f t="shared" si="6"/>
        <v/>
      </c>
      <c r="T176" s="17">
        <f t="shared" si="7"/>
        <v>3.4383794774343501</v>
      </c>
      <c r="U176" s="17" t="str">
        <f t="shared" si="8"/>
        <v/>
      </c>
      <c r="V176" s="7" t="s">
        <v>373</v>
      </c>
      <c r="W176" s="7" t="s">
        <v>84</v>
      </c>
      <c r="X176" s="7" t="s">
        <v>250</v>
      </c>
      <c r="Y176" s="7"/>
      <c r="Z176" s="7"/>
      <c r="AA176" s="7">
        <f>IF(AND(Hypothèses!$B$12=1,Z176="Secondary_Source"),0,1)</f>
        <v>1</v>
      </c>
    </row>
    <row r="177" spans="1:27" x14ac:dyDescent="0.3">
      <c r="A177" s="7" t="s">
        <v>445</v>
      </c>
      <c r="B177" s="7" t="s">
        <v>78</v>
      </c>
      <c r="C177" s="7" t="s">
        <v>130</v>
      </c>
      <c r="D177" s="7" t="s">
        <v>244</v>
      </c>
      <c r="E177" s="7" t="s">
        <v>372</v>
      </c>
      <c r="F177" s="7" t="s">
        <v>258</v>
      </c>
      <c r="G177" s="17"/>
      <c r="H177" s="17">
        <v>2.6356286310841601</v>
      </c>
      <c r="I177" s="17"/>
      <c r="J177" s="7" t="s">
        <v>373</v>
      </c>
      <c r="K177" s="7">
        <v>2030</v>
      </c>
      <c r="L177" s="7" t="str">
        <f>IF(Y177&lt;&gt;"",Y177,IF(AND(K177&gt;=Hypothèses!$B$9,K177&lt;=Hypothèses!$B$10),"actuel",IF(K177=2030,"2030",IF(K177=2050,"2050","autre"))))</f>
        <v>2030</v>
      </c>
      <c r="M177" s="7"/>
      <c r="N177" s="7" t="s">
        <v>248</v>
      </c>
      <c r="O177" s="7"/>
      <c r="P177" s="7" t="s">
        <v>444</v>
      </c>
      <c r="Q177" s="7" t="s">
        <v>49</v>
      </c>
      <c r="R177" s="14">
        <f>INDEX(Hypothèses!$B$14:$B$22,MATCH(Q177,Hypothèses!$A$14:$A$22,0))</f>
        <v>1</v>
      </c>
      <c r="S177" s="17" t="str">
        <f t="shared" si="6"/>
        <v/>
      </c>
      <c r="T177" s="17">
        <f t="shared" si="7"/>
        <v>2.6356286310841601</v>
      </c>
      <c r="U177" s="17" t="str">
        <f t="shared" si="8"/>
        <v/>
      </c>
      <c r="V177" s="7" t="s">
        <v>373</v>
      </c>
      <c r="W177" s="7" t="s">
        <v>84</v>
      </c>
      <c r="X177" s="7" t="s">
        <v>250</v>
      </c>
      <c r="Y177" s="7"/>
      <c r="Z177" s="7"/>
      <c r="AA177" s="7">
        <f>IF(AND(Hypothèses!$B$12=1,Z177="Secondary_Source"),0,1)</f>
        <v>1</v>
      </c>
    </row>
    <row r="178" spans="1:27" x14ac:dyDescent="0.3">
      <c r="A178" s="7" t="s">
        <v>446</v>
      </c>
      <c r="B178" s="7" t="s">
        <v>78</v>
      </c>
      <c r="C178" s="7" t="s">
        <v>130</v>
      </c>
      <c r="D178" s="7" t="s">
        <v>244</v>
      </c>
      <c r="E178" s="7" t="s">
        <v>372</v>
      </c>
      <c r="F178" s="7" t="s">
        <v>258</v>
      </c>
      <c r="G178" s="17"/>
      <c r="H178" s="17">
        <v>2.2478386316648198</v>
      </c>
      <c r="I178" s="17"/>
      <c r="J178" s="7" t="s">
        <v>373</v>
      </c>
      <c r="K178" s="7">
        <v>2040</v>
      </c>
      <c r="L178" s="7" t="str">
        <f>IF(Y178&lt;&gt;"",Y178,IF(AND(K178&gt;=Hypothèses!$B$9,K178&lt;=Hypothèses!$B$10),"actuel",IF(K178=2030,"2030",IF(K178=2050,"2050","autre"))))</f>
        <v>autre</v>
      </c>
      <c r="M178" s="7"/>
      <c r="N178" s="7" t="s">
        <v>248</v>
      </c>
      <c r="O178" s="7"/>
      <c r="P178" s="7" t="s">
        <v>444</v>
      </c>
      <c r="Q178" s="7" t="s">
        <v>49</v>
      </c>
      <c r="R178" s="14">
        <f>INDEX(Hypothèses!$B$14:$B$22,MATCH(Q178,Hypothèses!$A$14:$A$22,0))</f>
        <v>1</v>
      </c>
      <c r="S178" s="17" t="str">
        <f t="shared" si="6"/>
        <v/>
      </c>
      <c r="T178" s="17">
        <f t="shared" si="7"/>
        <v>2.2478386316648198</v>
      </c>
      <c r="U178" s="17" t="str">
        <f t="shared" si="8"/>
        <v/>
      </c>
      <c r="V178" s="7" t="s">
        <v>373</v>
      </c>
      <c r="W178" s="7" t="s">
        <v>84</v>
      </c>
      <c r="X178" s="7" t="s">
        <v>250</v>
      </c>
      <c r="Y178" s="7"/>
      <c r="Z178" s="7"/>
      <c r="AA178" s="7">
        <f>IF(AND(Hypothèses!$B$12=1,Z178="Secondary_Source"),0,1)</f>
        <v>1</v>
      </c>
    </row>
    <row r="179" spans="1:27" x14ac:dyDescent="0.3">
      <c r="A179" s="7" t="s">
        <v>447</v>
      </c>
      <c r="B179" s="7" t="s">
        <v>78</v>
      </c>
      <c r="C179" s="7" t="s">
        <v>130</v>
      </c>
      <c r="D179" s="7" t="s">
        <v>244</v>
      </c>
      <c r="E179" s="7" t="s">
        <v>372</v>
      </c>
      <c r="F179" s="7" t="s">
        <v>258</v>
      </c>
      <c r="G179" s="17"/>
      <c r="H179" s="17">
        <v>1.95994460058623</v>
      </c>
      <c r="I179" s="17"/>
      <c r="J179" s="7" t="s">
        <v>373</v>
      </c>
      <c r="K179" s="7">
        <v>2050</v>
      </c>
      <c r="L179" s="7" t="str">
        <f>IF(Y179&lt;&gt;"",Y179,IF(AND(K179&gt;=Hypothèses!$B$9,K179&lt;=Hypothèses!$B$10),"actuel",IF(K179=2030,"2030",IF(K179=2050,"2050","autre"))))</f>
        <v>2050</v>
      </c>
      <c r="M179" s="7"/>
      <c r="N179" s="7" t="s">
        <v>248</v>
      </c>
      <c r="O179" s="7"/>
      <c r="P179" s="7" t="s">
        <v>444</v>
      </c>
      <c r="Q179" s="7" t="s">
        <v>49</v>
      </c>
      <c r="R179" s="14">
        <f>INDEX(Hypothèses!$B$14:$B$22,MATCH(Q179,Hypothèses!$A$14:$A$22,0))</f>
        <v>1</v>
      </c>
      <c r="S179" s="17" t="str">
        <f t="shared" si="6"/>
        <v/>
      </c>
      <c r="T179" s="17">
        <f t="shared" si="7"/>
        <v>1.95994460058623</v>
      </c>
      <c r="U179" s="17" t="str">
        <f t="shared" si="8"/>
        <v/>
      </c>
      <c r="V179" s="7" t="s">
        <v>373</v>
      </c>
      <c r="W179" s="7" t="s">
        <v>84</v>
      </c>
      <c r="X179" s="7" t="s">
        <v>250</v>
      </c>
      <c r="Y179" s="7"/>
      <c r="Z179" s="7"/>
      <c r="AA179" s="7">
        <f>IF(AND(Hypothèses!$B$12=1,Z179="Secondary_Source"),0,1)</f>
        <v>1</v>
      </c>
    </row>
    <row r="180" spans="1:27" x14ac:dyDescent="0.3">
      <c r="A180" s="7" t="s">
        <v>448</v>
      </c>
      <c r="B180" s="7" t="s">
        <v>78</v>
      </c>
      <c r="C180" s="7" t="s">
        <v>132</v>
      </c>
      <c r="D180" s="7" t="s">
        <v>244</v>
      </c>
      <c r="E180" s="7" t="s">
        <v>372</v>
      </c>
      <c r="F180" s="7" t="s">
        <v>258</v>
      </c>
      <c r="G180" s="17">
        <v>3.9401929</v>
      </c>
      <c r="H180" s="17">
        <v>4.53825725</v>
      </c>
      <c r="I180" s="17">
        <v>5.1363215999999996</v>
      </c>
      <c r="J180" s="7" t="s">
        <v>373</v>
      </c>
      <c r="K180" s="7">
        <v>2020</v>
      </c>
      <c r="L180" s="7" t="str">
        <f>IF(Y180&lt;&gt;"",Y180,IF(AND(K180&gt;=Hypothèses!$B$9,K180&lt;=Hypothèses!$B$10),"actuel",IF(K180=2030,"2030",IF(K180=2050,"2050","autre"))))</f>
        <v>actuel</v>
      </c>
      <c r="M180" s="7"/>
      <c r="N180" s="7" t="s">
        <v>248</v>
      </c>
      <c r="O180" s="7"/>
      <c r="P180" s="7" t="s">
        <v>352</v>
      </c>
      <c r="Q180" s="7" t="s">
        <v>49</v>
      </c>
      <c r="R180" s="14">
        <f>INDEX(Hypothèses!$B$14:$B$22,MATCH(Q180,Hypothèses!$A$14:$A$22,0))</f>
        <v>1</v>
      </c>
      <c r="S180" s="17">
        <f t="shared" si="6"/>
        <v>3.9401929</v>
      </c>
      <c r="T180" s="17">
        <f t="shared" si="7"/>
        <v>4.53825725</v>
      </c>
      <c r="U180" s="17">
        <f t="shared" si="8"/>
        <v>5.1363215999999996</v>
      </c>
      <c r="V180" s="7" t="s">
        <v>373</v>
      </c>
      <c r="W180" s="7" t="s">
        <v>84</v>
      </c>
      <c r="X180" s="7" t="s">
        <v>250</v>
      </c>
      <c r="Y180" s="7"/>
      <c r="Z180" s="7"/>
      <c r="AA180" s="7">
        <f>IF(AND(Hypothèses!$B$12=1,Z180="Secondary_Source"),0,1)</f>
        <v>1</v>
      </c>
    </row>
    <row r="181" spans="1:27" x14ac:dyDescent="0.3">
      <c r="A181" s="7" t="s">
        <v>449</v>
      </c>
      <c r="B181" s="7" t="s">
        <v>78</v>
      </c>
      <c r="C181" s="7" t="s">
        <v>132</v>
      </c>
      <c r="D181" s="7" t="s">
        <v>244</v>
      </c>
      <c r="E181" s="7" t="s">
        <v>372</v>
      </c>
      <c r="F181" s="7" t="s">
        <v>258</v>
      </c>
      <c r="G181" s="17">
        <v>3.3069489000000001</v>
      </c>
      <c r="H181" s="17">
        <v>4.3506273000000002</v>
      </c>
      <c r="I181" s="17">
        <v>5.3943057000000003</v>
      </c>
      <c r="J181" s="7" t="s">
        <v>373</v>
      </c>
      <c r="K181" s="7">
        <v>2025</v>
      </c>
      <c r="L181" s="7" t="str">
        <f>IF(Y181&lt;&gt;"",Y181,IF(AND(K181&gt;=Hypothèses!$B$9,K181&lt;=Hypothèses!$B$10),"actuel",IF(K181=2030,"2030",IF(K181=2050,"2050","autre"))))</f>
        <v>actuel</v>
      </c>
      <c r="M181" s="7"/>
      <c r="N181" s="7" t="s">
        <v>248</v>
      </c>
      <c r="O181" s="7"/>
      <c r="P181" s="7" t="s">
        <v>352</v>
      </c>
      <c r="Q181" s="7" t="s">
        <v>49</v>
      </c>
      <c r="R181" s="14">
        <f>INDEX(Hypothèses!$B$14:$B$22,MATCH(Q181,Hypothèses!$A$14:$A$22,0))</f>
        <v>1</v>
      </c>
      <c r="S181" s="17">
        <f t="shared" si="6"/>
        <v>3.3069489000000001</v>
      </c>
      <c r="T181" s="17">
        <f t="shared" si="7"/>
        <v>4.3506273000000002</v>
      </c>
      <c r="U181" s="17">
        <f t="shared" si="8"/>
        <v>5.3943057000000003</v>
      </c>
      <c r="V181" s="7" t="s">
        <v>373</v>
      </c>
      <c r="W181" s="7" t="s">
        <v>84</v>
      </c>
      <c r="X181" s="7" t="s">
        <v>250</v>
      </c>
      <c r="Y181" s="7"/>
      <c r="Z181" s="7"/>
      <c r="AA181" s="7">
        <f>IF(AND(Hypothèses!$B$12=1,Z181="Secondary_Source"),0,1)</f>
        <v>1</v>
      </c>
    </row>
    <row r="182" spans="1:27" x14ac:dyDescent="0.3">
      <c r="A182" s="7" t="s">
        <v>450</v>
      </c>
      <c r="B182" s="7" t="s">
        <v>78</v>
      </c>
      <c r="C182" s="7" t="s">
        <v>132</v>
      </c>
      <c r="D182" s="7" t="s">
        <v>244</v>
      </c>
      <c r="E182" s="7" t="s">
        <v>372</v>
      </c>
      <c r="F182" s="7" t="s">
        <v>258</v>
      </c>
      <c r="G182" s="17">
        <v>2.6150669999999998</v>
      </c>
      <c r="H182" s="17">
        <v>3.6528847</v>
      </c>
      <c r="I182" s="17">
        <v>4.6907024000000002</v>
      </c>
      <c r="J182" s="7" t="s">
        <v>373</v>
      </c>
      <c r="K182" s="7">
        <v>2030</v>
      </c>
      <c r="L182" s="7" t="str">
        <f>IF(Y182&lt;&gt;"",Y182,IF(AND(K182&gt;=Hypothèses!$B$9,K182&lt;=Hypothèses!$B$10),"actuel",IF(K182=2030,"2030",IF(K182=2050,"2050","autre"))))</f>
        <v>2030</v>
      </c>
      <c r="M182" s="7"/>
      <c r="N182" s="7" t="s">
        <v>248</v>
      </c>
      <c r="O182" s="7"/>
      <c r="P182" s="7" t="s">
        <v>352</v>
      </c>
      <c r="Q182" s="7" t="s">
        <v>49</v>
      </c>
      <c r="R182" s="14">
        <f>INDEX(Hypothèses!$B$14:$B$22,MATCH(Q182,Hypothèses!$A$14:$A$22,0))</f>
        <v>1</v>
      </c>
      <c r="S182" s="17">
        <f t="shared" si="6"/>
        <v>2.6150669999999998</v>
      </c>
      <c r="T182" s="17">
        <f t="shared" si="7"/>
        <v>3.6528847</v>
      </c>
      <c r="U182" s="17">
        <f t="shared" si="8"/>
        <v>4.6907024000000002</v>
      </c>
      <c r="V182" s="7" t="s">
        <v>373</v>
      </c>
      <c r="W182" s="7" t="s">
        <v>84</v>
      </c>
      <c r="X182" s="7" t="s">
        <v>250</v>
      </c>
      <c r="Y182" s="7"/>
      <c r="Z182" s="7"/>
      <c r="AA182" s="7">
        <f>IF(AND(Hypothèses!$B$12=1,Z182="Secondary_Source"),0,1)</f>
        <v>1</v>
      </c>
    </row>
    <row r="183" spans="1:27" x14ac:dyDescent="0.3">
      <c r="A183" s="7" t="s">
        <v>451</v>
      </c>
      <c r="B183" s="7" t="s">
        <v>78</v>
      </c>
      <c r="C183" s="7" t="s">
        <v>132</v>
      </c>
      <c r="D183" s="7" t="s">
        <v>244</v>
      </c>
      <c r="E183" s="7" t="s">
        <v>372</v>
      </c>
      <c r="F183" s="7" t="s">
        <v>258</v>
      </c>
      <c r="G183" s="17">
        <v>2.063914</v>
      </c>
      <c r="H183" s="17">
        <v>3.18967825</v>
      </c>
      <c r="I183" s="17">
        <v>4.3154424999999996</v>
      </c>
      <c r="J183" s="7" t="s">
        <v>373</v>
      </c>
      <c r="K183" s="7">
        <v>2035</v>
      </c>
      <c r="L183" s="7" t="str">
        <f>IF(Y183&lt;&gt;"",Y183,IF(AND(K183&gt;=Hypothèses!$B$9,K183&lt;=Hypothèses!$B$10),"actuel",IF(K183=2030,"2030",IF(K183=2050,"2050","autre"))))</f>
        <v>autre</v>
      </c>
      <c r="M183" s="7"/>
      <c r="N183" s="7" t="s">
        <v>248</v>
      </c>
      <c r="O183" s="7"/>
      <c r="P183" s="7" t="s">
        <v>352</v>
      </c>
      <c r="Q183" s="7" t="s">
        <v>49</v>
      </c>
      <c r="R183" s="14">
        <f>INDEX(Hypothèses!$B$14:$B$22,MATCH(Q183,Hypothèses!$A$14:$A$22,0))</f>
        <v>1</v>
      </c>
      <c r="S183" s="17">
        <f t="shared" si="6"/>
        <v>2.063914</v>
      </c>
      <c r="T183" s="17">
        <f t="shared" si="7"/>
        <v>3.18967825</v>
      </c>
      <c r="U183" s="17">
        <f t="shared" si="8"/>
        <v>4.3154424999999996</v>
      </c>
      <c r="V183" s="7" t="s">
        <v>373</v>
      </c>
      <c r="W183" s="7" t="s">
        <v>84</v>
      </c>
      <c r="X183" s="7" t="s">
        <v>250</v>
      </c>
      <c r="Y183" s="7"/>
      <c r="Z183" s="7"/>
      <c r="AA183" s="7">
        <f>IF(AND(Hypothèses!$B$12=1,Z183="Secondary_Source"),0,1)</f>
        <v>1</v>
      </c>
    </row>
    <row r="184" spans="1:27" x14ac:dyDescent="0.3">
      <c r="A184" s="7" t="s">
        <v>452</v>
      </c>
      <c r="B184" s="7" t="s">
        <v>78</v>
      </c>
      <c r="C184" s="7" t="s">
        <v>132</v>
      </c>
      <c r="D184" s="7" t="s">
        <v>244</v>
      </c>
      <c r="E184" s="7" t="s">
        <v>372</v>
      </c>
      <c r="F184" s="7" t="s">
        <v>258</v>
      </c>
      <c r="G184" s="17">
        <v>1.7238286</v>
      </c>
      <c r="H184" s="17">
        <v>2.8495979999999999</v>
      </c>
      <c r="I184" s="17">
        <v>3.9753674000000001</v>
      </c>
      <c r="J184" s="7" t="s">
        <v>373</v>
      </c>
      <c r="K184" s="7">
        <v>2040</v>
      </c>
      <c r="L184" s="7" t="str">
        <f>IF(Y184&lt;&gt;"",Y184,IF(AND(K184&gt;=Hypothèses!$B$9,K184&lt;=Hypothèses!$B$10),"actuel",IF(K184=2030,"2030",IF(K184=2050,"2050","autre"))))</f>
        <v>autre</v>
      </c>
      <c r="M184" s="7"/>
      <c r="N184" s="7" t="s">
        <v>248</v>
      </c>
      <c r="O184" s="7"/>
      <c r="P184" s="7" t="s">
        <v>352</v>
      </c>
      <c r="Q184" s="7" t="s">
        <v>49</v>
      </c>
      <c r="R184" s="14">
        <f>INDEX(Hypothèses!$B$14:$B$22,MATCH(Q184,Hypothèses!$A$14:$A$22,0))</f>
        <v>1</v>
      </c>
      <c r="S184" s="17">
        <f t="shared" si="6"/>
        <v>1.7238286</v>
      </c>
      <c r="T184" s="17">
        <f t="shared" si="7"/>
        <v>2.8495979999999999</v>
      </c>
      <c r="U184" s="17">
        <f t="shared" si="8"/>
        <v>3.9753674000000001</v>
      </c>
      <c r="V184" s="7" t="s">
        <v>373</v>
      </c>
      <c r="W184" s="7" t="s">
        <v>84</v>
      </c>
      <c r="X184" s="7" t="s">
        <v>250</v>
      </c>
      <c r="Y184" s="7"/>
      <c r="Z184" s="7"/>
      <c r="AA184" s="7">
        <f>IF(AND(Hypothèses!$B$12=1,Z184="Secondary_Source"),0,1)</f>
        <v>1</v>
      </c>
    </row>
    <row r="185" spans="1:27" x14ac:dyDescent="0.3">
      <c r="A185" s="7" t="s">
        <v>453</v>
      </c>
      <c r="B185" s="7" t="s">
        <v>78</v>
      </c>
      <c r="C185" s="7" t="s">
        <v>132</v>
      </c>
      <c r="D185" s="7" t="s">
        <v>244</v>
      </c>
      <c r="E185" s="7" t="s">
        <v>372</v>
      </c>
      <c r="F185" s="7" t="s">
        <v>258</v>
      </c>
      <c r="G185" s="17">
        <v>1.5010292999999999</v>
      </c>
      <c r="H185" s="17">
        <v>2.5857532000000001</v>
      </c>
      <c r="I185" s="17">
        <v>3.6704770999999998</v>
      </c>
      <c r="J185" s="7" t="s">
        <v>373</v>
      </c>
      <c r="K185" s="7">
        <v>2045</v>
      </c>
      <c r="L185" s="7" t="str">
        <f>IF(Y185&lt;&gt;"",Y185,IF(AND(K185&gt;=Hypothèses!$B$9,K185&lt;=Hypothèses!$B$10),"actuel",IF(K185=2030,"2030",IF(K185=2050,"2050","autre"))))</f>
        <v>autre</v>
      </c>
      <c r="M185" s="7"/>
      <c r="N185" s="7" t="s">
        <v>248</v>
      </c>
      <c r="O185" s="7"/>
      <c r="P185" s="7" t="s">
        <v>352</v>
      </c>
      <c r="Q185" s="7" t="s">
        <v>49</v>
      </c>
      <c r="R185" s="14">
        <f>INDEX(Hypothèses!$B$14:$B$22,MATCH(Q185,Hypothèses!$A$14:$A$22,0))</f>
        <v>1</v>
      </c>
      <c r="S185" s="17">
        <f t="shared" si="6"/>
        <v>1.5010292999999999</v>
      </c>
      <c r="T185" s="17">
        <f t="shared" si="7"/>
        <v>2.5857532000000001</v>
      </c>
      <c r="U185" s="17">
        <f t="shared" si="8"/>
        <v>3.6704770999999998</v>
      </c>
      <c r="V185" s="7" t="s">
        <v>373</v>
      </c>
      <c r="W185" s="7" t="s">
        <v>84</v>
      </c>
      <c r="X185" s="7" t="s">
        <v>250</v>
      </c>
      <c r="Y185" s="7"/>
      <c r="Z185" s="7"/>
      <c r="AA185" s="7">
        <f>IF(AND(Hypothèses!$B$12=1,Z185="Secondary_Source"),0,1)</f>
        <v>1</v>
      </c>
    </row>
    <row r="186" spans="1:27" x14ac:dyDescent="0.3">
      <c r="A186" s="7" t="s">
        <v>454</v>
      </c>
      <c r="B186" s="7" t="s">
        <v>78</v>
      </c>
      <c r="C186" s="7" t="s">
        <v>132</v>
      </c>
      <c r="D186" s="7" t="s">
        <v>244</v>
      </c>
      <c r="E186" s="7" t="s">
        <v>372</v>
      </c>
      <c r="F186" s="7" t="s">
        <v>258</v>
      </c>
      <c r="G186" s="17">
        <v>1.3603004000000001</v>
      </c>
      <c r="H186" s="17">
        <v>2.3570777500000002</v>
      </c>
      <c r="I186" s="17">
        <v>3.3538551000000001</v>
      </c>
      <c r="J186" s="7" t="s">
        <v>373</v>
      </c>
      <c r="K186" s="7">
        <v>2050</v>
      </c>
      <c r="L186" s="7" t="str">
        <f>IF(Y186&lt;&gt;"",Y186,IF(AND(K186&gt;=Hypothèses!$B$9,K186&lt;=Hypothèses!$B$10),"actuel",IF(K186=2030,"2030",IF(K186=2050,"2050","autre"))))</f>
        <v>2050</v>
      </c>
      <c r="M186" s="7"/>
      <c r="N186" s="7" t="s">
        <v>248</v>
      </c>
      <c r="O186" s="7"/>
      <c r="P186" s="7" t="s">
        <v>352</v>
      </c>
      <c r="Q186" s="7" t="s">
        <v>49</v>
      </c>
      <c r="R186" s="14">
        <f>INDEX(Hypothèses!$B$14:$B$22,MATCH(Q186,Hypothèses!$A$14:$A$22,0))</f>
        <v>1</v>
      </c>
      <c r="S186" s="17">
        <f t="shared" si="6"/>
        <v>1.3603004000000001</v>
      </c>
      <c r="T186" s="17">
        <f t="shared" si="7"/>
        <v>2.3570777500000002</v>
      </c>
      <c r="U186" s="17">
        <f t="shared" si="8"/>
        <v>3.3538551000000001</v>
      </c>
      <c r="V186" s="7" t="s">
        <v>373</v>
      </c>
      <c r="W186" s="7" t="s">
        <v>84</v>
      </c>
      <c r="X186" s="7" t="s">
        <v>250</v>
      </c>
      <c r="Y186" s="7"/>
      <c r="Z186" s="7"/>
      <c r="AA186" s="7">
        <f>IF(AND(Hypothèses!$B$12=1,Z186="Secondary_Source"),0,1)</f>
        <v>1</v>
      </c>
    </row>
    <row r="187" spans="1:27" x14ac:dyDescent="0.3">
      <c r="A187" s="7" t="s">
        <v>455</v>
      </c>
      <c r="B187" s="7" t="s">
        <v>78</v>
      </c>
      <c r="C187" s="7" t="s">
        <v>144</v>
      </c>
      <c r="D187" s="7" t="s">
        <v>244</v>
      </c>
      <c r="E187" s="7" t="s">
        <v>372</v>
      </c>
      <c r="F187" s="7" t="s">
        <v>258</v>
      </c>
      <c r="G187" s="17"/>
      <c r="H187" s="17">
        <v>6.2301087996</v>
      </c>
      <c r="I187" s="17"/>
      <c r="J187" s="7" t="s">
        <v>373</v>
      </c>
      <c r="K187" s="7">
        <v>2025</v>
      </c>
      <c r="L187" s="7" t="str">
        <f>IF(Y187&lt;&gt;"",Y187,IF(AND(K187&gt;=Hypothèses!$B$9,K187&lt;=Hypothèses!$B$10),"actuel",IF(K187=2030,"2030",IF(K187=2050,"2050","autre"))))</f>
        <v>actuel</v>
      </c>
      <c r="M187" s="7"/>
      <c r="N187" s="7" t="s">
        <v>248</v>
      </c>
      <c r="O187" s="7"/>
      <c r="P187" s="7" t="s">
        <v>360</v>
      </c>
      <c r="Q187" s="7" t="s">
        <v>49</v>
      </c>
      <c r="R187" s="14">
        <f>INDEX(Hypothèses!$B$14:$B$22,MATCH(Q187,Hypothèses!$A$14:$A$22,0))</f>
        <v>1</v>
      </c>
      <c r="S187" s="17" t="str">
        <f t="shared" si="6"/>
        <v/>
      </c>
      <c r="T187" s="17">
        <f t="shared" si="7"/>
        <v>6.2301087996</v>
      </c>
      <c r="U187" s="17" t="str">
        <f t="shared" si="8"/>
        <v/>
      </c>
      <c r="V187" s="7" t="s">
        <v>373</v>
      </c>
      <c r="W187" s="7" t="s">
        <v>84</v>
      </c>
      <c r="X187" s="7" t="s">
        <v>250</v>
      </c>
      <c r="Y187" s="7"/>
      <c r="Z187" s="7"/>
      <c r="AA187" s="7">
        <f>IF(AND(Hypothèses!$B$12=1,Z187="Secondary_Source"),0,1)</f>
        <v>1</v>
      </c>
    </row>
    <row r="188" spans="1:27" x14ac:dyDescent="0.3">
      <c r="A188" s="7" t="s">
        <v>456</v>
      </c>
      <c r="B188" s="7" t="s">
        <v>78</v>
      </c>
      <c r="C188" s="7" t="s">
        <v>144</v>
      </c>
      <c r="D188" s="7" t="s">
        <v>244</v>
      </c>
      <c r="E188" s="7" t="s">
        <v>372</v>
      </c>
      <c r="F188" s="7" t="s">
        <v>258</v>
      </c>
      <c r="G188" s="17"/>
      <c r="H188" s="17">
        <v>5.10419128766</v>
      </c>
      <c r="I188" s="17"/>
      <c r="J188" s="7" t="s">
        <v>373</v>
      </c>
      <c r="K188" s="7">
        <v>2030</v>
      </c>
      <c r="L188" s="7" t="str">
        <f>IF(Y188&lt;&gt;"",Y188,IF(AND(K188&gt;=Hypothèses!$B$9,K188&lt;=Hypothèses!$B$10),"actuel",IF(K188=2030,"2030",IF(K188=2050,"2050","autre"))))</f>
        <v>2030</v>
      </c>
      <c r="M188" s="7"/>
      <c r="N188" s="7" t="s">
        <v>248</v>
      </c>
      <c r="O188" s="7"/>
      <c r="P188" s="7" t="s">
        <v>360</v>
      </c>
      <c r="Q188" s="7" t="s">
        <v>49</v>
      </c>
      <c r="R188" s="14">
        <f>INDEX(Hypothèses!$B$14:$B$22,MATCH(Q188,Hypothèses!$A$14:$A$22,0))</f>
        <v>1</v>
      </c>
      <c r="S188" s="17" t="str">
        <f t="shared" si="6"/>
        <v/>
      </c>
      <c r="T188" s="17">
        <f t="shared" si="7"/>
        <v>5.10419128766</v>
      </c>
      <c r="U188" s="17" t="str">
        <f t="shared" si="8"/>
        <v/>
      </c>
      <c r="V188" s="7" t="s">
        <v>373</v>
      </c>
      <c r="W188" s="7" t="s">
        <v>84</v>
      </c>
      <c r="X188" s="7" t="s">
        <v>250</v>
      </c>
      <c r="Y188" s="7"/>
      <c r="Z188" s="7"/>
      <c r="AA188" s="7">
        <f>IF(AND(Hypothèses!$B$12=1,Z188="Secondary_Source"),0,1)</f>
        <v>1</v>
      </c>
    </row>
    <row r="189" spans="1:27" x14ac:dyDescent="0.3">
      <c r="A189" s="7" t="s">
        <v>457</v>
      </c>
      <c r="B189" s="7" t="s">
        <v>78</v>
      </c>
      <c r="C189" s="7" t="s">
        <v>144</v>
      </c>
      <c r="D189" s="7" t="s">
        <v>244</v>
      </c>
      <c r="E189" s="7" t="s">
        <v>372</v>
      </c>
      <c r="F189" s="7" t="s">
        <v>258</v>
      </c>
      <c r="G189" s="17"/>
      <c r="H189" s="17">
        <v>4.6701890847999996</v>
      </c>
      <c r="I189" s="17"/>
      <c r="J189" s="7" t="s">
        <v>373</v>
      </c>
      <c r="K189" s="7">
        <v>2035</v>
      </c>
      <c r="L189" s="7" t="str">
        <f>IF(Y189&lt;&gt;"",Y189,IF(AND(K189&gt;=Hypothèses!$B$9,K189&lt;=Hypothèses!$B$10),"actuel",IF(K189=2030,"2030",IF(K189=2050,"2050","autre"))))</f>
        <v>autre</v>
      </c>
      <c r="M189" s="7"/>
      <c r="N189" s="7" t="s">
        <v>248</v>
      </c>
      <c r="O189" s="7"/>
      <c r="P189" s="7" t="s">
        <v>360</v>
      </c>
      <c r="Q189" s="7" t="s">
        <v>49</v>
      </c>
      <c r="R189" s="14">
        <f>INDEX(Hypothèses!$B$14:$B$22,MATCH(Q189,Hypothèses!$A$14:$A$22,0))</f>
        <v>1</v>
      </c>
      <c r="S189" s="17" t="str">
        <f t="shared" si="6"/>
        <v/>
      </c>
      <c r="T189" s="17">
        <f t="shared" si="7"/>
        <v>4.6701890847999996</v>
      </c>
      <c r="U189" s="17" t="str">
        <f t="shared" si="8"/>
        <v/>
      </c>
      <c r="V189" s="7" t="s">
        <v>373</v>
      </c>
      <c r="W189" s="7" t="s">
        <v>84</v>
      </c>
      <c r="X189" s="7" t="s">
        <v>250</v>
      </c>
      <c r="Y189" s="7"/>
      <c r="Z189" s="7"/>
      <c r="AA189" s="7">
        <f>IF(AND(Hypothèses!$B$12=1,Z189="Secondary_Source"),0,1)</f>
        <v>1</v>
      </c>
    </row>
    <row r="190" spans="1:27" x14ac:dyDescent="0.3">
      <c r="A190" s="7" t="s">
        <v>458</v>
      </c>
      <c r="B190" s="7" t="s">
        <v>78</v>
      </c>
      <c r="C190" s="7" t="s">
        <v>144</v>
      </c>
      <c r="D190" s="7" t="s">
        <v>244</v>
      </c>
      <c r="E190" s="7" t="s">
        <v>372</v>
      </c>
      <c r="F190" s="7" t="s">
        <v>258</v>
      </c>
      <c r="G190" s="17"/>
      <c r="H190" s="17">
        <v>4.3180108915200002</v>
      </c>
      <c r="I190" s="17"/>
      <c r="J190" s="7" t="s">
        <v>373</v>
      </c>
      <c r="K190" s="7">
        <v>2040</v>
      </c>
      <c r="L190" s="7" t="str">
        <f>IF(Y190&lt;&gt;"",Y190,IF(AND(K190&gt;=Hypothèses!$B$9,K190&lt;=Hypothèses!$B$10),"actuel",IF(K190=2030,"2030",IF(K190=2050,"2050","autre"))))</f>
        <v>autre</v>
      </c>
      <c r="M190" s="7"/>
      <c r="N190" s="7" t="s">
        <v>248</v>
      </c>
      <c r="O190" s="7"/>
      <c r="P190" s="7" t="s">
        <v>360</v>
      </c>
      <c r="Q190" s="7" t="s">
        <v>49</v>
      </c>
      <c r="R190" s="14">
        <f>INDEX(Hypothèses!$B$14:$B$22,MATCH(Q190,Hypothèses!$A$14:$A$22,0))</f>
        <v>1</v>
      </c>
      <c r="S190" s="17" t="str">
        <f t="shared" si="6"/>
        <v/>
      </c>
      <c r="T190" s="17">
        <f t="shared" si="7"/>
        <v>4.3180108915200002</v>
      </c>
      <c r="U190" s="17" t="str">
        <f t="shared" si="8"/>
        <v/>
      </c>
      <c r="V190" s="7" t="s">
        <v>373</v>
      </c>
      <c r="W190" s="7" t="s">
        <v>84</v>
      </c>
      <c r="X190" s="7" t="s">
        <v>250</v>
      </c>
      <c r="Y190" s="7"/>
      <c r="Z190" s="7"/>
      <c r="AA190" s="7">
        <f>IF(AND(Hypothèses!$B$12=1,Z190="Secondary_Source"),0,1)</f>
        <v>1</v>
      </c>
    </row>
    <row r="191" spans="1:27" x14ac:dyDescent="0.3">
      <c r="A191" s="7" t="s">
        <v>459</v>
      </c>
      <c r="B191" s="7" t="s">
        <v>78</v>
      </c>
      <c r="C191" s="7" t="s">
        <v>144</v>
      </c>
      <c r="D191" s="7" t="s">
        <v>244</v>
      </c>
      <c r="E191" s="7" t="s">
        <v>372</v>
      </c>
      <c r="F191" s="7" t="s">
        <v>258</v>
      </c>
      <c r="G191" s="17"/>
      <c r="H191" s="17">
        <v>4.2926502335799999</v>
      </c>
      <c r="I191" s="17"/>
      <c r="J191" s="7" t="s">
        <v>373</v>
      </c>
      <c r="K191" s="7">
        <v>2045</v>
      </c>
      <c r="L191" s="7" t="str">
        <f>IF(Y191&lt;&gt;"",Y191,IF(AND(K191&gt;=Hypothèses!$B$9,K191&lt;=Hypothèses!$B$10),"actuel",IF(K191=2030,"2030",IF(K191=2050,"2050","autre"))))</f>
        <v>autre</v>
      </c>
      <c r="M191" s="7"/>
      <c r="N191" s="7" t="s">
        <v>248</v>
      </c>
      <c r="O191" s="7"/>
      <c r="P191" s="7" t="s">
        <v>360</v>
      </c>
      <c r="Q191" s="7" t="s">
        <v>49</v>
      </c>
      <c r="R191" s="14">
        <f>INDEX(Hypothèses!$B$14:$B$22,MATCH(Q191,Hypothèses!$A$14:$A$22,0))</f>
        <v>1</v>
      </c>
      <c r="S191" s="17" t="str">
        <f t="shared" si="6"/>
        <v/>
      </c>
      <c r="T191" s="17">
        <f t="shared" si="7"/>
        <v>4.2926502335799999</v>
      </c>
      <c r="U191" s="17" t="str">
        <f t="shared" si="8"/>
        <v/>
      </c>
      <c r="V191" s="7" t="s">
        <v>373</v>
      </c>
      <c r="W191" s="7" t="s">
        <v>84</v>
      </c>
      <c r="X191" s="7" t="s">
        <v>250</v>
      </c>
      <c r="Y191" s="7"/>
      <c r="Z191" s="7"/>
      <c r="AA191" s="7">
        <f>IF(AND(Hypothèses!$B$12=1,Z191="Secondary_Source"),0,1)</f>
        <v>1</v>
      </c>
    </row>
    <row r="192" spans="1:27" x14ac:dyDescent="0.3">
      <c r="A192" s="7" t="s">
        <v>460</v>
      </c>
      <c r="B192" s="7" t="s">
        <v>78</v>
      </c>
      <c r="C192" s="7" t="s">
        <v>144</v>
      </c>
      <c r="D192" s="7" t="s">
        <v>244</v>
      </c>
      <c r="E192" s="7" t="s">
        <v>372</v>
      </c>
      <c r="F192" s="7" t="s">
        <v>258</v>
      </c>
      <c r="G192" s="17"/>
      <c r="H192" s="17">
        <v>4.2510204743199997</v>
      </c>
      <c r="I192" s="17"/>
      <c r="J192" s="7" t="s">
        <v>373</v>
      </c>
      <c r="K192" s="7">
        <v>2050</v>
      </c>
      <c r="L192" s="7" t="str">
        <f>IF(Y192&lt;&gt;"",Y192,IF(AND(K192&gt;=Hypothèses!$B$9,K192&lt;=Hypothèses!$B$10),"actuel",IF(K192=2030,"2030",IF(K192=2050,"2050","autre"))))</f>
        <v>2050</v>
      </c>
      <c r="M192" s="7"/>
      <c r="N192" s="7" t="s">
        <v>248</v>
      </c>
      <c r="O192" s="7"/>
      <c r="P192" s="7" t="s">
        <v>360</v>
      </c>
      <c r="Q192" s="7" t="s">
        <v>49</v>
      </c>
      <c r="R192" s="14">
        <f>INDEX(Hypothèses!$B$14:$B$22,MATCH(Q192,Hypothèses!$A$14:$A$22,0))</f>
        <v>1</v>
      </c>
      <c r="S192" s="17" t="str">
        <f t="shared" si="6"/>
        <v/>
      </c>
      <c r="T192" s="17">
        <f t="shared" si="7"/>
        <v>4.2510204743199997</v>
      </c>
      <c r="U192" s="17" t="str">
        <f t="shared" si="8"/>
        <v/>
      </c>
      <c r="V192" s="7" t="s">
        <v>373</v>
      </c>
      <c r="W192" s="7" t="s">
        <v>84</v>
      </c>
      <c r="X192" s="7" t="s">
        <v>250</v>
      </c>
      <c r="Y192" s="7"/>
      <c r="Z192" s="7"/>
      <c r="AA192" s="7">
        <f>IF(AND(Hypothèses!$B$12=1,Z192="Secondary_Source"),0,1)</f>
        <v>1</v>
      </c>
    </row>
    <row r="193" spans="1:27" x14ac:dyDescent="0.3">
      <c r="A193" s="7" t="s">
        <v>461</v>
      </c>
      <c r="B193" s="7" t="s">
        <v>78</v>
      </c>
      <c r="C193" s="7" t="s">
        <v>146</v>
      </c>
      <c r="D193" s="7" t="s">
        <v>244</v>
      </c>
      <c r="E193" s="7" t="s">
        <v>372</v>
      </c>
      <c r="F193" s="7" t="s">
        <v>258</v>
      </c>
      <c r="G193" s="17">
        <v>1.5846153846153901</v>
      </c>
      <c r="H193" s="17">
        <v>2.1293269230769201</v>
      </c>
      <c r="I193" s="17">
        <v>2.6740384615384598</v>
      </c>
      <c r="J193" s="7" t="s">
        <v>373</v>
      </c>
      <c r="K193" s="7">
        <v>2021</v>
      </c>
      <c r="L193" s="7" t="str">
        <f>IF(Y193&lt;&gt;"",Y193,IF(AND(K193&gt;=Hypothèses!$B$9,K193&lt;=Hypothèses!$B$10),"actuel",IF(K193=2030,"2030",IF(K193=2050,"2050","autre"))))</f>
        <v>actuel</v>
      </c>
      <c r="M193" s="7"/>
      <c r="N193" s="7" t="s">
        <v>248</v>
      </c>
      <c r="O193" s="7"/>
      <c r="P193" s="7" t="s">
        <v>368</v>
      </c>
      <c r="Q193" s="7" t="s">
        <v>49</v>
      </c>
      <c r="R193" s="14">
        <f>INDEX(Hypothèses!$B$14:$B$22,MATCH(Q193,Hypothèses!$A$14:$A$22,0))</f>
        <v>1</v>
      </c>
      <c r="S193" s="17">
        <f t="shared" si="6"/>
        <v>1.5846153846153901</v>
      </c>
      <c r="T193" s="17">
        <f t="shared" si="7"/>
        <v>2.1293269230769201</v>
      </c>
      <c r="U193" s="17">
        <f t="shared" si="8"/>
        <v>2.6740384615384598</v>
      </c>
      <c r="V193" s="7" t="s">
        <v>373</v>
      </c>
      <c r="W193" s="7" t="s">
        <v>84</v>
      </c>
      <c r="X193" s="7" t="s">
        <v>250</v>
      </c>
      <c r="Y193" s="7"/>
      <c r="Z193" s="7"/>
      <c r="AA193" s="7">
        <f>IF(AND(Hypothèses!$B$12=1,Z193="Secondary_Source"),0,1)</f>
        <v>1</v>
      </c>
    </row>
    <row r="194" spans="1:27" x14ac:dyDescent="0.3">
      <c r="A194" s="7" t="s">
        <v>462</v>
      </c>
      <c r="B194" s="7" t="s">
        <v>78</v>
      </c>
      <c r="C194" s="7" t="s">
        <v>146</v>
      </c>
      <c r="D194" s="7" t="s">
        <v>244</v>
      </c>
      <c r="E194" s="7" t="s">
        <v>372</v>
      </c>
      <c r="F194" s="7" t="s">
        <v>258</v>
      </c>
      <c r="G194" s="17">
        <v>0.99038461538461497</v>
      </c>
      <c r="H194" s="17">
        <v>1.3865384615384599</v>
      </c>
      <c r="I194" s="17">
        <v>1.78269230769231</v>
      </c>
      <c r="J194" s="7" t="s">
        <v>373</v>
      </c>
      <c r="K194" s="7">
        <v>2030</v>
      </c>
      <c r="L194" s="7" t="str">
        <f>IF(Y194&lt;&gt;"",Y194,IF(AND(K194&gt;=Hypothèses!$B$9,K194&lt;=Hypothèses!$B$10),"actuel",IF(K194=2030,"2030",IF(K194=2050,"2050","autre"))))</f>
        <v>2030</v>
      </c>
      <c r="M194" s="7"/>
      <c r="N194" s="7" t="s">
        <v>248</v>
      </c>
      <c r="O194" s="7"/>
      <c r="P194" s="7" t="s">
        <v>368</v>
      </c>
      <c r="Q194" s="7" t="s">
        <v>49</v>
      </c>
      <c r="R194" s="14">
        <f>INDEX(Hypothèses!$B$14:$B$22,MATCH(Q194,Hypothèses!$A$14:$A$22,0))</f>
        <v>1</v>
      </c>
      <c r="S194" s="17">
        <f t="shared" ref="S194:S257" si="9">IF(G194="","",G194*R194)</f>
        <v>0.99038461538461497</v>
      </c>
      <c r="T194" s="17">
        <f t="shared" ref="T194:T257" si="10">IF(H194="","",H194*R194)</f>
        <v>1.3865384615384599</v>
      </c>
      <c r="U194" s="17">
        <f t="shared" ref="U194:U257" si="11">IF(I194="","",I194*R194)</f>
        <v>1.78269230769231</v>
      </c>
      <c r="V194" s="7" t="s">
        <v>373</v>
      </c>
      <c r="W194" s="7" t="s">
        <v>84</v>
      </c>
      <c r="X194" s="7" t="s">
        <v>250</v>
      </c>
      <c r="Y194" s="7"/>
      <c r="Z194" s="7"/>
      <c r="AA194" s="7">
        <f>IF(AND(Hypothèses!$B$12=1,Z194="Secondary_Source"),0,1)</f>
        <v>1</v>
      </c>
    </row>
    <row r="195" spans="1:27" x14ac:dyDescent="0.3">
      <c r="A195" s="7" t="s">
        <v>463</v>
      </c>
      <c r="B195" s="7" t="s">
        <v>78</v>
      </c>
      <c r="C195" s="7" t="s">
        <v>146</v>
      </c>
      <c r="D195" s="7" t="s">
        <v>244</v>
      </c>
      <c r="E195" s="7" t="s">
        <v>372</v>
      </c>
      <c r="F195" s="7" t="s">
        <v>258</v>
      </c>
      <c r="G195" s="17">
        <v>0.49519230769230799</v>
      </c>
      <c r="H195" s="17">
        <v>0.69326923076923097</v>
      </c>
      <c r="I195" s="17">
        <v>0.89134615384615401</v>
      </c>
      <c r="J195" s="7" t="s">
        <v>373</v>
      </c>
      <c r="K195" s="7">
        <v>2050</v>
      </c>
      <c r="L195" s="7" t="str">
        <f>IF(Y195&lt;&gt;"",Y195,IF(AND(K195&gt;=Hypothèses!$B$9,K195&lt;=Hypothèses!$B$10),"actuel",IF(K195=2030,"2030",IF(K195=2050,"2050","autre"))))</f>
        <v>2050</v>
      </c>
      <c r="M195" s="7"/>
      <c r="N195" s="7" t="s">
        <v>248</v>
      </c>
      <c r="O195" s="7"/>
      <c r="P195" s="7" t="s">
        <v>368</v>
      </c>
      <c r="Q195" s="7" t="s">
        <v>49</v>
      </c>
      <c r="R195" s="14">
        <f>INDEX(Hypothèses!$B$14:$B$22,MATCH(Q195,Hypothèses!$A$14:$A$22,0))</f>
        <v>1</v>
      </c>
      <c r="S195" s="17">
        <f t="shared" si="9"/>
        <v>0.49519230769230799</v>
      </c>
      <c r="T195" s="17">
        <f t="shared" si="10"/>
        <v>0.69326923076923097</v>
      </c>
      <c r="U195" s="17">
        <f t="shared" si="11"/>
        <v>0.89134615384615401</v>
      </c>
      <c r="V195" s="7" t="s">
        <v>373</v>
      </c>
      <c r="W195" s="7" t="s">
        <v>84</v>
      </c>
      <c r="X195" s="7" t="s">
        <v>250</v>
      </c>
      <c r="Y195" s="7"/>
      <c r="Z195" s="7"/>
      <c r="AA195" s="7">
        <f>IF(AND(Hypothèses!$B$12=1,Z195="Secondary_Source"),0,1)</f>
        <v>1</v>
      </c>
    </row>
    <row r="196" spans="1:27" x14ac:dyDescent="0.3">
      <c r="A196" s="7" t="s">
        <v>464</v>
      </c>
      <c r="B196" s="7" t="s">
        <v>78</v>
      </c>
      <c r="C196" s="7" t="s">
        <v>77</v>
      </c>
      <c r="D196" s="7" t="s">
        <v>465</v>
      </c>
      <c r="E196" s="7" t="s">
        <v>245</v>
      </c>
      <c r="F196" s="7" t="s">
        <v>246</v>
      </c>
      <c r="G196" s="17"/>
      <c r="H196" s="17">
        <v>2621.8135000000002</v>
      </c>
      <c r="I196" s="17"/>
      <c r="J196" s="7" t="s">
        <v>247</v>
      </c>
      <c r="K196" s="7">
        <v>2015</v>
      </c>
      <c r="L196" s="7" t="str">
        <f>IF(Y196&lt;&gt;"",Y196,IF(AND(K196&gt;=Hypothèses!$B$9,K196&lt;=Hypothèses!$B$10),"actuel",IF(K196=2030,"2030",IF(K196=2050,"2050","autre"))))</f>
        <v>autre</v>
      </c>
      <c r="M196" s="7"/>
      <c r="N196" s="7" t="s">
        <v>248</v>
      </c>
      <c r="O196" s="7"/>
      <c r="P196" s="7" t="s">
        <v>249</v>
      </c>
      <c r="Q196" s="7" t="s">
        <v>49</v>
      </c>
      <c r="R196" s="14">
        <f>INDEX(Hypothèses!$B$14:$B$22,MATCH(Q196,Hypothèses!$A$14:$A$22,0))</f>
        <v>1</v>
      </c>
      <c r="S196" s="17" t="str">
        <f t="shared" si="9"/>
        <v/>
      </c>
      <c r="T196" s="17">
        <f t="shared" si="10"/>
        <v>2621.8135000000002</v>
      </c>
      <c r="U196" s="17" t="str">
        <f t="shared" si="11"/>
        <v/>
      </c>
      <c r="V196" s="7" t="s">
        <v>247</v>
      </c>
      <c r="W196" s="7" t="s">
        <v>84</v>
      </c>
      <c r="X196" s="7" t="s">
        <v>250</v>
      </c>
      <c r="Y196" s="7"/>
      <c r="Z196" s="7"/>
      <c r="AA196" s="7">
        <f>IF(AND(Hypothèses!$B$12=1,Z196="Secondary_Source"),0,1)</f>
        <v>1</v>
      </c>
    </row>
    <row r="197" spans="1:27" x14ac:dyDescent="0.3">
      <c r="A197" s="7" t="s">
        <v>466</v>
      </c>
      <c r="B197" s="7" t="s">
        <v>78</v>
      </c>
      <c r="C197" s="7" t="s">
        <v>77</v>
      </c>
      <c r="D197" s="7" t="s">
        <v>465</v>
      </c>
      <c r="E197" s="7" t="s">
        <v>245</v>
      </c>
      <c r="F197" s="7" t="s">
        <v>246</v>
      </c>
      <c r="G197" s="17"/>
      <c r="H197" s="17">
        <v>1920.8058000000001</v>
      </c>
      <c r="I197" s="17"/>
      <c r="J197" s="7" t="s">
        <v>247</v>
      </c>
      <c r="K197" s="7">
        <v>2016</v>
      </c>
      <c r="L197" s="7" t="str">
        <f>IF(Y197&lt;&gt;"",Y197,IF(AND(K197&gt;=Hypothèses!$B$9,K197&lt;=Hypothèses!$B$10),"actuel",IF(K197=2030,"2030",IF(K197=2050,"2050","autre"))))</f>
        <v>autre</v>
      </c>
      <c r="M197" s="7"/>
      <c r="N197" s="7" t="s">
        <v>248</v>
      </c>
      <c r="O197" s="7"/>
      <c r="P197" s="7" t="s">
        <v>249</v>
      </c>
      <c r="Q197" s="7" t="s">
        <v>49</v>
      </c>
      <c r="R197" s="14">
        <f>INDEX(Hypothèses!$B$14:$B$22,MATCH(Q197,Hypothèses!$A$14:$A$22,0))</f>
        <v>1</v>
      </c>
      <c r="S197" s="17" t="str">
        <f t="shared" si="9"/>
        <v/>
      </c>
      <c r="T197" s="17">
        <f t="shared" si="10"/>
        <v>1920.8058000000001</v>
      </c>
      <c r="U197" s="17" t="str">
        <f t="shared" si="11"/>
        <v/>
      </c>
      <c r="V197" s="7" t="s">
        <v>247</v>
      </c>
      <c r="W197" s="7" t="s">
        <v>84</v>
      </c>
      <c r="X197" s="7" t="s">
        <v>250</v>
      </c>
      <c r="Y197" s="7"/>
      <c r="Z197" s="7"/>
      <c r="AA197" s="7">
        <f>IF(AND(Hypothèses!$B$12=1,Z197="Secondary_Source"),0,1)</f>
        <v>1</v>
      </c>
    </row>
    <row r="198" spans="1:27" x14ac:dyDescent="0.3">
      <c r="A198" s="7" t="s">
        <v>467</v>
      </c>
      <c r="B198" s="7" t="s">
        <v>78</v>
      </c>
      <c r="C198" s="7" t="s">
        <v>77</v>
      </c>
      <c r="D198" s="7" t="s">
        <v>465</v>
      </c>
      <c r="E198" s="7" t="s">
        <v>245</v>
      </c>
      <c r="F198" s="7" t="s">
        <v>246</v>
      </c>
      <c r="G198" s="17"/>
      <c r="H198" s="17">
        <v>1670.2686000000001</v>
      </c>
      <c r="I198" s="17"/>
      <c r="J198" s="7" t="s">
        <v>247</v>
      </c>
      <c r="K198" s="7">
        <v>2017</v>
      </c>
      <c r="L198" s="7" t="str">
        <f>IF(Y198&lt;&gt;"",Y198,IF(AND(K198&gt;=Hypothèses!$B$9,K198&lt;=Hypothèses!$B$10),"actuel",IF(K198=2030,"2030",IF(K198=2050,"2050","autre"))))</f>
        <v>autre</v>
      </c>
      <c r="M198" s="7"/>
      <c r="N198" s="7" t="s">
        <v>248</v>
      </c>
      <c r="O198" s="7"/>
      <c r="P198" s="7" t="s">
        <v>249</v>
      </c>
      <c r="Q198" s="7" t="s">
        <v>49</v>
      </c>
      <c r="R198" s="14">
        <f>INDEX(Hypothèses!$B$14:$B$22,MATCH(Q198,Hypothèses!$A$14:$A$22,0))</f>
        <v>1</v>
      </c>
      <c r="S198" s="17" t="str">
        <f t="shared" si="9"/>
        <v/>
      </c>
      <c r="T198" s="17">
        <f t="shared" si="10"/>
        <v>1670.2686000000001</v>
      </c>
      <c r="U198" s="17" t="str">
        <f t="shared" si="11"/>
        <v/>
      </c>
      <c r="V198" s="7" t="s">
        <v>247</v>
      </c>
      <c r="W198" s="7" t="s">
        <v>84</v>
      </c>
      <c r="X198" s="7" t="s">
        <v>250</v>
      </c>
      <c r="Y198" s="7"/>
      <c r="Z198" s="7"/>
      <c r="AA198" s="7">
        <f>IF(AND(Hypothèses!$B$12=1,Z198="Secondary_Source"),0,1)</f>
        <v>1</v>
      </c>
    </row>
    <row r="199" spans="1:27" x14ac:dyDescent="0.3">
      <c r="A199" s="7" t="s">
        <v>468</v>
      </c>
      <c r="B199" s="7" t="s">
        <v>78</v>
      </c>
      <c r="C199" s="7" t="s">
        <v>77</v>
      </c>
      <c r="D199" s="7" t="s">
        <v>465</v>
      </c>
      <c r="E199" s="7" t="s">
        <v>245</v>
      </c>
      <c r="F199" s="7" t="s">
        <v>246</v>
      </c>
      <c r="G199" s="17"/>
      <c r="H199" s="17">
        <v>1252.7066</v>
      </c>
      <c r="I199" s="17"/>
      <c r="J199" s="7" t="s">
        <v>247</v>
      </c>
      <c r="K199" s="7">
        <v>2018</v>
      </c>
      <c r="L199" s="7" t="str">
        <f>IF(Y199&lt;&gt;"",Y199,IF(AND(K199&gt;=Hypothèses!$B$9,K199&lt;=Hypothèses!$B$10),"actuel",IF(K199=2030,"2030",IF(K199=2050,"2050","autre"))))</f>
        <v>autre</v>
      </c>
      <c r="M199" s="7"/>
      <c r="N199" s="7" t="s">
        <v>248</v>
      </c>
      <c r="O199" s="7"/>
      <c r="P199" s="7" t="s">
        <v>249</v>
      </c>
      <c r="Q199" s="7" t="s">
        <v>49</v>
      </c>
      <c r="R199" s="14">
        <f>INDEX(Hypothèses!$B$14:$B$22,MATCH(Q199,Hypothèses!$A$14:$A$22,0))</f>
        <v>1</v>
      </c>
      <c r="S199" s="17" t="str">
        <f t="shared" si="9"/>
        <v/>
      </c>
      <c r="T199" s="17">
        <f t="shared" si="10"/>
        <v>1252.7066</v>
      </c>
      <c r="U199" s="17" t="str">
        <f t="shared" si="11"/>
        <v/>
      </c>
      <c r="V199" s="7" t="s">
        <v>247</v>
      </c>
      <c r="W199" s="7" t="s">
        <v>84</v>
      </c>
      <c r="X199" s="7" t="s">
        <v>250</v>
      </c>
      <c r="Y199" s="7"/>
      <c r="Z199" s="7"/>
      <c r="AA199" s="7">
        <f>IF(AND(Hypothèses!$B$12=1,Z199="Secondary_Source"),0,1)</f>
        <v>1</v>
      </c>
    </row>
    <row r="200" spans="1:27" x14ac:dyDescent="0.3">
      <c r="A200" s="7" t="s">
        <v>469</v>
      </c>
      <c r="B200" s="7" t="s">
        <v>78</v>
      </c>
      <c r="C200" s="7" t="s">
        <v>77</v>
      </c>
      <c r="D200" s="7" t="s">
        <v>465</v>
      </c>
      <c r="E200" s="7" t="s">
        <v>245</v>
      </c>
      <c r="F200" s="7" t="s">
        <v>246</v>
      </c>
      <c r="G200" s="17"/>
      <c r="H200" s="17">
        <v>1217.46</v>
      </c>
      <c r="I200" s="17"/>
      <c r="J200" s="7" t="s">
        <v>247</v>
      </c>
      <c r="K200" s="7">
        <v>2020</v>
      </c>
      <c r="L200" s="7" t="str">
        <f>IF(Y200&lt;&gt;"",Y200,IF(AND(K200&gt;=Hypothèses!$B$9,K200&lt;=Hypothèses!$B$10),"actuel",IF(K200=2030,"2030",IF(K200=2050,"2050","autre"))))</f>
        <v>actuel</v>
      </c>
      <c r="M200" s="7"/>
      <c r="N200" s="7" t="s">
        <v>248</v>
      </c>
      <c r="O200" s="7"/>
      <c r="P200" s="7" t="s">
        <v>249</v>
      </c>
      <c r="Q200" s="7" t="s">
        <v>49</v>
      </c>
      <c r="R200" s="14">
        <f>INDEX(Hypothèses!$B$14:$B$22,MATCH(Q200,Hypothèses!$A$14:$A$22,0))</f>
        <v>1</v>
      </c>
      <c r="S200" s="17" t="str">
        <f t="shared" si="9"/>
        <v/>
      </c>
      <c r="T200" s="17">
        <f t="shared" si="10"/>
        <v>1217.46</v>
      </c>
      <c r="U200" s="17" t="str">
        <f t="shared" si="11"/>
        <v/>
      </c>
      <c r="V200" s="7" t="s">
        <v>247</v>
      </c>
      <c r="W200" s="7" t="s">
        <v>84</v>
      </c>
      <c r="X200" s="7" t="s">
        <v>250</v>
      </c>
      <c r="Y200" s="7"/>
      <c r="Z200" s="7"/>
      <c r="AA200" s="7">
        <f>IF(AND(Hypothèses!$B$12=1,Z200="Secondary_Source"),0,1)</f>
        <v>1</v>
      </c>
    </row>
    <row r="201" spans="1:27" x14ac:dyDescent="0.3">
      <c r="A201" s="7" t="s">
        <v>470</v>
      </c>
      <c r="B201" s="7" t="s">
        <v>78</v>
      </c>
      <c r="C201" s="7" t="s">
        <v>77</v>
      </c>
      <c r="D201" s="7" t="s">
        <v>465</v>
      </c>
      <c r="E201" s="7" t="s">
        <v>245</v>
      </c>
      <c r="F201" s="7" t="s">
        <v>246</v>
      </c>
      <c r="G201" s="17"/>
      <c r="H201" s="17">
        <v>992.22990000000004</v>
      </c>
      <c r="I201" s="17"/>
      <c r="J201" s="7" t="s">
        <v>247</v>
      </c>
      <c r="K201" s="7">
        <v>2021</v>
      </c>
      <c r="L201" s="7" t="str">
        <f>IF(Y201&lt;&gt;"",Y201,IF(AND(K201&gt;=Hypothèses!$B$9,K201&lt;=Hypothèses!$B$10),"actuel",IF(K201=2030,"2030",IF(K201=2050,"2050","autre"))))</f>
        <v>actuel</v>
      </c>
      <c r="M201" s="7"/>
      <c r="N201" s="7" t="s">
        <v>248</v>
      </c>
      <c r="O201" s="7"/>
      <c r="P201" s="7" t="s">
        <v>249</v>
      </c>
      <c r="Q201" s="7" t="s">
        <v>49</v>
      </c>
      <c r="R201" s="14">
        <f>INDEX(Hypothèses!$B$14:$B$22,MATCH(Q201,Hypothèses!$A$14:$A$22,0))</f>
        <v>1</v>
      </c>
      <c r="S201" s="17" t="str">
        <f t="shared" si="9"/>
        <v/>
      </c>
      <c r="T201" s="17">
        <f t="shared" si="10"/>
        <v>992.22990000000004</v>
      </c>
      <c r="U201" s="17" t="str">
        <f t="shared" si="11"/>
        <v/>
      </c>
      <c r="V201" s="7" t="s">
        <v>247</v>
      </c>
      <c r="W201" s="7" t="s">
        <v>84</v>
      </c>
      <c r="X201" s="7" t="s">
        <v>250</v>
      </c>
      <c r="Y201" s="7"/>
      <c r="Z201" s="7"/>
      <c r="AA201" s="7">
        <f>IF(AND(Hypothèses!$B$12=1,Z201="Secondary_Source"),0,1)</f>
        <v>1</v>
      </c>
    </row>
    <row r="202" spans="1:27" x14ac:dyDescent="0.3">
      <c r="A202" s="7" t="s">
        <v>471</v>
      </c>
      <c r="B202" s="7" t="s">
        <v>78</v>
      </c>
      <c r="C202" s="7" t="s">
        <v>77</v>
      </c>
      <c r="D202" s="7" t="s">
        <v>465</v>
      </c>
      <c r="E202" s="7" t="s">
        <v>245</v>
      </c>
      <c r="F202" s="7" t="s">
        <v>246</v>
      </c>
      <c r="G202" s="17">
        <v>511.70400000000001</v>
      </c>
      <c r="H202" s="17">
        <v>1234.7639999999999</v>
      </c>
      <c r="I202" s="17">
        <v>2769.8760000000002</v>
      </c>
      <c r="J202" s="7" t="s">
        <v>247</v>
      </c>
      <c r="K202" s="7">
        <v>2022</v>
      </c>
      <c r="L202" s="7" t="str">
        <f>IF(Y202&lt;&gt;"",Y202,IF(AND(K202&gt;=Hypothèses!$B$9,K202&lt;=Hypothèses!$B$10),"actuel",IF(K202=2030,"2030",IF(K202=2050,"2050","autre"))))</f>
        <v>actuel</v>
      </c>
      <c r="M202" s="7"/>
      <c r="N202" s="7" t="s">
        <v>248</v>
      </c>
      <c r="O202" s="7"/>
      <c r="P202" s="7" t="s">
        <v>249</v>
      </c>
      <c r="Q202" s="7" t="s">
        <v>49</v>
      </c>
      <c r="R202" s="14">
        <f>INDEX(Hypothèses!$B$14:$B$22,MATCH(Q202,Hypothèses!$A$14:$A$22,0))</f>
        <v>1</v>
      </c>
      <c r="S202" s="17">
        <f t="shared" si="9"/>
        <v>511.70400000000001</v>
      </c>
      <c r="T202" s="17">
        <f t="shared" si="10"/>
        <v>1234.7639999999999</v>
      </c>
      <c r="U202" s="17">
        <f t="shared" si="11"/>
        <v>2769.8760000000002</v>
      </c>
      <c r="V202" s="7" t="s">
        <v>247</v>
      </c>
      <c r="W202" s="7" t="s">
        <v>84</v>
      </c>
      <c r="X202" s="7" t="s">
        <v>250</v>
      </c>
      <c r="Y202" s="7"/>
      <c r="Z202" s="7"/>
      <c r="AA202" s="7">
        <f>IF(AND(Hypothèses!$B$12=1,Z202="Secondary_Source"),0,1)</f>
        <v>1</v>
      </c>
    </row>
    <row r="203" spans="1:27" x14ac:dyDescent="0.3">
      <c r="A203" s="7" t="s">
        <v>472</v>
      </c>
      <c r="B203" s="7" t="s">
        <v>78</v>
      </c>
      <c r="C203" s="7" t="s">
        <v>77</v>
      </c>
      <c r="D203" s="7" t="s">
        <v>465</v>
      </c>
      <c r="E203" s="7" t="s">
        <v>245</v>
      </c>
      <c r="F203" s="7" t="s">
        <v>246</v>
      </c>
      <c r="G203" s="17">
        <v>1010.1416</v>
      </c>
      <c r="H203" s="17">
        <v>1718.2048</v>
      </c>
      <c r="I203" s="17">
        <v>2426.268</v>
      </c>
      <c r="J203" s="7" t="s">
        <v>247</v>
      </c>
      <c r="K203" s="7">
        <v>2023</v>
      </c>
      <c r="L203" s="7" t="str">
        <f>IF(Y203&lt;&gt;"",Y203,IF(AND(K203&gt;=Hypothèses!$B$9,K203&lt;=Hypothèses!$B$10),"actuel",IF(K203=2030,"2030",IF(K203=2050,"2050","autre"))))</f>
        <v>actuel</v>
      </c>
      <c r="M203" s="7"/>
      <c r="N203" s="7" t="s">
        <v>248</v>
      </c>
      <c r="O203" s="7"/>
      <c r="P203" s="7" t="s">
        <v>249</v>
      </c>
      <c r="Q203" s="7" t="s">
        <v>49</v>
      </c>
      <c r="R203" s="14">
        <f>INDEX(Hypothèses!$B$14:$B$22,MATCH(Q203,Hypothèses!$A$14:$A$22,0))</f>
        <v>1</v>
      </c>
      <c r="S203" s="17">
        <f t="shared" si="9"/>
        <v>1010.1416</v>
      </c>
      <c r="T203" s="17">
        <f t="shared" si="10"/>
        <v>1718.2048</v>
      </c>
      <c r="U203" s="17">
        <f t="shared" si="11"/>
        <v>2426.268</v>
      </c>
      <c r="V203" s="7" t="s">
        <v>247</v>
      </c>
      <c r="W203" s="7" t="s">
        <v>84</v>
      </c>
      <c r="X203" s="7" t="s">
        <v>250</v>
      </c>
      <c r="Y203" s="7"/>
      <c r="Z203" s="7"/>
      <c r="AA203" s="7">
        <f>IF(AND(Hypothèses!$B$12=1,Z203="Secondary_Source"),0,1)</f>
        <v>1</v>
      </c>
    </row>
    <row r="204" spans="1:27" x14ac:dyDescent="0.3">
      <c r="A204" s="7" t="s">
        <v>473</v>
      </c>
      <c r="B204" s="7" t="s">
        <v>78</v>
      </c>
      <c r="C204" s="7" t="s">
        <v>92</v>
      </c>
      <c r="D204" s="7" t="s">
        <v>465</v>
      </c>
      <c r="E204" s="7" t="s">
        <v>245</v>
      </c>
      <c r="F204" s="7" t="s">
        <v>258</v>
      </c>
      <c r="G204" s="17"/>
      <c r="H204" s="17">
        <v>978.5</v>
      </c>
      <c r="I204" s="17"/>
      <c r="J204" s="7" t="s">
        <v>247</v>
      </c>
      <c r="K204" s="7">
        <v>2020</v>
      </c>
      <c r="L204" s="7" t="str">
        <f>IF(Y204&lt;&gt;"",Y204,IF(AND(K204&gt;=Hypothèses!$B$9,K204&lt;=Hypothèses!$B$10),"actuel",IF(K204=2030,"2030",IF(K204=2050,"2050","autre"))))</f>
        <v>actuel</v>
      </c>
      <c r="M204" s="7"/>
      <c r="N204" s="7" t="s">
        <v>248</v>
      </c>
      <c r="O204" s="7"/>
      <c r="P204" s="7" t="s">
        <v>282</v>
      </c>
      <c r="Q204" s="7" t="s">
        <v>49</v>
      </c>
      <c r="R204" s="14">
        <f>INDEX(Hypothèses!$B$14:$B$22,MATCH(Q204,Hypothèses!$A$14:$A$22,0))</f>
        <v>1</v>
      </c>
      <c r="S204" s="17" t="str">
        <f t="shared" si="9"/>
        <v/>
      </c>
      <c r="T204" s="17">
        <f t="shared" si="10"/>
        <v>978.5</v>
      </c>
      <c r="U204" s="17" t="str">
        <f t="shared" si="11"/>
        <v/>
      </c>
      <c r="V204" s="7" t="s">
        <v>247</v>
      </c>
      <c r="W204" s="7" t="s">
        <v>84</v>
      </c>
      <c r="X204" s="7" t="s">
        <v>250</v>
      </c>
      <c r="Y204" s="7"/>
      <c r="Z204" s="7"/>
      <c r="AA204" s="7">
        <f>IF(AND(Hypothèses!$B$12=1,Z204="Secondary_Source"),0,1)</f>
        <v>1</v>
      </c>
    </row>
    <row r="205" spans="1:27" x14ac:dyDescent="0.3">
      <c r="A205" s="7" t="s">
        <v>474</v>
      </c>
      <c r="B205" s="7" t="s">
        <v>78</v>
      </c>
      <c r="C205" s="7" t="s">
        <v>92</v>
      </c>
      <c r="D205" s="7" t="s">
        <v>465</v>
      </c>
      <c r="E205" s="7" t="s">
        <v>245</v>
      </c>
      <c r="F205" s="7" t="s">
        <v>258</v>
      </c>
      <c r="G205" s="17"/>
      <c r="H205" s="17">
        <v>643.75</v>
      </c>
      <c r="I205" s="17"/>
      <c r="J205" s="7" t="s">
        <v>247</v>
      </c>
      <c r="K205" s="7">
        <v>2030</v>
      </c>
      <c r="L205" s="7" t="str">
        <f>IF(Y205&lt;&gt;"",Y205,IF(AND(K205&gt;=Hypothèses!$B$9,K205&lt;=Hypothèses!$B$10),"actuel",IF(K205=2030,"2030",IF(K205=2050,"2050","autre"))))</f>
        <v>2030</v>
      </c>
      <c r="M205" s="7"/>
      <c r="N205" s="7" t="s">
        <v>248</v>
      </c>
      <c r="O205" s="7"/>
      <c r="P205" s="7" t="s">
        <v>282</v>
      </c>
      <c r="Q205" s="7" t="s">
        <v>49</v>
      </c>
      <c r="R205" s="14">
        <f>INDEX(Hypothèses!$B$14:$B$22,MATCH(Q205,Hypothèses!$A$14:$A$22,0))</f>
        <v>1</v>
      </c>
      <c r="S205" s="17" t="str">
        <f t="shared" si="9"/>
        <v/>
      </c>
      <c r="T205" s="17">
        <f t="shared" si="10"/>
        <v>643.75</v>
      </c>
      <c r="U205" s="17" t="str">
        <f t="shared" si="11"/>
        <v/>
      </c>
      <c r="V205" s="7" t="s">
        <v>247</v>
      </c>
      <c r="W205" s="7" t="s">
        <v>84</v>
      </c>
      <c r="X205" s="7" t="s">
        <v>250</v>
      </c>
      <c r="Y205" s="7"/>
      <c r="Z205" s="7"/>
      <c r="AA205" s="7">
        <f>IF(AND(Hypothèses!$B$12=1,Z205="Secondary_Source"),0,1)</f>
        <v>1</v>
      </c>
    </row>
    <row r="206" spans="1:27" x14ac:dyDescent="0.3">
      <c r="A206" s="7" t="s">
        <v>475</v>
      </c>
      <c r="B206" s="7" t="s">
        <v>78</v>
      </c>
      <c r="C206" s="7" t="s">
        <v>92</v>
      </c>
      <c r="D206" s="7" t="s">
        <v>465</v>
      </c>
      <c r="E206" s="7" t="s">
        <v>245</v>
      </c>
      <c r="F206" s="7" t="s">
        <v>258</v>
      </c>
      <c r="G206" s="17"/>
      <c r="H206" s="17">
        <v>553.625</v>
      </c>
      <c r="I206" s="17"/>
      <c r="J206" s="7" t="s">
        <v>247</v>
      </c>
      <c r="K206" s="7">
        <v>2040</v>
      </c>
      <c r="L206" s="7" t="str">
        <f>IF(Y206&lt;&gt;"",Y206,IF(AND(K206&gt;=Hypothèses!$B$9,K206&lt;=Hypothèses!$B$10),"actuel",IF(K206=2030,"2030",IF(K206=2050,"2050","autre"))))</f>
        <v>autre</v>
      </c>
      <c r="M206" s="7"/>
      <c r="N206" s="7" t="s">
        <v>248</v>
      </c>
      <c r="O206" s="7"/>
      <c r="P206" s="7" t="s">
        <v>282</v>
      </c>
      <c r="Q206" s="7" t="s">
        <v>49</v>
      </c>
      <c r="R206" s="14">
        <f>INDEX(Hypothèses!$B$14:$B$22,MATCH(Q206,Hypothèses!$A$14:$A$22,0))</f>
        <v>1</v>
      </c>
      <c r="S206" s="17" t="str">
        <f t="shared" si="9"/>
        <v/>
      </c>
      <c r="T206" s="17">
        <f t="shared" si="10"/>
        <v>553.625</v>
      </c>
      <c r="U206" s="17" t="str">
        <f t="shared" si="11"/>
        <v/>
      </c>
      <c r="V206" s="7" t="s">
        <v>247</v>
      </c>
      <c r="W206" s="7" t="s">
        <v>84</v>
      </c>
      <c r="X206" s="7" t="s">
        <v>250</v>
      </c>
      <c r="Y206" s="7"/>
      <c r="Z206" s="7"/>
      <c r="AA206" s="7">
        <f>IF(AND(Hypothèses!$B$12=1,Z206="Secondary_Source"),0,1)</f>
        <v>1</v>
      </c>
    </row>
    <row r="207" spans="1:27" x14ac:dyDescent="0.3">
      <c r="A207" s="7" t="s">
        <v>476</v>
      </c>
      <c r="B207" s="7" t="s">
        <v>78</v>
      </c>
      <c r="C207" s="7" t="s">
        <v>92</v>
      </c>
      <c r="D207" s="7" t="s">
        <v>465</v>
      </c>
      <c r="E207" s="7" t="s">
        <v>245</v>
      </c>
      <c r="F207" s="7" t="s">
        <v>258</v>
      </c>
      <c r="G207" s="17"/>
      <c r="H207" s="17">
        <v>463.5</v>
      </c>
      <c r="I207" s="17"/>
      <c r="J207" s="7" t="s">
        <v>247</v>
      </c>
      <c r="K207" s="7">
        <v>2050</v>
      </c>
      <c r="L207" s="7" t="str">
        <f>IF(Y207&lt;&gt;"",Y207,IF(AND(K207&gt;=Hypothèses!$B$9,K207&lt;=Hypothèses!$B$10),"actuel",IF(K207=2030,"2030",IF(K207=2050,"2050","autre"))))</f>
        <v>2050</v>
      </c>
      <c r="M207" s="7"/>
      <c r="N207" s="7" t="s">
        <v>248</v>
      </c>
      <c r="O207" s="7"/>
      <c r="P207" s="7" t="s">
        <v>282</v>
      </c>
      <c r="Q207" s="7" t="s">
        <v>49</v>
      </c>
      <c r="R207" s="14">
        <f>INDEX(Hypothèses!$B$14:$B$22,MATCH(Q207,Hypothèses!$A$14:$A$22,0))</f>
        <v>1</v>
      </c>
      <c r="S207" s="17" t="str">
        <f t="shared" si="9"/>
        <v/>
      </c>
      <c r="T207" s="17">
        <f t="shared" si="10"/>
        <v>463.5</v>
      </c>
      <c r="U207" s="17" t="str">
        <f t="shared" si="11"/>
        <v/>
      </c>
      <c r="V207" s="7" t="s">
        <v>247</v>
      </c>
      <c r="W207" s="7" t="s">
        <v>84</v>
      </c>
      <c r="X207" s="7" t="s">
        <v>250</v>
      </c>
      <c r="Y207" s="7"/>
      <c r="Z207" s="7"/>
      <c r="AA207" s="7">
        <f>IF(AND(Hypothèses!$B$12=1,Z207="Secondary_Source"),0,1)</f>
        <v>1</v>
      </c>
    </row>
    <row r="208" spans="1:27" x14ac:dyDescent="0.3">
      <c r="A208" s="7" t="s">
        <v>477</v>
      </c>
      <c r="B208" s="7" t="s">
        <v>78</v>
      </c>
      <c r="C208" s="7" t="s">
        <v>94</v>
      </c>
      <c r="D208" s="7" t="s">
        <v>465</v>
      </c>
      <c r="E208" s="7" t="s">
        <v>245</v>
      </c>
      <c r="F208" s="7" t="s">
        <v>258</v>
      </c>
      <c r="G208" s="17">
        <v>1647</v>
      </c>
      <c r="H208" s="17">
        <v>2052</v>
      </c>
      <c r="I208" s="17">
        <v>2457</v>
      </c>
      <c r="J208" s="7" t="s">
        <v>247</v>
      </c>
      <c r="K208" s="7">
        <v>2020</v>
      </c>
      <c r="L208" s="7" t="str">
        <f>IF(Y208&lt;&gt;"",Y208,IF(AND(K208&gt;=Hypothèses!$B$9,K208&lt;=Hypothèses!$B$10),"actuel",IF(K208=2030,"2030",IF(K208=2050,"2050","autre"))))</f>
        <v>actuel</v>
      </c>
      <c r="M208" s="7" t="s">
        <v>263</v>
      </c>
      <c r="N208" s="7" t="s">
        <v>248</v>
      </c>
      <c r="O208" s="7"/>
      <c r="P208" s="7" t="s">
        <v>264</v>
      </c>
      <c r="Q208" s="7" t="s">
        <v>49</v>
      </c>
      <c r="R208" s="14">
        <f>INDEX(Hypothèses!$B$14:$B$22,MATCH(Q208,Hypothèses!$A$14:$A$22,0))</f>
        <v>1</v>
      </c>
      <c r="S208" s="17">
        <f t="shared" si="9"/>
        <v>1647</v>
      </c>
      <c r="T208" s="17">
        <f t="shared" si="10"/>
        <v>2052</v>
      </c>
      <c r="U208" s="17">
        <f t="shared" si="11"/>
        <v>2457</v>
      </c>
      <c r="V208" s="7" t="s">
        <v>247</v>
      </c>
      <c r="W208" s="7" t="s">
        <v>84</v>
      </c>
      <c r="X208" s="7" t="s">
        <v>250</v>
      </c>
      <c r="Y208" s="7"/>
      <c r="Z208" s="7"/>
      <c r="AA208" s="7">
        <f>IF(AND(Hypothèses!$B$12=1,Z208="Secondary_Source"),0,1)</f>
        <v>1</v>
      </c>
    </row>
    <row r="209" spans="1:27" x14ac:dyDescent="0.3">
      <c r="A209" s="7" t="s">
        <v>478</v>
      </c>
      <c r="B209" s="7" t="s">
        <v>78</v>
      </c>
      <c r="C209" s="7" t="s">
        <v>94</v>
      </c>
      <c r="D209" s="7" t="s">
        <v>465</v>
      </c>
      <c r="E209" s="7" t="s">
        <v>245</v>
      </c>
      <c r="F209" s="7" t="s">
        <v>258</v>
      </c>
      <c r="G209" s="17"/>
      <c r="H209" s="17">
        <v>1539</v>
      </c>
      <c r="I209" s="17"/>
      <c r="J209" s="7" t="s">
        <v>247</v>
      </c>
      <c r="K209" s="7">
        <v>2025</v>
      </c>
      <c r="L209" s="7" t="str">
        <f>IF(Y209&lt;&gt;"",Y209,IF(AND(K209&gt;=Hypothèses!$B$9,K209&lt;=Hypothèses!$B$10),"actuel",IF(K209=2030,"2030",IF(K209=2050,"2050","autre"))))</f>
        <v>actuel</v>
      </c>
      <c r="M209" s="7" t="s">
        <v>263</v>
      </c>
      <c r="N209" s="7" t="s">
        <v>248</v>
      </c>
      <c r="O209" s="7"/>
      <c r="P209" s="7" t="s">
        <v>264</v>
      </c>
      <c r="Q209" s="7" t="s">
        <v>49</v>
      </c>
      <c r="R209" s="14">
        <f>INDEX(Hypothèses!$B$14:$B$22,MATCH(Q209,Hypothèses!$A$14:$A$22,0))</f>
        <v>1</v>
      </c>
      <c r="S209" s="17" t="str">
        <f t="shared" si="9"/>
        <v/>
      </c>
      <c r="T209" s="17">
        <f t="shared" si="10"/>
        <v>1539</v>
      </c>
      <c r="U209" s="17" t="str">
        <f t="shared" si="11"/>
        <v/>
      </c>
      <c r="V209" s="7" t="s">
        <v>247</v>
      </c>
      <c r="W209" s="7" t="s">
        <v>84</v>
      </c>
      <c r="X209" s="7" t="s">
        <v>250</v>
      </c>
      <c r="Y209" s="7"/>
      <c r="Z209" s="7"/>
      <c r="AA209" s="7">
        <f>IF(AND(Hypothèses!$B$12=1,Z209="Secondary_Source"),0,1)</f>
        <v>1</v>
      </c>
    </row>
    <row r="210" spans="1:27" x14ac:dyDescent="0.3">
      <c r="A210" s="7" t="s">
        <v>479</v>
      </c>
      <c r="B210" s="7" t="s">
        <v>78</v>
      </c>
      <c r="C210" s="7" t="s">
        <v>94</v>
      </c>
      <c r="D210" s="7" t="s">
        <v>465</v>
      </c>
      <c r="E210" s="7" t="s">
        <v>245</v>
      </c>
      <c r="F210" s="7" t="s">
        <v>258</v>
      </c>
      <c r="G210" s="17"/>
      <c r="H210" s="17">
        <v>1026</v>
      </c>
      <c r="I210" s="17"/>
      <c r="J210" s="7" t="s">
        <v>247</v>
      </c>
      <c r="K210" s="7">
        <v>2030</v>
      </c>
      <c r="L210" s="7" t="str">
        <f>IF(Y210&lt;&gt;"",Y210,IF(AND(K210&gt;=Hypothèses!$B$9,K210&lt;=Hypothèses!$B$10),"actuel",IF(K210=2030,"2030",IF(K210=2050,"2050","autre"))))</f>
        <v>2030</v>
      </c>
      <c r="M210" s="7" t="s">
        <v>263</v>
      </c>
      <c r="N210" s="7" t="s">
        <v>248</v>
      </c>
      <c r="O210" s="7"/>
      <c r="P210" s="7" t="s">
        <v>264</v>
      </c>
      <c r="Q210" s="7" t="s">
        <v>49</v>
      </c>
      <c r="R210" s="14">
        <f>INDEX(Hypothèses!$B$14:$B$22,MATCH(Q210,Hypothèses!$A$14:$A$22,0))</f>
        <v>1</v>
      </c>
      <c r="S210" s="17" t="str">
        <f t="shared" si="9"/>
        <v/>
      </c>
      <c r="T210" s="17">
        <f t="shared" si="10"/>
        <v>1026</v>
      </c>
      <c r="U210" s="17" t="str">
        <f t="shared" si="11"/>
        <v/>
      </c>
      <c r="V210" s="7" t="s">
        <v>247</v>
      </c>
      <c r="W210" s="7" t="s">
        <v>84</v>
      </c>
      <c r="X210" s="7" t="s">
        <v>250</v>
      </c>
      <c r="Y210" s="7"/>
      <c r="Z210" s="7"/>
      <c r="AA210" s="7">
        <f>IF(AND(Hypothèses!$B$12=1,Z210="Secondary_Source"),0,1)</f>
        <v>1</v>
      </c>
    </row>
    <row r="211" spans="1:27" x14ac:dyDescent="0.3">
      <c r="A211" s="7" t="s">
        <v>480</v>
      </c>
      <c r="B211" s="7" t="s">
        <v>78</v>
      </c>
      <c r="C211" s="7" t="s">
        <v>94</v>
      </c>
      <c r="D211" s="7" t="s">
        <v>465</v>
      </c>
      <c r="E211" s="7" t="s">
        <v>245</v>
      </c>
      <c r="F211" s="7" t="s">
        <v>258</v>
      </c>
      <c r="G211" s="17"/>
      <c r="H211" s="17">
        <v>783</v>
      </c>
      <c r="I211" s="17"/>
      <c r="J211" s="7" t="s">
        <v>247</v>
      </c>
      <c r="K211" s="7">
        <v>2040</v>
      </c>
      <c r="L211" s="7" t="str">
        <f>IF(Y211&lt;&gt;"",Y211,IF(AND(K211&gt;=Hypothèses!$B$9,K211&lt;=Hypothèses!$B$10),"actuel",IF(K211=2030,"2030",IF(K211=2050,"2050","autre"))))</f>
        <v>autre</v>
      </c>
      <c r="M211" s="7" t="s">
        <v>263</v>
      </c>
      <c r="N211" s="7" t="s">
        <v>248</v>
      </c>
      <c r="O211" s="7"/>
      <c r="P211" s="7" t="s">
        <v>264</v>
      </c>
      <c r="Q211" s="7" t="s">
        <v>49</v>
      </c>
      <c r="R211" s="14">
        <f>INDEX(Hypothèses!$B$14:$B$22,MATCH(Q211,Hypothèses!$A$14:$A$22,0))</f>
        <v>1</v>
      </c>
      <c r="S211" s="17" t="str">
        <f t="shared" si="9"/>
        <v/>
      </c>
      <c r="T211" s="17">
        <f t="shared" si="10"/>
        <v>783</v>
      </c>
      <c r="U211" s="17" t="str">
        <f t="shared" si="11"/>
        <v/>
      </c>
      <c r="V211" s="7" t="s">
        <v>247</v>
      </c>
      <c r="W211" s="7" t="s">
        <v>84</v>
      </c>
      <c r="X211" s="7" t="s">
        <v>250</v>
      </c>
      <c r="Y211" s="7"/>
      <c r="Z211" s="7"/>
      <c r="AA211" s="7">
        <f>IF(AND(Hypothèses!$B$12=1,Z211="Secondary_Source"),0,1)</f>
        <v>1</v>
      </c>
    </row>
    <row r="212" spans="1:27" x14ac:dyDescent="0.3">
      <c r="A212" s="7" t="s">
        <v>481</v>
      </c>
      <c r="B212" s="7" t="s">
        <v>78</v>
      </c>
      <c r="C212" s="7" t="s">
        <v>94</v>
      </c>
      <c r="D212" s="7" t="s">
        <v>465</v>
      </c>
      <c r="E212" s="7" t="s">
        <v>245</v>
      </c>
      <c r="F212" s="7" t="s">
        <v>258</v>
      </c>
      <c r="G212" s="17">
        <v>432</v>
      </c>
      <c r="H212" s="17">
        <v>540</v>
      </c>
      <c r="I212" s="17">
        <v>648</v>
      </c>
      <c r="J212" s="7" t="s">
        <v>247</v>
      </c>
      <c r="K212" s="7">
        <v>2050</v>
      </c>
      <c r="L212" s="7" t="str">
        <f>IF(Y212&lt;&gt;"",Y212,IF(AND(K212&gt;=Hypothèses!$B$9,K212&lt;=Hypothèses!$B$10),"actuel",IF(K212=2030,"2030",IF(K212=2050,"2050","autre"))))</f>
        <v>2050</v>
      </c>
      <c r="M212" s="7" t="s">
        <v>263</v>
      </c>
      <c r="N212" s="7" t="s">
        <v>248</v>
      </c>
      <c r="O212" s="7"/>
      <c r="P212" s="7" t="s">
        <v>264</v>
      </c>
      <c r="Q212" s="7" t="s">
        <v>49</v>
      </c>
      <c r="R212" s="14">
        <f>INDEX(Hypothèses!$B$14:$B$22,MATCH(Q212,Hypothèses!$A$14:$A$22,0))</f>
        <v>1</v>
      </c>
      <c r="S212" s="17">
        <f t="shared" si="9"/>
        <v>432</v>
      </c>
      <c r="T212" s="17">
        <f t="shared" si="10"/>
        <v>540</v>
      </c>
      <c r="U212" s="17">
        <f t="shared" si="11"/>
        <v>648</v>
      </c>
      <c r="V212" s="7" t="s">
        <v>247</v>
      </c>
      <c r="W212" s="7" t="s">
        <v>84</v>
      </c>
      <c r="X212" s="7" t="s">
        <v>250</v>
      </c>
      <c r="Y212" s="7"/>
      <c r="Z212" s="7"/>
      <c r="AA212" s="7">
        <f>IF(AND(Hypothèses!$B$12=1,Z212="Secondary_Source"),0,1)</f>
        <v>1</v>
      </c>
    </row>
    <row r="213" spans="1:27" x14ac:dyDescent="0.3">
      <c r="A213" s="7" t="s">
        <v>482</v>
      </c>
      <c r="B213" s="7" t="s">
        <v>78</v>
      </c>
      <c r="C213" s="7" t="s">
        <v>96</v>
      </c>
      <c r="D213" s="7" t="s">
        <v>465</v>
      </c>
      <c r="E213" s="7" t="s">
        <v>245</v>
      </c>
      <c r="F213" s="7" t="s">
        <v>258</v>
      </c>
      <c r="G213" s="17">
        <v>1134</v>
      </c>
      <c r="H213" s="17">
        <v>1404</v>
      </c>
      <c r="I213" s="17">
        <v>1674</v>
      </c>
      <c r="J213" s="7" t="s">
        <v>247</v>
      </c>
      <c r="K213" s="7">
        <v>2020</v>
      </c>
      <c r="L213" s="7" t="str">
        <f>IF(Y213&lt;&gt;"",Y213,IF(AND(K213&gt;=Hypothèses!$B$9,K213&lt;=Hypothèses!$B$10),"actuel",IF(K213=2030,"2030",IF(K213=2050,"2050","autre"))))</f>
        <v>actuel</v>
      </c>
      <c r="M213" s="7" t="s">
        <v>270</v>
      </c>
      <c r="N213" s="7" t="s">
        <v>248</v>
      </c>
      <c r="O213" s="7"/>
      <c r="P213" s="7" t="s">
        <v>264</v>
      </c>
      <c r="Q213" s="7" t="s">
        <v>49</v>
      </c>
      <c r="R213" s="14">
        <f>INDEX(Hypothèses!$B$14:$B$22,MATCH(Q213,Hypothèses!$A$14:$A$22,0))</f>
        <v>1</v>
      </c>
      <c r="S213" s="17">
        <f t="shared" si="9"/>
        <v>1134</v>
      </c>
      <c r="T213" s="17">
        <f t="shared" si="10"/>
        <v>1404</v>
      </c>
      <c r="U213" s="17">
        <f t="shared" si="11"/>
        <v>1674</v>
      </c>
      <c r="V213" s="7" t="s">
        <v>247</v>
      </c>
      <c r="W213" s="7" t="s">
        <v>84</v>
      </c>
      <c r="X213" s="7" t="s">
        <v>250</v>
      </c>
      <c r="Y213" s="7"/>
      <c r="Z213" s="7"/>
      <c r="AA213" s="7">
        <f>IF(AND(Hypothèses!$B$12=1,Z213="Secondary_Source"),0,1)</f>
        <v>1</v>
      </c>
    </row>
    <row r="214" spans="1:27" x14ac:dyDescent="0.3">
      <c r="A214" s="7" t="s">
        <v>483</v>
      </c>
      <c r="B214" s="7" t="s">
        <v>78</v>
      </c>
      <c r="C214" s="7" t="s">
        <v>96</v>
      </c>
      <c r="D214" s="7" t="s">
        <v>465</v>
      </c>
      <c r="E214" s="7" t="s">
        <v>245</v>
      </c>
      <c r="F214" s="7" t="s">
        <v>258</v>
      </c>
      <c r="G214" s="17"/>
      <c r="H214" s="17">
        <v>1053</v>
      </c>
      <c r="I214" s="17"/>
      <c r="J214" s="7" t="s">
        <v>247</v>
      </c>
      <c r="K214" s="7">
        <v>2025</v>
      </c>
      <c r="L214" s="7" t="str">
        <f>IF(Y214&lt;&gt;"",Y214,IF(AND(K214&gt;=Hypothèses!$B$9,K214&lt;=Hypothèses!$B$10),"actuel",IF(K214=2030,"2030",IF(K214=2050,"2050","autre"))))</f>
        <v>actuel</v>
      </c>
      <c r="M214" s="7" t="s">
        <v>270</v>
      </c>
      <c r="N214" s="7" t="s">
        <v>248</v>
      </c>
      <c r="O214" s="7"/>
      <c r="P214" s="7" t="s">
        <v>264</v>
      </c>
      <c r="Q214" s="7" t="s">
        <v>49</v>
      </c>
      <c r="R214" s="14">
        <f>INDEX(Hypothèses!$B$14:$B$22,MATCH(Q214,Hypothèses!$A$14:$A$22,0))</f>
        <v>1</v>
      </c>
      <c r="S214" s="17" t="str">
        <f t="shared" si="9"/>
        <v/>
      </c>
      <c r="T214" s="17">
        <f t="shared" si="10"/>
        <v>1053</v>
      </c>
      <c r="U214" s="17" t="str">
        <f t="shared" si="11"/>
        <v/>
      </c>
      <c r="V214" s="7" t="s">
        <v>247</v>
      </c>
      <c r="W214" s="7" t="s">
        <v>84</v>
      </c>
      <c r="X214" s="7" t="s">
        <v>250</v>
      </c>
      <c r="Y214" s="7"/>
      <c r="Z214" s="7"/>
      <c r="AA214" s="7">
        <f>IF(AND(Hypothèses!$B$12=1,Z214="Secondary_Source"),0,1)</f>
        <v>1</v>
      </c>
    </row>
    <row r="215" spans="1:27" x14ac:dyDescent="0.3">
      <c r="A215" s="7" t="s">
        <v>484</v>
      </c>
      <c r="B215" s="7" t="s">
        <v>78</v>
      </c>
      <c r="C215" s="7" t="s">
        <v>96</v>
      </c>
      <c r="D215" s="7" t="s">
        <v>465</v>
      </c>
      <c r="E215" s="7" t="s">
        <v>245</v>
      </c>
      <c r="F215" s="7" t="s">
        <v>258</v>
      </c>
      <c r="G215" s="17"/>
      <c r="H215" s="17">
        <v>702</v>
      </c>
      <c r="I215" s="17"/>
      <c r="J215" s="7" t="s">
        <v>247</v>
      </c>
      <c r="K215" s="7">
        <v>2030</v>
      </c>
      <c r="L215" s="7" t="str">
        <f>IF(Y215&lt;&gt;"",Y215,IF(AND(K215&gt;=Hypothèses!$B$9,K215&lt;=Hypothèses!$B$10),"actuel",IF(K215=2030,"2030",IF(K215=2050,"2050","autre"))))</f>
        <v>2030</v>
      </c>
      <c r="M215" s="7" t="s">
        <v>270</v>
      </c>
      <c r="N215" s="7" t="s">
        <v>248</v>
      </c>
      <c r="O215" s="7"/>
      <c r="P215" s="7" t="s">
        <v>264</v>
      </c>
      <c r="Q215" s="7" t="s">
        <v>49</v>
      </c>
      <c r="R215" s="14">
        <f>INDEX(Hypothèses!$B$14:$B$22,MATCH(Q215,Hypothèses!$A$14:$A$22,0))</f>
        <v>1</v>
      </c>
      <c r="S215" s="17" t="str">
        <f t="shared" si="9"/>
        <v/>
      </c>
      <c r="T215" s="17">
        <f t="shared" si="10"/>
        <v>702</v>
      </c>
      <c r="U215" s="17" t="str">
        <f t="shared" si="11"/>
        <v/>
      </c>
      <c r="V215" s="7" t="s">
        <v>247</v>
      </c>
      <c r="W215" s="7" t="s">
        <v>84</v>
      </c>
      <c r="X215" s="7" t="s">
        <v>250</v>
      </c>
      <c r="Y215" s="7"/>
      <c r="Z215" s="7"/>
      <c r="AA215" s="7">
        <f>IF(AND(Hypothèses!$B$12=1,Z215="Secondary_Source"),0,1)</f>
        <v>1</v>
      </c>
    </row>
    <row r="216" spans="1:27" x14ac:dyDescent="0.3">
      <c r="A216" s="7" t="s">
        <v>485</v>
      </c>
      <c r="B216" s="7" t="s">
        <v>78</v>
      </c>
      <c r="C216" s="7" t="s">
        <v>96</v>
      </c>
      <c r="D216" s="7" t="s">
        <v>465</v>
      </c>
      <c r="E216" s="7" t="s">
        <v>245</v>
      </c>
      <c r="F216" s="7" t="s">
        <v>258</v>
      </c>
      <c r="G216" s="17"/>
      <c r="H216" s="17">
        <v>540</v>
      </c>
      <c r="I216" s="17"/>
      <c r="J216" s="7" t="s">
        <v>247</v>
      </c>
      <c r="K216" s="7">
        <v>2040</v>
      </c>
      <c r="L216" s="7" t="str">
        <f>IF(Y216&lt;&gt;"",Y216,IF(AND(K216&gt;=Hypothèses!$B$9,K216&lt;=Hypothèses!$B$10),"actuel",IF(K216=2030,"2030",IF(K216=2050,"2050","autre"))))</f>
        <v>autre</v>
      </c>
      <c r="M216" s="7" t="s">
        <v>270</v>
      </c>
      <c r="N216" s="7" t="s">
        <v>248</v>
      </c>
      <c r="O216" s="7"/>
      <c r="P216" s="7" t="s">
        <v>264</v>
      </c>
      <c r="Q216" s="7" t="s">
        <v>49</v>
      </c>
      <c r="R216" s="14">
        <f>INDEX(Hypothèses!$B$14:$B$22,MATCH(Q216,Hypothèses!$A$14:$A$22,0))</f>
        <v>1</v>
      </c>
      <c r="S216" s="17" t="str">
        <f t="shared" si="9"/>
        <v/>
      </c>
      <c r="T216" s="17">
        <f t="shared" si="10"/>
        <v>540</v>
      </c>
      <c r="U216" s="17" t="str">
        <f t="shared" si="11"/>
        <v/>
      </c>
      <c r="V216" s="7" t="s">
        <v>247</v>
      </c>
      <c r="W216" s="7" t="s">
        <v>84</v>
      </c>
      <c r="X216" s="7" t="s">
        <v>250</v>
      </c>
      <c r="Y216" s="7"/>
      <c r="Z216" s="7"/>
      <c r="AA216" s="7">
        <f>IF(AND(Hypothèses!$B$12=1,Z216="Secondary_Source"),0,1)</f>
        <v>1</v>
      </c>
    </row>
    <row r="217" spans="1:27" x14ac:dyDescent="0.3">
      <c r="A217" s="7" t="s">
        <v>486</v>
      </c>
      <c r="B217" s="7" t="s">
        <v>78</v>
      </c>
      <c r="C217" s="7" t="s">
        <v>96</v>
      </c>
      <c r="D217" s="7" t="s">
        <v>465</v>
      </c>
      <c r="E217" s="7" t="s">
        <v>245</v>
      </c>
      <c r="F217" s="7" t="s">
        <v>258</v>
      </c>
      <c r="G217" s="17">
        <v>297</v>
      </c>
      <c r="H217" s="17">
        <v>378</v>
      </c>
      <c r="I217" s="17">
        <v>459</v>
      </c>
      <c r="J217" s="7" t="s">
        <v>247</v>
      </c>
      <c r="K217" s="7">
        <v>2050</v>
      </c>
      <c r="L217" s="7" t="str">
        <f>IF(Y217&lt;&gt;"",Y217,IF(AND(K217&gt;=Hypothèses!$B$9,K217&lt;=Hypothèses!$B$10),"actuel",IF(K217=2030,"2030",IF(K217=2050,"2050","autre"))))</f>
        <v>2050</v>
      </c>
      <c r="M217" s="7" t="s">
        <v>270</v>
      </c>
      <c r="N217" s="7" t="s">
        <v>248</v>
      </c>
      <c r="O217" s="7"/>
      <c r="P217" s="7" t="s">
        <v>264</v>
      </c>
      <c r="Q217" s="7" t="s">
        <v>49</v>
      </c>
      <c r="R217" s="14">
        <f>INDEX(Hypothèses!$B$14:$B$22,MATCH(Q217,Hypothèses!$A$14:$A$22,0))</f>
        <v>1</v>
      </c>
      <c r="S217" s="17">
        <f t="shared" si="9"/>
        <v>297</v>
      </c>
      <c r="T217" s="17">
        <f t="shared" si="10"/>
        <v>378</v>
      </c>
      <c r="U217" s="17">
        <f t="shared" si="11"/>
        <v>459</v>
      </c>
      <c r="V217" s="7" t="s">
        <v>247</v>
      </c>
      <c r="W217" s="7" t="s">
        <v>84</v>
      </c>
      <c r="X217" s="7" t="s">
        <v>250</v>
      </c>
      <c r="Y217" s="7"/>
      <c r="Z217" s="7"/>
      <c r="AA217" s="7">
        <f>IF(AND(Hypothèses!$B$12=1,Z217="Secondary_Source"),0,1)</f>
        <v>1</v>
      </c>
    </row>
    <row r="218" spans="1:27" x14ac:dyDescent="0.3">
      <c r="A218" s="7" t="s">
        <v>487</v>
      </c>
      <c r="B218" s="7" t="s">
        <v>78</v>
      </c>
      <c r="C218" s="7" t="s">
        <v>98</v>
      </c>
      <c r="D218" s="7" t="s">
        <v>465</v>
      </c>
      <c r="E218" s="7" t="s">
        <v>245</v>
      </c>
      <c r="F218" s="7" t="s">
        <v>258</v>
      </c>
      <c r="G218" s="17">
        <v>1026</v>
      </c>
      <c r="H218" s="17">
        <v>1296</v>
      </c>
      <c r="I218" s="17">
        <v>1566</v>
      </c>
      <c r="J218" s="7" t="s">
        <v>247</v>
      </c>
      <c r="K218" s="7">
        <v>2020</v>
      </c>
      <c r="L218" s="7" t="str">
        <f>IF(Y218&lt;&gt;"",Y218,IF(AND(K218&gt;=Hypothèses!$B$9,K218&lt;=Hypothèses!$B$10),"actuel",IF(K218=2030,"2030",IF(K218=2050,"2050","autre"))))</f>
        <v>actuel</v>
      </c>
      <c r="M218" s="7" t="s">
        <v>276</v>
      </c>
      <c r="N218" s="7" t="s">
        <v>248</v>
      </c>
      <c r="O218" s="7"/>
      <c r="P218" s="7" t="s">
        <v>264</v>
      </c>
      <c r="Q218" s="7" t="s">
        <v>49</v>
      </c>
      <c r="R218" s="14">
        <f>INDEX(Hypothèses!$B$14:$B$22,MATCH(Q218,Hypothèses!$A$14:$A$22,0))</f>
        <v>1</v>
      </c>
      <c r="S218" s="17">
        <f t="shared" si="9"/>
        <v>1026</v>
      </c>
      <c r="T218" s="17">
        <f t="shared" si="10"/>
        <v>1296</v>
      </c>
      <c r="U218" s="17">
        <f t="shared" si="11"/>
        <v>1566</v>
      </c>
      <c r="V218" s="7" t="s">
        <v>247</v>
      </c>
      <c r="W218" s="7" t="s">
        <v>84</v>
      </c>
      <c r="X218" s="7" t="s">
        <v>250</v>
      </c>
      <c r="Y218" s="7"/>
      <c r="Z218" s="7"/>
      <c r="AA218" s="7">
        <f>IF(AND(Hypothèses!$B$12=1,Z218="Secondary_Source"),0,1)</f>
        <v>1</v>
      </c>
    </row>
    <row r="219" spans="1:27" x14ac:dyDescent="0.3">
      <c r="A219" s="7" t="s">
        <v>488</v>
      </c>
      <c r="B219" s="7" t="s">
        <v>78</v>
      </c>
      <c r="C219" s="7" t="s">
        <v>98</v>
      </c>
      <c r="D219" s="7" t="s">
        <v>465</v>
      </c>
      <c r="E219" s="7" t="s">
        <v>245</v>
      </c>
      <c r="F219" s="7" t="s">
        <v>258</v>
      </c>
      <c r="G219" s="17"/>
      <c r="H219" s="17">
        <v>972</v>
      </c>
      <c r="I219" s="17"/>
      <c r="J219" s="7" t="s">
        <v>247</v>
      </c>
      <c r="K219" s="7">
        <v>2025</v>
      </c>
      <c r="L219" s="7" t="str">
        <f>IF(Y219&lt;&gt;"",Y219,IF(AND(K219&gt;=Hypothèses!$B$9,K219&lt;=Hypothèses!$B$10),"actuel",IF(K219=2030,"2030",IF(K219=2050,"2050","autre"))))</f>
        <v>actuel</v>
      </c>
      <c r="M219" s="7" t="s">
        <v>276</v>
      </c>
      <c r="N219" s="7" t="s">
        <v>248</v>
      </c>
      <c r="O219" s="7"/>
      <c r="P219" s="7" t="s">
        <v>264</v>
      </c>
      <c r="Q219" s="7" t="s">
        <v>49</v>
      </c>
      <c r="R219" s="14">
        <f>INDEX(Hypothèses!$B$14:$B$22,MATCH(Q219,Hypothèses!$A$14:$A$22,0))</f>
        <v>1</v>
      </c>
      <c r="S219" s="17" t="str">
        <f t="shared" si="9"/>
        <v/>
      </c>
      <c r="T219" s="17">
        <f t="shared" si="10"/>
        <v>972</v>
      </c>
      <c r="U219" s="17" t="str">
        <f t="shared" si="11"/>
        <v/>
      </c>
      <c r="V219" s="7" t="s">
        <v>247</v>
      </c>
      <c r="W219" s="7" t="s">
        <v>84</v>
      </c>
      <c r="X219" s="7" t="s">
        <v>250</v>
      </c>
      <c r="Y219" s="7"/>
      <c r="Z219" s="7"/>
      <c r="AA219" s="7">
        <f>IF(AND(Hypothèses!$B$12=1,Z219="Secondary_Source"),0,1)</f>
        <v>1</v>
      </c>
    </row>
    <row r="220" spans="1:27" x14ac:dyDescent="0.3">
      <c r="A220" s="7" t="s">
        <v>489</v>
      </c>
      <c r="B220" s="7" t="s">
        <v>78</v>
      </c>
      <c r="C220" s="7" t="s">
        <v>98</v>
      </c>
      <c r="D220" s="7" t="s">
        <v>465</v>
      </c>
      <c r="E220" s="7" t="s">
        <v>245</v>
      </c>
      <c r="F220" s="7" t="s">
        <v>258</v>
      </c>
      <c r="G220" s="17"/>
      <c r="H220" s="17">
        <v>648</v>
      </c>
      <c r="I220" s="17"/>
      <c r="J220" s="7" t="s">
        <v>247</v>
      </c>
      <c r="K220" s="7">
        <v>2030</v>
      </c>
      <c r="L220" s="7" t="str">
        <f>IF(Y220&lt;&gt;"",Y220,IF(AND(K220&gt;=Hypothèses!$B$9,K220&lt;=Hypothèses!$B$10),"actuel",IF(K220=2030,"2030",IF(K220=2050,"2050","autre"))))</f>
        <v>2030</v>
      </c>
      <c r="M220" s="7" t="s">
        <v>276</v>
      </c>
      <c r="N220" s="7" t="s">
        <v>248</v>
      </c>
      <c r="O220" s="7"/>
      <c r="P220" s="7" t="s">
        <v>264</v>
      </c>
      <c r="Q220" s="7" t="s">
        <v>49</v>
      </c>
      <c r="R220" s="14">
        <f>INDEX(Hypothèses!$B$14:$B$22,MATCH(Q220,Hypothèses!$A$14:$A$22,0))</f>
        <v>1</v>
      </c>
      <c r="S220" s="17" t="str">
        <f t="shared" si="9"/>
        <v/>
      </c>
      <c r="T220" s="17">
        <f t="shared" si="10"/>
        <v>648</v>
      </c>
      <c r="U220" s="17" t="str">
        <f t="shared" si="11"/>
        <v/>
      </c>
      <c r="V220" s="7" t="s">
        <v>247</v>
      </c>
      <c r="W220" s="7" t="s">
        <v>84</v>
      </c>
      <c r="X220" s="7" t="s">
        <v>250</v>
      </c>
      <c r="Y220" s="7"/>
      <c r="Z220" s="7"/>
      <c r="AA220" s="7">
        <f>IF(AND(Hypothèses!$B$12=1,Z220="Secondary_Source"),0,1)</f>
        <v>1</v>
      </c>
    </row>
    <row r="221" spans="1:27" x14ac:dyDescent="0.3">
      <c r="A221" s="7" t="s">
        <v>490</v>
      </c>
      <c r="B221" s="7" t="s">
        <v>78</v>
      </c>
      <c r="C221" s="7" t="s">
        <v>98</v>
      </c>
      <c r="D221" s="7" t="s">
        <v>465</v>
      </c>
      <c r="E221" s="7" t="s">
        <v>245</v>
      </c>
      <c r="F221" s="7" t="s">
        <v>258</v>
      </c>
      <c r="G221" s="17"/>
      <c r="H221" s="17">
        <v>486</v>
      </c>
      <c r="I221" s="17"/>
      <c r="J221" s="7" t="s">
        <v>247</v>
      </c>
      <c r="K221" s="7">
        <v>2040</v>
      </c>
      <c r="L221" s="7" t="str">
        <f>IF(Y221&lt;&gt;"",Y221,IF(AND(K221&gt;=Hypothèses!$B$9,K221&lt;=Hypothèses!$B$10),"actuel",IF(K221=2030,"2030",IF(K221=2050,"2050","autre"))))</f>
        <v>autre</v>
      </c>
      <c r="M221" s="7" t="s">
        <v>276</v>
      </c>
      <c r="N221" s="7" t="s">
        <v>248</v>
      </c>
      <c r="O221" s="7"/>
      <c r="P221" s="7" t="s">
        <v>264</v>
      </c>
      <c r="Q221" s="7" t="s">
        <v>49</v>
      </c>
      <c r="R221" s="14">
        <f>INDEX(Hypothèses!$B$14:$B$22,MATCH(Q221,Hypothèses!$A$14:$A$22,0))</f>
        <v>1</v>
      </c>
      <c r="S221" s="17" t="str">
        <f t="shared" si="9"/>
        <v/>
      </c>
      <c r="T221" s="17">
        <f t="shared" si="10"/>
        <v>486</v>
      </c>
      <c r="U221" s="17" t="str">
        <f t="shared" si="11"/>
        <v/>
      </c>
      <c r="V221" s="7" t="s">
        <v>247</v>
      </c>
      <c r="W221" s="7" t="s">
        <v>84</v>
      </c>
      <c r="X221" s="7" t="s">
        <v>250</v>
      </c>
      <c r="Y221" s="7"/>
      <c r="Z221" s="7"/>
      <c r="AA221" s="7">
        <f>IF(AND(Hypothèses!$B$12=1,Z221="Secondary_Source"),0,1)</f>
        <v>1</v>
      </c>
    </row>
    <row r="222" spans="1:27" x14ac:dyDescent="0.3">
      <c r="A222" s="7" t="s">
        <v>491</v>
      </c>
      <c r="B222" s="7" t="s">
        <v>78</v>
      </c>
      <c r="C222" s="7" t="s">
        <v>98</v>
      </c>
      <c r="D222" s="7" t="s">
        <v>465</v>
      </c>
      <c r="E222" s="7" t="s">
        <v>245</v>
      </c>
      <c r="F222" s="7" t="s">
        <v>258</v>
      </c>
      <c r="G222" s="17">
        <v>270</v>
      </c>
      <c r="H222" s="17">
        <v>351</v>
      </c>
      <c r="I222" s="17">
        <v>432</v>
      </c>
      <c r="J222" s="7" t="s">
        <v>247</v>
      </c>
      <c r="K222" s="7">
        <v>2050</v>
      </c>
      <c r="L222" s="7" t="str">
        <f>IF(Y222&lt;&gt;"",Y222,IF(AND(K222&gt;=Hypothèses!$B$9,K222&lt;=Hypothèses!$B$10),"actuel",IF(K222=2030,"2030",IF(K222=2050,"2050","autre"))))</f>
        <v>2050</v>
      </c>
      <c r="M222" s="7" t="s">
        <v>276</v>
      </c>
      <c r="N222" s="7" t="s">
        <v>248</v>
      </c>
      <c r="O222" s="7"/>
      <c r="P222" s="7" t="s">
        <v>264</v>
      </c>
      <c r="Q222" s="7" t="s">
        <v>49</v>
      </c>
      <c r="R222" s="14">
        <f>INDEX(Hypothèses!$B$14:$B$22,MATCH(Q222,Hypothèses!$A$14:$A$22,0))</f>
        <v>1</v>
      </c>
      <c r="S222" s="17">
        <f t="shared" si="9"/>
        <v>270</v>
      </c>
      <c r="T222" s="17">
        <f t="shared" si="10"/>
        <v>351</v>
      </c>
      <c r="U222" s="17">
        <f t="shared" si="11"/>
        <v>432</v>
      </c>
      <c r="V222" s="7" t="s">
        <v>247</v>
      </c>
      <c r="W222" s="7" t="s">
        <v>84</v>
      </c>
      <c r="X222" s="7" t="s">
        <v>250</v>
      </c>
      <c r="Y222" s="7"/>
      <c r="Z222" s="7"/>
      <c r="AA222" s="7">
        <f>IF(AND(Hypothèses!$B$12=1,Z222="Secondary_Source"),0,1)</f>
        <v>1</v>
      </c>
    </row>
    <row r="223" spans="1:27" x14ac:dyDescent="0.3">
      <c r="A223" s="7" t="s">
        <v>492</v>
      </c>
      <c r="B223" s="7" t="s">
        <v>78</v>
      </c>
      <c r="C223" s="7" t="s">
        <v>100</v>
      </c>
      <c r="D223" s="7" t="s">
        <v>465</v>
      </c>
      <c r="E223" s="7" t="s">
        <v>245</v>
      </c>
      <c r="F223" s="7" t="s">
        <v>258</v>
      </c>
      <c r="G223" s="17">
        <v>1326.8357000000001</v>
      </c>
      <c r="H223" s="17">
        <v>1492.0682999999999</v>
      </c>
      <c r="I223" s="17">
        <v>1657.3009</v>
      </c>
      <c r="J223" s="7" t="s">
        <v>247</v>
      </c>
      <c r="K223" s="7">
        <v>2020</v>
      </c>
      <c r="L223" s="7" t="str">
        <f>IF(Y223&lt;&gt;"",Y223,IF(AND(K223&gt;=Hypothèses!$B$9,K223&lt;=Hypothèses!$B$10),"actuel",IF(K223=2030,"2030",IF(K223=2050,"2050","autre"))))</f>
        <v>actuel</v>
      </c>
      <c r="M223" s="7"/>
      <c r="N223" s="7" t="s">
        <v>248</v>
      </c>
      <c r="O223" s="7"/>
      <c r="P223" s="7" t="s">
        <v>282</v>
      </c>
      <c r="Q223" s="7" t="s">
        <v>49</v>
      </c>
      <c r="R223" s="14">
        <f>INDEX(Hypothèses!$B$14:$B$22,MATCH(Q223,Hypothèses!$A$14:$A$22,0))</f>
        <v>1</v>
      </c>
      <c r="S223" s="17">
        <f t="shared" si="9"/>
        <v>1326.8357000000001</v>
      </c>
      <c r="T223" s="17">
        <f t="shared" si="10"/>
        <v>1492.0682999999999</v>
      </c>
      <c r="U223" s="17">
        <f t="shared" si="11"/>
        <v>1657.3009</v>
      </c>
      <c r="V223" s="7" t="s">
        <v>247</v>
      </c>
      <c r="W223" s="7" t="s">
        <v>84</v>
      </c>
      <c r="X223" s="7" t="s">
        <v>250</v>
      </c>
      <c r="Y223" s="7"/>
      <c r="Z223" s="7"/>
      <c r="AA223" s="7">
        <f>IF(AND(Hypothèses!$B$12=1,Z223="Secondary_Source"),0,1)</f>
        <v>1</v>
      </c>
    </row>
    <row r="224" spans="1:27" x14ac:dyDescent="0.3">
      <c r="A224" s="7" t="s">
        <v>493</v>
      </c>
      <c r="B224" s="7" t="s">
        <v>78</v>
      </c>
      <c r="C224" s="7" t="s">
        <v>100</v>
      </c>
      <c r="D224" s="7" t="s">
        <v>465</v>
      </c>
      <c r="E224" s="7" t="s">
        <v>245</v>
      </c>
      <c r="F224" s="7" t="s">
        <v>258</v>
      </c>
      <c r="G224" s="17"/>
      <c r="H224" s="17">
        <v>1458.02062</v>
      </c>
      <c r="I224" s="17"/>
      <c r="J224" s="7" t="s">
        <v>247</v>
      </c>
      <c r="K224" s="7">
        <v>2021</v>
      </c>
      <c r="L224" s="7" t="str">
        <f>IF(Y224&lt;&gt;"",Y224,IF(AND(K224&gt;=Hypothèses!$B$9,K224&lt;=Hypothèses!$B$10),"actuel",IF(K224=2030,"2030",IF(K224=2050,"2050","autre"))))</f>
        <v>actuel</v>
      </c>
      <c r="M224" s="7"/>
      <c r="N224" s="7" t="s">
        <v>248</v>
      </c>
      <c r="O224" s="7"/>
      <c r="P224" s="7" t="s">
        <v>282</v>
      </c>
      <c r="Q224" s="7" t="s">
        <v>49</v>
      </c>
      <c r="R224" s="14">
        <f>INDEX(Hypothèses!$B$14:$B$22,MATCH(Q224,Hypothèses!$A$14:$A$22,0))</f>
        <v>1</v>
      </c>
      <c r="S224" s="17" t="str">
        <f t="shared" si="9"/>
        <v/>
      </c>
      <c r="T224" s="17">
        <f t="shared" si="10"/>
        <v>1458.02062</v>
      </c>
      <c r="U224" s="17" t="str">
        <f t="shared" si="11"/>
        <v/>
      </c>
      <c r="V224" s="7" t="s">
        <v>247</v>
      </c>
      <c r="W224" s="7" t="s">
        <v>84</v>
      </c>
      <c r="X224" s="7" t="s">
        <v>250</v>
      </c>
      <c r="Y224" s="7"/>
      <c r="Z224" s="7"/>
      <c r="AA224" s="7">
        <f>IF(AND(Hypothèses!$B$12=1,Z224="Secondary_Source"),0,1)</f>
        <v>1</v>
      </c>
    </row>
    <row r="225" spans="1:27" x14ac:dyDescent="0.3">
      <c r="A225" s="7" t="s">
        <v>494</v>
      </c>
      <c r="B225" s="7" t="s">
        <v>78</v>
      </c>
      <c r="C225" s="7" t="s">
        <v>100</v>
      </c>
      <c r="D225" s="7" t="s">
        <v>465</v>
      </c>
      <c r="E225" s="7" t="s">
        <v>245</v>
      </c>
      <c r="F225" s="7" t="s">
        <v>258</v>
      </c>
      <c r="G225" s="17"/>
      <c r="H225" s="17">
        <v>1423.9729400000001</v>
      </c>
      <c r="I225" s="17"/>
      <c r="J225" s="7" t="s">
        <v>247</v>
      </c>
      <c r="K225" s="7">
        <v>2022</v>
      </c>
      <c r="L225" s="7" t="str">
        <f>IF(Y225&lt;&gt;"",Y225,IF(AND(K225&gt;=Hypothèses!$B$9,K225&lt;=Hypothèses!$B$10),"actuel",IF(K225=2030,"2030",IF(K225=2050,"2050","autre"))))</f>
        <v>actuel</v>
      </c>
      <c r="M225" s="7"/>
      <c r="N225" s="7" t="s">
        <v>248</v>
      </c>
      <c r="O225" s="7"/>
      <c r="P225" s="7" t="s">
        <v>282</v>
      </c>
      <c r="Q225" s="7" t="s">
        <v>49</v>
      </c>
      <c r="R225" s="14">
        <f>INDEX(Hypothèses!$B$14:$B$22,MATCH(Q225,Hypothèses!$A$14:$A$22,0))</f>
        <v>1</v>
      </c>
      <c r="S225" s="17" t="str">
        <f t="shared" si="9"/>
        <v/>
      </c>
      <c r="T225" s="17">
        <f t="shared" si="10"/>
        <v>1423.9729400000001</v>
      </c>
      <c r="U225" s="17" t="str">
        <f t="shared" si="11"/>
        <v/>
      </c>
      <c r="V225" s="7" t="s">
        <v>247</v>
      </c>
      <c r="W225" s="7" t="s">
        <v>84</v>
      </c>
      <c r="X225" s="7" t="s">
        <v>250</v>
      </c>
      <c r="Y225" s="7"/>
      <c r="Z225" s="7"/>
      <c r="AA225" s="7">
        <f>IF(AND(Hypothèses!$B$12=1,Z225="Secondary_Source"),0,1)</f>
        <v>1</v>
      </c>
    </row>
    <row r="226" spans="1:27" x14ac:dyDescent="0.3">
      <c r="A226" s="7" t="s">
        <v>495</v>
      </c>
      <c r="B226" s="7" t="s">
        <v>78</v>
      </c>
      <c r="C226" s="7" t="s">
        <v>100</v>
      </c>
      <c r="D226" s="7" t="s">
        <v>465</v>
      </c>
      <c r="E226" s="7" t="s">
        <v>245</v>
      </c>
      <c r="F226" s="7" t="s">
        <v>258</v>
      </c>
      <c r="G226" s="17"/>
      <c r="H226" s="17">
        <v>1389.92526</v>
      </c>
      <c r="I226" s="17"/>
      <c r="J226" s="7" t="s">
        <v>247</v>
      </c>
      <c r="K226" s="7">
        <v>2023</v>
      </c>
      <c r="L226" s="7" t="str">
        <f>IF(Y226&lt;&gt;"",Y226,IF(AND(K226&gt;=Hypothèses!$B$9,K226&lt;=Hypothèses!$B$10),"actuel",IF(K226=2030,"2030",IF(K226=2050,"2050","autre"))))</f>
        <v>actuel</v>
      </c>
      <c r="M226" s="7"/>
      <c r="N226" s="7" t="s">
        <v>248</v>
      </c>
      <c r="O226" s="7"/>
      <c r="P226" s="7" t="s">
        <v>282</v>
      </c>
      <c r="Q226" s="7" t="s">
        <v>49</v>
      </c>
      <c r="R226" s="14">
        <f>INDEX(Hypothèses!$B$14:$B$22,MATCH(Q226,Hypothèses!$A$14:$A$22,0))</f>
        <v>1</v>
      </c>
      <c r="S226" s="17" t="str">
        <f t="shared" si="9"/>
        <v/>
      </c>
      <c r="T226" s="17">
        <f t="shared" si="10"/>
        <v>1389.92526</v>
      </c>
      <c r="U226" s="17" t="str">
        <f t="shared" si="11"/>
        <v/>
      </c>
      <c r="V226" s="7" t="s">
        <v>247</v>
      </c>
      <c r="W226" s="7" t="s">
        <v>84</v>
      </c>
      <c r="X226" s="7" t="s">
        <v>250</v>
      </c>
      <c r="Y226" s="7"/>
      <c r="Z226" s="7"/>
      <c r="AA226" s="7">
        <f>IF(AND(Hypothèses!$B$12=1,Z226="Secondary_Source"),0,1)</f>
        <v>1</v>
      </c>
    </row>
    <row r="227" spans="1:27" x14ac:dyDescent="0.3">
      <c r="A227" s="7" t="s">
        <v>496</v>
      </c>
      <c r="B227" s="7" t="s">
        <v>78</v>
      </c>
      <c r="C227" s="7" t="s">
        <v>100</v>
      </c>
      <c r="D227" s="7" t="s">
        <v>465</v>
      </c>
      <c r="E227" s="7" t="s">
        <v>245</v>
      </c>
      <c r="F227" s="7" t="s">
        <v>258</v>
      </c>
      <c r="G227" s="17"/>
      <c r="H227" s="17">
        <v>1355.8775800000001</v>
      </c>
      <c r="I227" s="17"/>
      <c r="J227" s="7" t="s">
        <v>247</v>
      </c>
      <c r="K227" s="7">
        <v>2024</v>
      </c>
      <c r="L227" s="7" t="str">
        <f>IF(Y227&lt;&gt;"",Y227,IF(AND(K227&gt;=Hypothèses!$B$9,K227&lt;=Hypothèses!$B$10),"actuel",IF(K227=2030,"2030",IF(K227=2050,"2050","autre"))))</f>
        <v>actuel</v>
      </c>
      <c r="M227" s="7"/>
      <c r="N227" s="7" t="s">
        <v>248</v>
      </c>
      <c r="O227" s="7"/>
      <c r="P227" s="7" t="s">
        <v>282</v>
      </c>
      <c r="Q227" s="7" t="s">
        <v>49</v>
      </c>
      <c r="R227" s="14">
        <f>INDEX(Hypothèses!$B$14:$B$22,MATCH(Q227,Hypothèses!$A$14:$A$22,0))</f>
        <v>1</v>
      </c>
      <c r="S227" s="17" t="str">
        <f t="shared" si="9"/>
        <v/>
      </c>
      <c r="T227" s="17">
        <f t="shared" si="10"/>
        <v>1355.8775800000001</v>
      </c>
      <c r="U227" s="17" t="str">
        <f t="shared" si="11"/>
        <v/>
      </c>
      <c r="V227" s="7" t="s">
        <v>247</v>
      </c>
      <c r="W227" s="7" t="s">
        <v>84</v>
      </c>
      <c r="X227" s="7" t="s">
        <v>250</v>
      </c>
      <c r="Y227" s="7"/>
      <c r="Z227" s="7"/>
      <c r="AA227" s="7">
        <f>IF(AND(Hypothèses!$B$12=1,Z227="Secondary_Source"),0,1)</f>
        <v>1</v>
      </c>
    </row>
    <row r="228" spans="1:27" x14ac:dyDescent="0.3">
      <c r="A228" s="7" t="s">
        <v>497</v>
      </c>
      <c r="B228" s="7" t="s">
        <v>78</v>
      </c>
      <c r="C228" s="7" t="s">
        <v>100</v>
      </c>
      <c r="D228" s="7" t="s">
        <v>465</v>
      </c>
      <c r="E228" s="7" t="s">
        <v>245</v>
      </c>
      <c r="F228" s="7" t="s">
        <v>258</v>
      </c>
      <c r="G228" s="17">
        <v>1186.6424</v>
      </c>
      <c r="H228" s="17">
        <v>1321.8299</v>
      </c>
      <c r="I228" s="17">
        <v>1457.0174</v>
      </c>
      <c r="J228" s="7" t="s">
        <v>247</v>
      </c>
      <c r="K228" s="7">
        <v>2025</v>
      </c>
      <c r="L228" s="7" t="str">
        <f>IF(Y228&lt;&gt;"",Y228,IF(AND(K228&gt;=Hypothèses!$B$9,K228&lt;=Hypothèses!$B$10),"actuel",IF(K228=2030,"2030",IF(K228=2050,"2050","autre"))))</f>
        <v>actuel</v>
      </c>
      <c r="M228" s="7"/>
      <c r="N228" s="7" t="s">
        <v>248</v>
      </c>
      <c r="O228" s="7"/>
      <c r="P228" s="7" t="s">
        <v>282</v>
      </c>
      <c r="Q228" s="7" t="s">
        <v>49</v>
      </c>
      <c r="R228" s="14">
        <f>INDEX(Hypothèses!$B$14:$B$22,MATCH(Q228,Hypothèses!$A$14:$A$22,0))</f>
        <v>1</v>
      </c>
      <c r="S228" s="17">
        <f t="shared" si="9"/>
        <v>1186.6424</v>
      </c>
      <c r="T228" s="17">
        <f t="shared" si="10"/>
        <v>1321.8299</v>
      </c>
      <c r="U228" s="17">
        <f t="shared" si="11"/>
        <v>1457.0174</v>
      </c>
      <c r="V228" s="7" t="s">
        <v>247</v>
      </c>
      <c r="W228" s="7" t="s">
        <v>84</v>
      </c>
      <c r="X228" s="7" t="s">
        <v>250</v>
      </c>
      <c r="Y228" s="7"/>
      <c r="Z228" s="7"/>
      <c r="AA228" s="7">
        <f>IF(AND(Hypothèses!$B$12=1,Z228="Secondary_Source"),0,1)</f>
        <v>1</v>
      </c>
    </row>
    <row r="229" spans="1:27" x14ac:dyDescent="0.3">
      <c r="A229" s="7" t="s">
        <v>498</v>
      </c>
      <c r="B229" s="7" t="s">
        <v>78</v>
      </c>
      <c r="C229" s="7" t="s">
        <v>100</v>
      </c>
      <c r="D229" s="7" t="s">
        <v>465</v>
      </c>
      <c r="E229" s="7" t="s">
        <v>245</v>
      </c>
      <c r="F229" s="7" t="s">
        <v>258</v>
      </c>
      <c r="G229" s="17">
        <v>1016.41018</v>
      </c>
      <c r="H229" s="17">
        <v>1181.6366</v>
      </c>
      <c r="I229" s="17">
        <v>1346.8692000000001</v>
      </c>
      <c r="J229" s="7" t="s">
        <v>247</v>
      </c>
      <c r="K229" s="7">
        <v>2030</v>
      </c>
      <c r="L229" s="7" t="str">
        <f>IF(Y229&lt;&gt;"",Y229,IF(AND(K229&gt;=Hypothèses!$B$9,K229&lt;=Hypothèses!$B$10),"actuel",IF(K229=2030,"2030",IF(K229=2050,"2050","autre"))))</f>
        <v>2030</v>
      </c>
      <c r="M229" s="7"/>
      <c r="N229" s="7" t="s">
        <v>248</v>
      </c>
      <c r="O229" s="7"/>
      <c r="P229" s="7" t="s">
        <v>282</v>
      </c>
      <c r="Q229" s="7" t="s">
        <v>49</v>
      </c>
      <c r="R229" s="14">
        <f>INDEX(Hypothèses!$B$14:$B$22,MATCH(Q229,Hypothèses!$A$14:$A$22,0))</f>
        <v>1</v>
      </c>
      <c r="S229" s="17">
        <f t="shared" si="9"/>
        <v>1016.41018</v>
      </c>
      <c r="T229" s="17">
        <f t="shared" si="10"/>
        <v>1181.6366</v>
      </c>
      <c r="U229" s="17">
        <f t="shared" si="11"/>
        <v>1346.8692000000001</v>
      </c>
      <c r="V229" s="7" t="s">
        <v>247</v>
      </c>
      <c r="W229" s="7" t="s">
        <v>84</v>
      </c>
      <c r="X229" s="7" t="s">
        <v>250</v>
      </c>
      <c r="Y229" s="7"/>
      <c r="Z229" s="7"/>
      <c r="AA229" s="7">
        <f>IF(AND(Hypothèses!$B$12=1,Z229="Secondary_Source"),0,1)</f>
        <v>1</v>
      </c>
    </row>
    <row r="230" spans="1:27" x14ac:dyDescent="0.3">
      <c r="A230" s="7" t="s">
        <v>499</v>
      </c>
      <c r="B230" s="7" t="s">
        <v>78</v>
      </c>
      <c r="C230" s="7" t="s">
        <v>100</v>
      </c>
      <c r="D230" s="7" t="s">
        <v>465</v>
      </c>
      <c r="E230" s="7" t="s">
        <v>245</v>
      </c>
      <c r="F230" s="7" t="s">
        <v>258</v>
      </c>
      <c r="G230" s="17">
        <v>836.16017999999997</v>
      </c>
      <c r="H230" s="17">
        <v>1041.4432999999999</v>
      </c>
      <c r="I230" s="17">
        <v>1256.7442000000001</v>
      </c>
      <c r="J230" s="7" t="s">
        <v>247</v>
      </c>
      <c r="K230" s="7">
        <v>2035</v>
      </c>
      <c r="L230" s="7" t="str">
        <f>IF(Y230&lt;&gt;"",Y230,IF(AND(K230&gt;=Hypothèses!$B$9,K230&lt;=Hypothèses!$B$10),"actuel",IF(K230=2030,"2030",IF(K230=2050,"2050","autre"))))</f>
        <v>autre</v>
      </c>
      <c r="M230" s="7"/>
      <c r="N230" s="7" t="s">
        <v>248</v>
      </c>
      <c r="O230" s="7"/>
      <c r="P230" s="7" t="s">
        <v>282</v>
      </c>
      <c r="Q230" s="7" t="s">
        <v>49</v>
      </c>
      <c r="R230" s="14">
        <f>INDEX(Hypothèses!$B$14:$B$22,MATCH(Q230,Hypothèses!$A$14:$A$22,0))</f>
        <v>1</v>
      </c>
      <c r="S230" s="17">
        <f t="shared" si="9"/>
        <v>836.16017999999997</v>
      </c>
      <c r="T230" s="17">
        <f t="shared" si="10"/>
        <v>1041.4432999999999</v>
      </c>
      <c r="U230" s="17">
        <f t="shared" si="11"/>
        <v>1256.7442000000001</v>
      </c>
      <c r="V230" s="7" t="s">
        <v>247</v>
      </c>
      <c r="W230" s="7" t="s">
        <v>84</v>
      </c>
      <c r="X230" s="7" t="s">
        <v>250</v>
      </c>
      <c r="Y230" s="7"/>
      <c r="Z230" s="7"/>
      <c r="AA230" s="7">
        <f>IF(AND(Hypothèses!$B$12=1,Z230="Secondary_Source"),0,1)</f>
        <v>1</v>
      </c>
    </row>
    <row r="231" spans="1:27" x14ac:dyDescent="0.3">
      <c r="A231" s="7" t="s">
        <v>500</v>
      </c>
      <c r="B231" s="7" t="s">
        <v>78</v>
      </c>
      <c r="C231" s="7" t="s">
        <v>100</v>
      </c>
      <c r="D231" s="7" t="s">
        <v>465</v>
      </c>
      <c r="E231" s="7" t="s">
        <v>245</v>
      </c>
      <c r="F231" s="7" t="s">
        <v>258</v>
      </c>
      <c r="G231" s="17">
        <v>680.94433000000004</v>
      </c>
      <c r="H231" s="17">
        <v>931.29201</v>
      </c>
      <c r="I231" s="17">
        <v>1171.625</v>
      </c>
      <c r="J231" s="7" t="s">
        <v>247</v>
      </c>
      <c r="K231" s="7">
        <v>2040</v>
      </c>
      <c r="L231" s="7" t="str">
        <f>IF(Y231&lt;&gt;"",Y231,IF(AND(K231&gt;=Hypothèses!$B$9,K231&lt;=Hypothèses!$B$10),"actuel",IF(K231=2030,"2030",IF(K231=2050,"2050","autre"))))</f>
        <v>autre</v>
      </c>
      <c r="M231" s="7"/>
      <c r="N231" s="7" t="s">
        <v>248</v>
      </c>
      <c r="O231" s="7"/>
      <c r="P231" s="7" t="s">
        <v>282</v>
      </c>
      <c r="Q231" s="7" t="s">
        <v>49</v>
      </c>
      <c r="R231" s="14">
        <f>INDEX(Hypothèses!$B$14:$B$22,MATCH(Q231,Hypothèses!$A$14:$A$22,0))</f>
        <v>1</v>
      </c>
      <c r="S231" s="17">
        <f t="shared" si="9"/>
        <v>680.94433000000004</v>
      </c>
      <c r="T231" s="17">
        <f t="shared" si="10"/>
        <v>931.29201</v>
      </c>
      <c r="U231" s="17">
        <f t="shared" si="11"/>
        <v>1171.625</v>
      </c>
      <c r="V231" s="7" t="s">
        <v>247</v>
      </c>
      <c r="W231" s="7" t="s">
        <v>84</v>
      </c>
      <c r="X231" s="7" t="s">
        <v>250</v>
      </c>
      <c r="Y231" s="7"/>
      <c r="Z231" s="7"/>
      <c r="AA231" s="7">
        <f>IF(AND(Hypothèses!$B$12=1,Z231="Secondary_Source"),0,1)</f>
        <v>1</v>
      </c>
    </row>
    <row r="232" spans="1:27" x14ac:dyDescent="0.3">
      <c r="A232" s="7" t="s">
        <v>501</v>
      </c>
      <c r="B232" s="7" t="s">
        <v>78</v>
      </c>
      <c r="C232" s="7" t="s">
        <v>100</v>
      </c>
      <c r="D232" s="7" t="s">
        <v>465</v>
      </c>
      <c r="E232" s="7" t="s">
        <v>245</v>
      </c>
      <c r="F232" s="7" t="s">
        <v>258</v>
      </c>
      <c r="G232" s="17">
        <v>540.75</v>
      </c>
      <c r="H232" s="17">
        <v>826.14549</v>
      </c>
      <c r="I232" s="17">
        <v>1096.5174</v>
      </c>
      <c r="J232" s="7" t="s">
        <v>247</v>
      </c>
      <c r="K232" s="7">
        <v>2045</v>
      </c>
      <c r="L232" s="7" t="str">
        <f>IF(Y232&lt;&gt;"",Y232,IF(AND(K232&gt;=Hypothèses!$B$9,K232&lt;=Hypothèses!$B$10),"actuel",IF(K232=2030,"2030",IF(K232=2050,"2050","autre"))))</f>
        <v>autre</v>
      </c>
      <c r="M232" s="7"/>
      <c r="N232" s="7" t="s">
        <v>248</v>
      </c>
      <c r="O232" s="7"/>
      <c r="P232" s="7" t="s">
        <v>282</v>
      </c>
      <c r="Q232" s="7" t="s">
        <v>49</v>
      </c>
      <c r="R232" s="14">
        <f>INDEX(Hypothèses!$B$14:$B$22,MATCH(Q232,Hypothèses!$A$14:$A$22,0))</f>
        <v>1</v>
      </c>
      <c r="S232" s="17">
        <f t="shared" si="9"/>
        <v>540.75</v>
      </c>
      <c r="T232" s="17">
        <f t="shared" si="10"/>
        <v>826.14549</v>
      </c>
      <c r="U232" s="17">
        <f t="shared" si="11"/>
        <v>1096.5174</v>
      </c>
      <c r="V232" s="7" t="s">
        <v>247</v>
      </c>
      <c r="W232" s="7" t="s">
        <v>84</v>
      </c>
      <c r="X232" s="7" t="s">
        <v>250</v>
      </c>
      <c r="Y232" s="7"/>
      <c r="Z232" s="7"/>
      <c r="AA232" s="7">
        <f>IF(AND(Hypothèses!$B$12=1,Z232="Secondary_Source"),0,1)</f>
        <v>1</v>
      </c>
    </row>
    <row r="233" spans="1:27" x14ac:dyDescent="0.3">
      <c r="A233" s="7" t="s">
        <v>502</v>
      </c>
      <c r="B233" s="7" t="s">
        <v>78</v>
      </c>
      <c r="C233" s="7" t="s">
        <v>100</v>
      </c>
      <c r="D233" s="7" t="s">
        <v>465</v>
      </c>
      <c r="E233" s="7" t="s">
        <v>245</v>
      </c>
      <c r="F233" s="7" t="s">
        <v>258</v>
      </c>
      <c r="G233" s="17">
        <v>425.58981999999997</v>
      </c>
      <c r="H233" s="17">
        <v>731.01365999999996</v>
      </c>
      <c r="I233" s="17">
        <v>1031.4317000000001</v>
      </c>
      <c r="J233" s="7" t="s">
        <v>247</v>
      </c>
      <c r="K233" s="7">
        <v>2050</v>
      </c>
      <c r="L233" s="7" t="str">
        <f>IF(Y233&lt;&gt;"",Y233,IF(AND(K233&gt;=Hypothèses!$B$9,K233&lt;=Hypothèses!$B$10),"actuel",IF(K233=2030,"2030",IF(K233=2050,"2050","autre"))))</f>
        <v>2050</v>
      </c>
      <c r="M233" s="7"/>
      <c r="N233" s="7" t="s">
        <v>248</v>
      </c>
      <c r="O233" s="7"/>
      <c r="P233" s="7" t="s">
        <v>282</v>
      </c>
      <c r="Q233" s="7" t="s">
        <v>49</v>
      </c>
      <c r="R233" s="14">
        <f>INDEX(Hypothèses!$B$14:$B$22,MATCH(Q233,Hypothèses!$A$14:$A$22,0))</f>
        <v>1</v>
      </c>
      <c r="S233" s="17">
        <f t="shared" si="9"/>
        <v>425.58981999999997</v>
      </c>
      <c r="T233" s="17">
        <f t="shared" si="10"/>
        <v>731.01365999999996</v>
      </c>
      <c r="U233" s="17">
        <f t="shared" si="11"/>
        <v>1031.4317000000001</v>
      </c>
      <c r="V233" s="7" t="s">
        <v>247</v>
      </c>
      <c r="W233" s="7" t="s">
        <v>84</v>
      </c>
      <c r="X233" s="7" t="s">
        <v>250</v>
      </c>
      <c r="Y233" s="7"/>
      <c r="Z233" s="7"/>
      <c r="AA233" s="7">
        <f>IF(AND(Hypothèses!$B$12=1,Z233="Secondary_Source"),0,1)</f>
        <v>1</v>
      </c>
    </row>
    <row r="234" spans="1:27" x14ac:dyDescent="0.3">
      <c r="A234" s="7" t="s">
        <v>503</v>
      </c>
      <c r="B234" s="7" t="s">
        <v>78</v>
      </c>
      <c r="C234" s="7" t="s">
        <v>102</v>
      </c>
      <c r="D234" s="7" t="s">
        <v>465</v>
      </c>
      <c r="E234" s="7" t="s">
        <v>245</v>
      </c>
      <c r="F234" s="7" t="s">
        <v>258</v>
      </c>
      <c r="G234" s="17"/>
      <c r="H234" s="17">
        <v>1442</v>
      </c>
      <c r="I234" s="17"/>
      <c r="J234" s="7" t="s">
        <v>247</v>
      </c>
      <c r="K234" s="7">
        <v>2020</v>
      </c>
      <c r="L234" s="7" t="str">
        <f>IF(Y234&lt;&gt;"",Y234,IF(AND(K234&gt;=Hypothèses!$B$9,K234&lt;=Hypothèses!$B$10),"actuel",IF(K234=2030,"2030",IF(K234=2050,"2050","autre"))))</f>
        <v>actuel</v>
      </c>
      <c r="M234" s="7"/>
      <c r="N234" s="7" t="s">
        <v>248</v>
      </c>
      <c r="O234" s="7"/>
      <c r="P234" s="7" t="s">
        <v>259</v>
      </c>
      <c r="Q234" s="7" t="s">
        <v>49</v>
      </c>
      <c r="R234" s="14">
        <f>INDEX(Hypothèses!$B$14:$B$22,MATCH(Q234,Hypothèses!$A$14:$A$22,0))</f>
        <v>1</v>
      </c>
      <c r="S234" s="17" t="str">
        <f t="shared" si="9"/>
        <v/>
      </c>
      <c r="T234" s="17">
        <f t="shared" si="10"/>
        <v>1442</v>
      </c>
      <c r="U234" s="17" t="str">
        <f t="shared" si="11"/>
        <v/>
      </c>
      <c r="V234" s="7" t="s">
        <v>247</v>
      </c>
      <c r="W234" s="7" t="s">
        <v>84</v>
      </c>
      <c r="X234" s="7" t="s">
        <v>250</v>
      </c>
      <c r="Y234" s="7"/>
      <c r="Z234" s="7"/>
      <c r="AA234" s="7">
        <f>IF(AND(Hypothèses!$B$12=1,Z234="Secondary_Source"),0,1)</f>
        <v>1</v>
      </c>
    </row>
    <row r="235" spans="1:27" x14ac:dyDescent="0.3">
      <c r="A235" s="7" t="s">
        <v>504</v>
      </c>
      <c r="B235" s="7" t="s">
        <v>78</v>
      </c>
      <c r="C235" s="7" t="s">
        <v>102</v>
      </c>
      <c r="D235" s="7" t="s">
        <v>465</v>
      </c>
      <c r="E235" s="7" t="s">
        <v>245</v>
      </c>
      <c r="F235" s="7" t="s">
        <v>258</v>
      </c>
      <c r="G235" s="17"/>
      <c r="H235" s="17">
        <v>154.5</v>
      </c>
      <c r="I235" s="17"/>
      <c r="J235" s="7" t="s">
        <v>247</v>
      </c>
      <c r="K235" s="7">
        <v>2050</v>
      </c>
      <c r="L235" s="7" t="str">
        <f>IF(Y235&lt;&gt;"",Y235,IF(AND(K235&gt;=Hypothèses!$B$9,K235&lt;=Hypothèses!$B$10),"actuel",IF(K235=2030,"2030",IF(K235=2050,"2050","autre"))))</f>
        <v>2050</v>
      </c>
      <c r="M235" s="7"/>
      <c r="N235" s="7" t="s">
        <v>248</v>
      </c>
      <c r="O235" s="7"/>
      <c r="P235" s="7" t="s">
        <v>259</v>
      </c>
      <c r="Q235" s="7" t="s">
        <v>49</v>
      </c>
      <c r="R235" s="14">
        <f>INDEX(Hypothèses!$B$14:$B$22,MATCH(Q235,Hypothèses!$A$14:$A$22,0))</f>
        <v>1</v>
      </c>
      <c r="S235" s="17" t="str">
        <f t="shared" si="9"/>
        <v/>
      </c>
      <c r="T235" s="17">
        <f t="shared" si="10"/>
        <v>154.5</v>
      </c>
      <c r="U235" s="17" t="str">
        <f t="shared" si="11"/>
        <v/>
      </c>
      <c r="V235" s="7" t="s">
        <v>247</v>
      </c>
      <c r="W235" s="7" t="s">
        <v>84</v>
      </c>
      <c r="X235" s="7" t="s">
        <v>250</v>
      </c>
      <c r="Y235" s="7"/>
      <c r="Z235" s="7"/>
      <c r="AA235" s="7">
        <f>IF(AND(Hypothèses!$B$12=1,Z235="Secondary_Source"),0,1)</f>
        <v>1</v>
      </c>
    </row>
    <row r="236" spans="1:27" x14ac:dyDescent="0.3">
      <c r="A236" s="7" t="s">
        <v>505</v>
      </c>
      <c r="B236" s="7" t="s">
        <v>78</v>
      </c>
      <c r="C236" s="7" t="s">
        <v>104</v>
      </c>
      <c r="D236" s="7" t="s">
        <v>465</v>
      </c>
      <c r="E236" s="7" t="s">
        <v>245</v>
      </c>
      <c r="F236" s="7" t="s">
        <v>258</v>
      </c>
      <c r="G236" s="17"/>
      <c r="H236" s="17">
        <v>1030</v>
      </c>
      <c r="I236" s="17"/>
      <c r="J236" s="7" t="s">
        <v>247</v>
      </c>
      <c r="K236" s="7">
        <v>2020</v>
      </c>
      <c r="L236" s="7" t="str">
        <f>IF(Y236&lt;&gt;"",Y236,IF(AND(K236&gt;=Hypothèses!$B$9,K236&lt;=Hypothèses!$B$10),"actuel",IF(K236=2030,"2030",IF(K236=2050,"2050","autre"))))</f>
        <v>actuel</v>
      </c>
      <c r="M236" s="7"/>
      <c r="N236" s="7" t="s">
        <v>248</v>
      </c>
      <c r="O236" s="7"/>
      <c r="P236" s="7" t="s">
        <v>506</v>
      </c>
      <c r="Q236" s="7" t="s">
        <v>49</v>
      </c>
      <c r="R236" s="14">
        <f>INDEX(Hypothèses!$B$14:$B$22,MATCH(Q236,Hypothèses!$A$14:$A$22,0))</f>
        <v>1</v>
      </c>
      <c r="S236" s="17" t="str">
        <f t="shared" si="9"/>
        <v/>
      </c>
      <c r="T236" s="17">
        <f t="shared" si="10"/>
        <v>1030</v>
      </c>
      <c r="U236" s="17" t="str">
        <f t="shared" si="11"/>
        <v/>
      </c>
      <c r="V236" s="7" t="s">
        <v>247</v>
      </c>
      <c r="W236" s="7" t="s">
        <v>84</v>
      </c>
      <c r="X236" s="7" t="s">
        <v>250</v>
      </c>
      <c r="Y236" s="7"/>
      <c r="Z236" s="7"/>
      <c r="AA236" s="7">
        <f>IF(AND(Hypothèses!$B$12=1,Z236="Secondary_Source"),0,1)</f>
        <v>1</v>
      </c>
    </row>
    <row r="237" spans="1:27" x14ac:dyDescent="0.3">
      <c r="A237" s="7" t="s">
        <v>507</v>
      </c>
      <c r="B237" s="7" t="s">
        <v>78</v>
      </c>
      <c r="C237" s="7" t="s">
        <v>104</v>
      </c>
      <c r="D237" s="7" t="s">
        <v>465</v>
      </c>
      <c r="E237" s="7" t="s">
        <v>245</v>
      </c>
      <c r="F237" s="7" t="s">
        <v>258</v>
      </c>
      <c r="G237" s="17"/>
      <c r="H237" s="17">
        <v>772.5</v>
      </c>
      <c r="I237" s="17"/>
      <c r="J237" s="7" t="s">
        <v>247</v>
      </c>
      <c r="K237" s="7">
        <v>2025</v>
      </c>
      <c r="L237" s="7" t="str">
        <f>IF(Y237&lt;&gt;"",Y237,IF(AND(K237&gt;=Hypothèses!$B$9,K237&lt;=Hypothèses!$B$10),"actuel",IF(K237=2030,"2030",IF(K237=2050,"2050","autre"))))</f>
        <v>actuel</v>
      </c>
      <c r="M237" s="7"/>
      <c r="N237" s="7" t="s">
        <v>248</v>
      </c>
      <c r="O237" s="7"/>
      <c r="P237" s="7" t="s">
        <v>506</v>
      </c>
      <c r="Q237" s="7" t="s">
        <v>49</v>
      </c>
      <c r="R237" s="14">
        <f>INDEX(Hypothèses!$B$14:$B$22,MATCH(Q237,Hypothèses!$A$14:$A$22,0))</f>
        <v>1</v>
      </c>
      <c r="S237" s="17" t="str">
        <f t="shared" si="9"/>
        <v/>
      </c>
      <c r="T237" s="17">
        <f t="shared" si="10"/>
        <v>772.5</v>
      </c>
      <c r="U237" s="17" t="str">
        <f t="shared" si="11"/>
        <v/>
      </c>
      <c r="V237" s="7" t="s">
        <v>247</v>
      </c>
      <c r="W237" s="7" t="s">
        <v>84</v>
      </c>
      <c r="X237" s="7" t="s">
        <v>250</v>
      </c>
      <c r="Y237" s="7"/>
      <c r="Z237" s="7"/>
      <c r="AA237" s="7">
        <f>IF(AND(Hypothèses!$B$12=1,Z237="Secondary_Source"),0,1)</f>
        <v>1</v>
      </c>
    </row>
    <row r="238" spans="1:27" x14ac:dyDescent="0.3">
      <c r="A238" s="7" t="s">
        <v>508</v>
      </c>
      <c r="B238" s="7" t="s">
        <v>78</v>
      </c>
      <c r="C238" s="7" t="s">
        <v>104</v>
      </c>
      <c r="D238" s="7" t="s">
        <v>465</v>
      </c>
      <c r="E238" s="7" t="s">
        <v>245</v>
      </c>
      <c r="F238" s="7" t="s">
        <v>258</v>
      </c>
      <c r="G238" s="17"/>
      <c r="H238" s="17">
        <v>669.5</v>
      </c>
      <c r="I238" s="17"/>
      <c r="J238" s="7" t="s">
        <v>247</v>
      </c>
      <c r="K238" s="7">
        <v>2030</v>
      </c>
      <c r="L238" s="7" t="str">
        <f>IF(Y238&lt;&gt;"",Y238,IF(AND(K238&gt;=Hypothèses!$B$9,K238&lt;=Hypothèses!$B$10),"actuel",IF(K238=2030,"2030",IF(K238=2050,"2050","autre"))))</f>
        <v>2030</v>
      </c>
      <c r="M238" s="7"/>
      <c r="N238" s="7" t="s">
        <v>248</v>
      </c>
      <c r="O238" s="7"/>
      <c r="P238" s="7" t="s">
        <v>506</v>
      </c>
      <c r="Q238" s="7" t="s">
        <v>49</v>
      </c>
      <c r="R238" s="14">
        <f>INDEX(Hypothèses!$B$14:$B$22,MATCH(Q238,Hypothèses!$A$14:$A$22,0))</f>
        <v>1</v>
      </c>
      <c r="S238" s="17" t="str">
        <f t="shared" si="9"/>
        <v/>
      </c>
      <c r="T238" s="17">
        <f t="shared" si="10"/>
        <v>669.5</v>
      </c>
      <c r="U238" s="17" t="str">
        <f t="shared" si="11"/>
        <v/>
      </c>
      <c r="V238" s="7" t="s">
        <v>247</v>
      </c>
      <c r="W238" s="7" t="s">
        <v>84</v>
      </c>
      <c r="X238" s="7" t="s">
        <v>250</v>
      </c>
      <c r="Y238" s="7"/>
      <c r="Z238" s="7"/>
      <c r="AA238" s="7">
        <f>IF(AND(Hypothèses!$B$12=1,Z238="Secondary_Source"),0,1)</f>
        <v>1</v>
      </c>
    </row>
    <row r="239" spans="1:27" x14ac:dyDescent="0.3">
      <c r="A239" s="7" t="s">
        <v>509</v>
      </c>
      <c r="B239" s="7" t="s">
        <v>78</v>
      </c>
      <c r="C239" s="7" t="s">
        <v>106</v>
      </c>
      <c r="D239" s="7" t="s">
        <v>465</v>
      </c>
      <c r="E239" s="7" t="s">
        <v>245</v>
      </c>
      <c r="F239" s="7" t="s">
        <v>258</v>
      </c>
      <c r="G239" s="17"/>
      <c r="H239" s="17">
        <v>1442</v>
      </c>
      <c r="I239" s="17"/>
      <c r="J239" s="7" t="s">
        <v>247</v>
      </c>
      <c r="K239" s="7">
        <v>2020</v>
      </c>
      <c r="L239" s="7" t="str">
        <f>IF(Y239&lt;&gt;"",Y239,IF(AND(K239&gt;=Hypothèses!$B$9,K239&lt;=Hypothèses!$B$10),"actuel",IF(K239=2030,"2030",IF(K239=2050,"2050","autre"))))</f>
        <v>actuel</v>
      </c>
      <c r="M239" s="7"/>
      <c r="N239" s="7" t="s">
        <v>248</v>
      </c>
      <c r="O239" s="7"/>
      <c r="P239" s="7" t="s">
        <v>290</v>
      </c>
      <c r="Q239" s="7" t="s">
        <v>49</v>
      </c>
      <c r="R239" s="14">
        <f>INDEX(Hypothèses!$B$14:$B$22,MATCH(Q239,Hypothèses!$A$14:$A$22,0))</f>
        <v>1</v>
      </c>
      <c r="S239" s="17" t="str">
        <f t="shared" si="9"/>
        <v/>
      </c>
      <c r="T239" s="17">
        <f t="shared" si="10"/>
        <v>1442</v>
      </c>
      <c r="U239" s="17" t="str">
        <f t="shared" si="11"/>
        <v/>
      </c>
      <c r="V239" s="7" t="s">
        <v>247</v>
      </c>
      <c r="W239" s="7" t="s">
        <v>84</v>
      </c>
      <c r="X239" s="7" t="s">
        <v>250</v>
      </c>
      <c r="Y239" s="7"/>
      <c r="Z239" s="7"/>
      <c r="AA239" s="7">
        <f>IF(AND(Hypothèses!$B$12=1,Z239="Secondary_Source"),0,1)</f>
        <v>1</v>
      </c>
    </row>
    <row r="240" spans="1:27" x14ac:dyDescent="0.3">
      <c r="A240" s="7" t="s">
        <v>510</v>
      </c>
      <c r="B240" s="7" t="s">
        <v>78</v>
      </c>
      <c r="C240" s="7" t="s">
        <v>106</v>
      </c>
      <c r="D240" s="7" t="s">
        <v>465</v>
      </c>
      <c r="E240" s="7" t="s">
        <v>245</v>
      </c>
      <c r="F240" s="7" t="s">
        <v>258</v>
      </c>
      <c r="G240" s="17"/>
      <c r="H240" s="17">
        <v>831.21</v>
      </c>
      <c r="I240" s="17"/>
      <c r="J240" s="7" t="s">
        <v>247</v>
      </c>
      <c r="K240" s="7">
        <v>2025</v>
      </c>
      <c r="L240" s="7" t="str">
        <f>IF(Y240&lt;&gt;"",Y240,IF(AND(K240&gt;=Hypothèses!$B$9,K240&lt;=Hypothèses!$B$10),"actuel",IF(K240=2030,"2030",IF(K240=2050,"2050","autre"))))</f>
        <v>actuel</v>
      </c>
      <c r="M240" s="7"/>
      <c r="N240" s="7" t="s">
        <v>248</v>
      </c>
      <c r="O240" s="7"/>
      <c r="P240" s="7" t="s">
        <v>290</v>
      </c>
      <c r="Q240" s="7" t="s">
        <v>49</v>
      </c>
      <c r="R240" s="14">
        <f>INDEX(Hypothèses!$B$14:$B$22,MATCH(Q240,Hypothèses!$A$14:$A$22,0))</f>
        <v>1</v>
      </c>
      <c r="S240" s="17" t="str">
        <f t="shared" si="9"/>
        <v/>
      </c>
      <c r="T240" s="17">
        <f t="shared" si="10"/>
        <v>831.21</v>
      </c>
      <c r="U240" s="17" t="str">
        <f t="shared" si="11"/>
        <v/>
      </c>
      <c r="V240" s="7" t="s">
        <v>247</v>
      </c>
      <c r="W240" s="7" t="s">
        <v>84</v>
      </c>
      <c r="X240" s="7" t="s">
        <v>250</v>
      </c>
      <c r="Y240" s="7"/>
      <c r="Z240" s="7"/>
      <c r="AA240" s="7">
        <f>IF(AND(Hypothèses!$B$12=1,Z240="Secondary_Source"),0,1)</f>
        <v>1</v>
      </c>
    </row>
    <row r="241" spans="1:27" x14ac:dyDescent="0.3">
      <c r="A241" s="7" t="s">
        <v>511</v>
      </c>
      <c r="B241" s="7" t="s">
        <v>78</v>
      </c>
      <c r="C241" s="7" t="s">
        <v>106</v>
      </c>
      <c r="D241" s="7" t="s">
        <v>465</v>
      </c>
      <c r="E241" s="7" t="s">
        <v>245</v>
      </c>
      <c r="F241" s="7" t="s">
        <v>258</v>
      </c>
      <c r="G241" s="17"/>
      <c r="H241" s="17">
        <v>569.59</v>
      </c>
      <c r="I241" s="17"/>
      <c r="J241" s="7" t="s">
        <v>247</v>
      </c>
      <c r="K241" s="7">
        <v>2030</v>
      </c>
      <c r="L241" s="7" t="str">
        <f>IF(Y241&lt;&gt;"",Y241,IF(AND(K241&gt;=Hypothèses!$B$9,K241&lt;=Hypothèses!$B$10),"actuel",IF(K241=2030,"2030",IF(K241=2050,"2050","autre"))))</f>
        <v>2030</v>
      </c>
      <c r="M241" s="7"/>
      <c r="N241" s="7" t="s">
        <v>248</v>
      </c>
      <c r="O241" s="7"/>
      <c r="P241" s="7" t="s">
        <v>290</v>
      </c>
      <c r="Q241" s="7" t="s">
        <v>49</v>
      </c>
      <c r="R241" s="14">
        <f>INDEX(Hypothèses!$B$14:$B$22,MATCH(Q241,Hypothèses!$A$14:$A$22,0))</f>
        <v>1</v>
      </c>
      <c r="S241" s="17" t="str">
        <f t="shared" si="9"/>
        <v/>
      </c>
      <c r="T241" s="17">
        <f t="shared" si="10"/>
        <v>569.59</v>
      </c>
      <c r="U241" s="17" t="str">
        <f t="shared" si="11"/>
        <v/>
      </c>
      <c r="V241" s="7" t="s">
        <v>247</v>
      </c>
      <c r="W241" s="7" t="s">
        <v>84</v>
      </c>
      <c r="X241" s="7" t="s">
        <v>250</v>
      </c>
      <c r="Y241" s="7"/>
      <c r="Z241" s="7"/>
      <c r="AA241" s="7">
        <f>IF(AND(Hypothèses!$B$12=1,Z241="Secondary_Source"),0,1)</f>
        <v>1</v>
      </c>
    </row>
    <row r="242" spans="1:27" x14ac:dyDescent="0.3">
      <c r="A242" s="7" t="s">
        <v>512</v>
      </c>
      <c r="B242" s="7" t="s">
        <v>78</v>
      </c>
      <c r="C242" s="7" t="s">
        <v>106</v>
      </c>
      <c r="D242" s="7" t="s">
        <v>465</v>
      </c>
      <c r="E242" s="7" t="s">
        <v>245</v>
      </c>
      <c r="F242" s="7" t="s">
        <v>258</v>
      </c>
      <c r="G242" s="17"/>
      <c r="H242" s="17">
        <v>307.97000000000003</v>
      </c>
      <c r="I242" s="17"/>
      <c r="J242" s="7" t="s">
        <v>247</v>
      </c>
      <c r="K242" s="7">
        <v>2050</v>
      </c>
      <c r="L242" s="7" t="str">
        <f>IF(Y242&lt;&gt;"",Y242,IF(AND(K242&gt;=Hypothèses!$B$9,K242&lt;=Hypothèses!$B$10),"actuel",IF(K242=2030,"2030",IF(K242=2050,"2050","autre"))))</f>
        <v>2050</v>
      </c>
      <c r="M242" s="7"/>
      <c r="N242" s="7" t="s">
        <v>248</v>
      </c>
      <c r="O242" s="7"/>
      <c r="P242" s="7" t="s">
        <v>290</v>
      </c>
      <c r="Q242" s="7" t="s">
        <v>49</v>
      </c>
      <c r="R242" s="14">
        <f>INDEX(Hypothèses!$B$14:$B$22,MATCH(Q242,Hypothèses!$A$14:$A$22,0))</f>
        <v>1</v>
      </c>
      <c r="S242" s="17" t="str">
        <f t="shared" si="9"/>
        <v/>
      </c>
      <c r="T242" s="17">
        <f t="shared" si="10"/>
        <v>307.97000000000003</v>
      </c>
      <c r="U242" s="17" t="str">
        <f t="shared" si="11"/>
        <v/>
      </c>
      <c r="V242" s="7" t="s">
        <v>247</v>
      </c>
      <c r="W242" s="7" t="s">
        <v>84</v>
      </c>
      <c r="X242" s="7" t="s">
        <v>250</v>
      </c>
      <c r="Y242" s="7"/>
      <c r="Z242" s="7"/>
      <c r="AA242" s="7">
        <f>IF(AND(Hypothèses!$B$12=1,Z242="Secondary_Source"),0,1)</f>
        <v>1</v>
      </c>
    </row>
    <row r="243" spans="1:27" x14ac:dyDescent="0.3">
      <c r="A243" s="7" t="s">
        <v>513</v>
      </c>
      <c r="B243" s="7" t="s">
        <v>78</v>
      </c>
      <c r="C243" s="7" t="s">
        <v>108</v>
      </c>
      <c r="D243" s="7" t="s">
        <v>465</v>
      </c>
      <c r="E243" s="7" t="s">
        <v>245</v>
      </c>
      <c r="F243" s="7" t="s">
        <v>258</v>
      </c>
      <c r="G243" s="17">
        <v>768.98809615384698</v>
      </c>
      <c r="H243" s="17">
        <v>841.82692307692298</v>
      </c>
      <c r="I243" s="17">
        <v>921.93616346153794</v>
      </c>
      <c r="J243" s="7" t="s">
        <v>247</v>
      </c>
      <c r="K243" s="7">
        <v>2020</v>
      </c>
      <c r="L243" s="7" t="str">
        <f>IF(Y243&lt;&gt;"",Y243,IF(AND(K243&gt;=Hypothèses!$B$9,K243&lt;=Hypothèses!$B$10),"actuel",IF(K243=2030,"2030",IF(K243=2050,"2050","autre"))))</f>
        <v>actuel</v>
      </c>
      <c r="M243" s="7"/>
      <c r="N243" s="7" t="s">
        <v>248</v>
      </c>
      <c r="O243" s="7"/>
      <c r="P243" s="7" t="s">
        <v>295</v>
      </c>
      <c r="Q243" s="7" t="s">
        <v>49</v>
      </c>
      <c r="R243" s="14">
        <f>INDEX(Hypothèses!$B$14:$B$22,MATCH(Q243,Hypothèses!$A$14:$A$22,0))</f>
        <v>1</v>
      </c>
      <c r="S243" s="17">
        <f t="shared" si="9"/>
        <v>768.98809615384698</v>
      </c>
      <c r="T243" s="17">
        <f t="shared" si="10"/>
        <v>841.82692307692298</v>
      </c>
      <c r="U243" s="17">
        <f t="shared" si="11"/>
        <v>921.93616346153794</v>
      </c>
      <c r="V243" s="7" t="s">
        <v>247</v>
      </c>
      <c r="W243" s="7" t="s">
        <v>84</v>
      </c>
      <c r="X243" s="7" t="s">
        <v>250</v>
      </c>
      <c r="Y243" s="7"/>
      <c r="Z243" s="7"/>
      <c r="AA243" s="7">
        <f>IF(AND(Hypothèses!$B$12=1,Z243="Secondary_Source"),0,1)</f>
        <v>1</v>
      </c>
    </row>
    <row r="244" spans="1:27" x14ac:dyDescent="0.3">
      <c r="A244" s="7" t="s">
        <v>514</v>
      </c>
      <c r="B244" s="7" t="s">
        <v>78</v>
      </c>
      <c r="C244" s="7" t="s">
        <v>108</v>
      </c>
      <c r="D244" s="7" t="s">
        <v>465</v>
      </c>
      <c r="E244" s="7" t="s">
        <v>245</v>
      </c>
      <c r="F244" s="7" t="s">
        <v>258</v>
      </c>
      <c r="G244" s="17">
        <v>634.73353846153805</v>
      </c>
      <c r="H244" s="17">
        <v>780.88360576923105</v>
      </c>
      <c r="I244" s="17">
        <v>904.94116346153805</v>
      </c>
      <c r="J244" s="7" t="s">
        <v>247</v>
      </c>
      <c r="K244" s="7">
        <v>2021</v>
      </c>
      <c r="L244" s="7" t="str">
        <f>IF(Y244&lt;&gt;"",Y244,IF(AND(K244&gt;=Hypothèses!$B$9,K244&lt;=Hypothèses!$B$10),"actuel",IF(K244=2030,"2030",IF(K244=2050,"2050","autre"))))</f>
        <v>actuel</v>
      </c>
      <c r="M244" s="7"/>
      <c r="N244" s="7" t="s">
        <v>248</v>
      </c>
      <c r="O244" s="7"/>
      <c r="P244" s="7" t="s">
        <v>295</v>
      </c>
      <c r="Q244" s="7" t="s">
        <v>49</v>
      </c>
      <c r="R244" s="14">
        <f>INDEX(Hypothèses!$B$14:$B$22,MATCH(Q244,Hypothèses!$A$14:$A$22,0))</f>
        <v>1</v>
      </c>
      <c r="S244" s="17">
        <f t="shared" si="9"/>
        <v>634.73353846153805</v>
      </c>
      <c r="T244" s="17">
        <f t="shared" si="10"/>
        <v>780.88360576923105</v>
      </c>
      <c r="U244" s="17">
        <f t="shared" si="11"/>
        <v>904.94116346153805</v>
      </c>
      <c r="V244" s="7" t="s">
        <v>247</v>
      </c>
      <c r="W244" s="7" t="s">
        <v>84</v>
      </c>
      <c r="X244" s="7" t="s">
        <v>250</v>
      </c>
      <c r="Y244" s="7"/>
      <c r="Z244" s="7"/>
      <c r="AA244" s="7">
        <f>IF(AND(Hypothèses!$B$12=1,Z244="Secondary_Source"),0,1)</f>
        <v>1</v>
      </c>
    </row>
    <row r="245" spans="1:27" x14ac:dyDescent="0.3">
      <c r="A245" s="7" t="s">
        <v>515</v>
      </c>
      <c r="B245" s="7" t="s">
        <v>78</v>
      </c>
      <c r="C245" s="7" t="s">
        <v>108</v>
      </c>
      <c r="D245" s="7" t="s">
        <v>465</v>
      </c>
      <c r="E245" s="7" t="s">
        <v>245</v>
      </c>
      <c r="F245" s="7" t="s">
        <v>258</v>
      </c>
      <c r="G245" s="17">
        <v>539.56649038461501</v>
      </c>
      <c r="H245" s="17">
        <v>719.70457692307696</v>
      </c>
      <c r="I245" s="17">
        <v>878.60089423076897</v>
      </c>
      <c r="J245" s="7" t="s">
        <v>247</v>
      </c>
      <c r="K245" s="7">
        <v>2022</v>
      </c>
      <c r="L245" s="7" t="str">
        <f>IF(Y245&lt;&gt;"",Y245,IF(AND(K245&gt;=Hypothèses!$B$9,K245&lt;=Hypothèses!$B$10),"actuel",IF(K245=2030,"2030",IF(K245=2050,"2050","autre"))))</f>
        <v>actuel</v>
      </c>
      <c r="M245" s="7"/>
      <c r="N245" s="7" t="s">
        <v>248</v>
      </c>
      <c r="O245" s="7"/>
      <c r="P245" s="7" t="s">
        <v>295</v>
      </c>
      <c r="Q245" s="7" t="s">
        <v>49</v>
      </c>
      <c r="R245" s="14">
        <f>INDEX(Hypothèses!$B$14:$B$22,MATCH(Q245,Hypothèses!$A$14:$A$22,0))</f>
        <v>1</v>
      </c>
      <c r="S245" s="17">
        <f t="shared" si="9"/>
        <v>539.56649038461501</v>
      </c>
      <c r="T245" s="17">
        <f t="shared" si="10"/>
        <v>719.70457692307696</v>
      </c>
      <c r="U245" s="17">
        <f t="shared" si="11"/>
        <v>878.60089423076897</v>
      </c>
      <c r="V245" s="7" t="s">
        <v>247</v>
      </c>
      <c r="W245" s="7" t="s">
        <v>84</v>
      </c>
      <c r="X245" s="7" t="s">
        <v>250</v>
      </c>
      <c r="Y245" s="7"/>
      <c r="Z245" s="7"/>
      <c r="AA245" s="7">
        <f>IF(AND(Hypothèses!$B$12=1,Z245="Secondary_Source"),0,1)</f>
        <v>1</v>
      </c>
    </row>
    <row r="246" spans="1:27" x14ac:dyDescent="0.3">
      <c r="A246" s="7" t="s">
        <v>516</v>
      </c>
      <c r="B246" s="7" t="s">
        <v>78</v>
      </c>
      <c r="C246" s="7" t="s">
        <v>108</v>
      </c>
      <c r="D246" s="7" t="s">
        <v>465</v>
      </c>
      <c r="E246" s="7" t="s">
        <v>245</v>
      </c>
      <c r="F246" s="7" t="s">
        <v>258</v>
      </c>
      <c r="G246" s="17">
        <v>468.19046153846199</v>
      </c>
      <c r="H246" s="17">
        <v>657.675798076923</v>
      </c>
      <c r="I246" s="17">
        <v>851.40988461538495</v>
      </c>
      <c r="J246" s="7" t="s">
        <v>247</v>
      </c>
      <c r="K246" s="7">
        <v>2023</v>
      </c>
      <c r="L246" s="7" t="str">
        <f>IF(Y246&lt;&gt;"",Y246,IF(AND(K246&gt;=Hypothèses!$B$9,K246&lt;=Hypothèses!$B$10),"actuel",IF(K246=2030,"2030",IF(K246=2050,"2050","autre"))))</f>
        <v>actuel</v>
      </c>
      <c r="M246" s="7"/>
      <c r="N246" s="7" t="s">
        <v>248</v>
      </c>
      <c r="O246" s="7"/>
      <c r="P246" s="7" t="s">
        <v>295</v>
      </c>
      <c r="Q246" s="7" t="s">
        <v>49</v>
      </c>
      <c r="R246" s="14">
        <f>INDEX(Hypothèses!$B$14:$B$22,MATCH(Q246,Hypothèses!$A$14:$A$22,0))</f>
        <v>1</v>
      </c>
      <c r="S246" s="17">
        <f t="shared" si="9"/>
        <v>468.19046153846199</v>
      </c>
      <c r="T246" s="17">
        <f t="shared" si="10"/>
        <v>657.675798076923</v>
      </c>
      <c r="U246" s="17">
        <f t="shared" si="11"/>
        <v>851.40988461538495</v>
      </c>
      <c r="V246" s="7" t="s">
        <v>247</v>
      </c>
      <c r="W246" s="7" t="s">
        <v>84</v>
      </c>
      <c r="X246" s="7" t="s">
        <v>250</v>
      </c>
      <c r="Y246" s="7"/>
      <c r="Z246" s="7"/>
      <c r="AA246" s="7">
        <f>IF(AND(Hypothèses!$B$12=1,Z246="Secondary_Source"),0,1)</f>
        <v>1</v>
      </c>
    </row>
    <row r="247" spans="1:27" x14ac:dyDescent="0.3">
      <c r="A247" s="7" t="s">
        <v>517</v>
      </c>
      <c r="B247" s="7" t="s">
        <v>78</v>
      </c>
      <c r="C247" s="7" t="s">
        <v>108</v>
      </c>
      <c r="D247" s="7" t="s">
        <v>465</v>
      </c>
      <c r="E247" s="7" t="s">
        <v>245</v>
      </c>
      <c r="F247" s="7" t="s">
        <v>258</v>
      </c>
      <c r="G247" s="17">
        <v>407.86118269230798</v>
      </c>
      <c r="H247" s="17">
        <v>605.84302884615397</v>
      </c>
      <c r="I247" s="17">
        <v>820.81987500000002</v>
      </c>
      <c r="J247" s="7" t="s">
        <v>247</v>
      </c>
      <c r="K247" s="7">
        <v>2024</v>
      </c>
      <c r="L247" s="7" t="str">
        <f>IF(Y247&lt;&gt;"",Y247,IF(AND(K247&gt;=Hypothèses!$B$9,K247&lt;=Hypothèses!$B$10),"actuel",IF(K247=2030,"2030",IF(K247=2050,"2050","autre"))))</f>
        <v>actuel</v>
      </c>
      <c r="M247" s="7"/>
      <c r="N247" s="7" t="s">
        <v>248</v>
      </c>
      <c r="O247" s="7"/>
      <c r="P247" s="7" t="s">
        <v>295</v>
      </c>
      <c r="Q247" s="7" t="s">
        <v>49</v>
      </c>
      <c r="R247" s="14">
        <f>INDEX(Hypothèses!$B$14:$B$22,MATCH(Q247,Hypothèses!$A$14:$A$22,0))</f>
        <v>1</v>
      </c>
      <c r="S247" s="17">
        <f t="shared" si="9"/>
        <v>407.86118269230798</v>
      </c>
      <c r="T247" s="17">
        <f t="shared" si="10"/>
        <v>605.84302884615397</v>
      </c>
      <c r="U247" s="17">
        <f t="shared" si="11"/>
        <v>820.81987500000002</v>
      </c>
      <c r="V247" s="7" t="s">
        <v>247</v>
      </c>
      <c r="W247" s="7" t="s">
        <v>84</v>
      </c>
      <c r="X247" s="7" t="s">
        <v>250</v>
      </c>
      <c r="Y247" s="7"/>
      <c r="Z247" s="7"/>
      <c r="AA247" s="7">
        <f>IF(AND(Hypothèses!$B$12=1,Z247="Secondary_Source"),0,1)</f>
        <v>1</v>
      </c>
    </row>
    <row r="248" spans="1:27" x14ac:dyDescent="0.3">
      <c r="A248" s="7" t="s">
        <v>518</v>
      </c>
      <c r="B248" s="7" t="s">
        <v>78</v>
      </c>
      <c r="C248" s="7" t="s">
        <v>108</v>
      </c>
      <c r="D248" s="7" t="s">
        <v>465</v>
      </c>
      <c r="E248" s="7" t="s">
        <v>245</v>
      </c>
      <c r="F248" s="7" t="s">
        <v>258</v>
      </c>
      <c r="G248" s="17">
        <v>357.727913461539</v>
      </c>
      <c r="H248" s="17">
        <v>555.71074999999996</v>
      </c>
      <c r="I248" s="17">
        <v>791.08060576923106</v>
      </c>
      <c r="J248" s="7" t="s">
        <v>247</v>
      </c>
      <c r="K248" s="7">
        <v>2025</v>
      </c>
      <c r="L248" s="7" t="str">
        <f>IF(Y248&lt;&gt;"",Y248,IF(AND(K248&gt;=Hypothèses!$B$9,K248&lt;=Hypothèses!$B$10),"actuel",IF(K248=2030,"2030",IF(K248=2050,"2050","autre"))))</f>
        <v>actuel</v>
      </c>
      <c r="M248" s="7"/>
      <c r="N248" s="7" t="s">
        <v>248</v>
      </c>
      <c r="O248" s="7"/>
      <c r="P248" s="7" t="s">
        <v>295</v>
      </c>
      <c r="Q248" s="7" t="s">
        <v>49</v>
      </c>
      <c r="R248" s="14">
        <f>INDEX(Hypothèses!$B$14:$B$22,MATCH(Q248,Hypothèses!$A$14:$A$22,0))</f>
        <v>1</v>
      </c>
      <c r="S248" s="17">
        <f t="shared" si="9"/>
        <v>357.727913461539</v>
      </c>
      <c r="T248" s="17">
        <f t="shared" si="10"/>
        <v>555.71074999999996</v>
      </c>
      <c r="U248" s="17">
        <f t="shared" si="11"/>
        <v>791.08060576923106</v>
      </c>
      <c r="V248" s="7" t="s">
        <v>247</v>
      </c>
      <c r="W248" s="7" t="s">
        <v>84</v>
      </c>
      <c r="X248" s="7" t="s">
        <v>250</v>
      </c>
      <c r="Y248" s="7"/>
      <c r="Z248" s="7"/>
      <c r="AA248" s="7">
        <f>IF(AND(Hypothèses!$B$12=1,Z248="Secondary_Source"),0,1)</f>
        <v>1</v>
      </c>
    </row>
    <row r="249" spans="1:27" x14ac:dyDescent="0.3">
      <c r="A249" s="7" t="s">
        <v>519</v>
      </c>
      <c r="B249" s="7" t="s">
        <v>78</v>
      </c>
      <c r="C249" s="7" t="s">
        <v>108</v>
      </c>
      <c r="D249" s="7" t="s">
        <v>465</v>
      </c>
      <c r="E249" s="7" t="s">
        <v>245</v>
      </c>
      <c r="F249" s="7" t="s">
        <v>258</v>
      </c>
      <c r="G249" s="17">
        <v>315.24239423076898</v>
      </c>
      <c r="H249" s="17">
        <v>506.42723076923102</v>
      </c>
      <c r="I249" s="17">
        <v>758.79109615384596</v>
      </c>
      <c r="J249" s="7" t="s">
        <v>247</v>
      </c>
      <c r="K249" s="7">
        <v>2026</v>
      </c>
      <c r="L249" s="7" t="str">
        <f>IF(Y249&lt;&gt;"",Y249,IF(AND(K249&gt;=Hypothèses!$B$9,K249&lt;=Hypothèses!$B$10),"actuel",IF(K249=2030,"2030",IF(K249=2050,"2050","autre"))))</f>
        <v>autre</v>
      </c>
      <c r="M249" s="7"/>
      <c r="N249" s="7" t="s">
        <v>248</v>
      </c>
      <c r="O249" s="7"/>
      <c r="P249" s="7" t="s">
        <v>295</v>
      </c>
      <c r="Q249" s="7" t="s">
        <v>49</v>
      </c>
      <c r="R249" s="14">
        <f>INDEX(Hypothèses!$B$14:$B$22,MATCH(Q249,Hypothèses!$A$14:$A$22,0))</f>
        <v>1</v>
      </c>
      <c r="S249" s="17">
        <f t="shared" si="9"/>
        <v>315.24239423076898</v>
      </c>
      <c r="T249" s="17">
        <f t="shared" si="10"/>
        <v>506.42723076923102</v>
      </c>
      <c r="U249" s="17">
        <f t="shared" si="11"/>
        <v>758.79109615384596</v>
      </c>
      <c r="V249" s="7" t="s">
        <v>247</v>
      </c>
      <c r="W249" s="7" t="s">
        <v>84</v>
      </c>
      <c r="X249" s="7" t="s">
        <v>250</v>
      </c>
      <c r="Y249" s="7"/>
      <c r="Z249" s="7"/>
      <c r="AA249" s="7">
        <f>IF(AND(Hypothèses!$B$12=1,Z249="Secondary_Source"),0,1)</f>
        <v>1</v>
      </c>
    </row>
    <row r="250" spans="1:27" x14ac:dyDescent="0.3">
      <c r="A250" s="7" t="s">
        <v>520</v>
      </c>
      <c r="B250" s="7" t="s">
        <v>78</v>
      </c>
      <c r="C250" s="7" t="s">
        <v>108</v>
      </c>
      <c r="D250" s="7" t="s">
        <v>465</v>
      </c>
      <c r="E250" s="7" t="s">
        <v>245</v>
      </c>
      <c r="F250" s="7" t="s">
        <v>258</v>
      </c>
      <c r="G250" s="17">
        <v>282.10412500000001</v>
      </c>
      <c r="H250" s="17">
        <v>466.49096153846199</v>
      </c>
      <c r="I250" s="17">
        <v>729.05182692307699</v>
      </c>
      <c r="J250" s="7" t="s">
        <v>247</v>
      </c>
      <c r="K250" s="7">
        <v>2027</v>
      </c>
      <c r="L250" s="7" t="str">
        <f>IF(Y250&lt;&gt;"",Y250,IF(AND(K250&gt;=Hypothèses!$B$9,K250&lt;=Hypothèses!$B$10),"actuel",IF(K250=2030,"2030",IF(K250=2050,"2050","autre"))))</f>
        <v>autre</v>
      </c>
      <c r="M250" s="7"/>
      <c r="N250" s="7" t="s">
        <v>248</v>
      </c>
      <c r="O250" s="7"/>
      <c r="P250" s="7" t="s">
        <v>295</v>
      </c>
      <c r="Q250" s="7" t="s">
        <v>49</v>
      </c>
      <c r="R250" s="14">
        <f>INDEX(Hypothèses!$B$14:$B$22,MATCH(Q250,Hypothèses!$A$14:$A$22,0))</f>
        <v>1</v>
      </c>
      <c r="S250" s="17">
        <f t="shared" si="9"/>
        <v>282.10412500000001</v>
      </c>
      <c r="T250" s="17">
        <f t="shared" si="10"/>
        <v>466.49096153846199</v>
      </c>
      <c r="U250" s="17">
        <f t="shared" si="11"/>
        <v>729.05182692307699</v>
      </c>
      <c r="V250" s="7" t="s">
        <v>247</v>
      </c>
      <c r="W250" s="7" t="s">
        <v>84</v>
      </c>
      <c r="X250" s="7" t="s">
        <v>250</v>
      </c>
      <c r="Y250" s="7"/>
      <c r="Z250" s="7"/>
      <c r="AA250" s="7">
        <f>IF(AND(Hypothèses!$B$12=1,Z250="Secondary_Source"),0,1)</f>
        <v>1</v>
      </c>
    </row>
    <row r="251" spans="1:27" x14ac:dyDescent="0.3">
      <c r="A251" s="7" t="s">
        <v>521</v>
      </c>
      <c r="B251" s="7" t="s">
        <v>78</v>
      </c>
      <c r="C251" s="7" t="s">
        <v>108</v>
      </c>
      <c r="D251" s="7" t="s">
        <v>465</v>
      </c>
      <c r="E251" s="7" t="s">
        <v>245</v>
      </c>
      <c r="F251" s="7" t="s">
        <v>258</v>
      </c>
      <c r="G251" s="17">
        <v>247.265365384615</v>
      </c>
      <c r="H251" s="17">
        <v>426.55469230769199</v>
      </c>
      <c r="I251" s="17">
        <v>701.01106730769197</v>
      </c>
      <c r="J251" s="7" t="s">
        <v>247</v>
      </c>
      <c r="K251" s="7">
        <v>2028</v>
      </c>
      <c r="L251" s="7" t="str">
        <f>IF(Y251&lt;&gt;"",Y251,IF(AND(K251&gt;=Hypothèses!$B$9,K251&lt;=Hypothèses!$B$10),"actuel",IF(K251=2030,"2030",IF(K251=2050,"2050","autre"))))</f>
        <v>autre</v>
      </c>
      <c r="M251" s="7"/>
      <c r="N251" s="7" t="s">
        <v>248</v>
      </c>
      <c r="O251" s="7"/>
      <c r="P251" s="7" t="s">
        <v>295</v>
      </c>
      <c r="Q251" s="7" t="s">
        <v>49</v>
      </c>
      <c r="R251" s="14">
        <f>INDEX(Hypothèses!$B$14:$B$22,MATCH(Q251,Hypothèses!$A$14:$A$22,0))</f>
        <v>1</v>
      </c>
      <c r="S251" s="17">
        <f t="shared" si="9"/>
        <v>247.265365384615</v>
      </c>
      <c r="T251" s="17">
        <f t="shared" si="10"/>
        <v>426.55469230769199</v>
      </c>
      <c r="U251" s="17">
        <f t="shared" si="11"/>
        <v>701.01106730769197</v>
      </c>
      <c r="V251" s="7" t="s">
        <v>247</v>
      </c>
      <c r="W251" s="7" t="s">
        <v>84</v>
      </c>
      <c r="X251" s="7" t="s">
        <v>250</v>
      </c>
      <c r="Y251" s="7"/>
      <c r="Z251" s="7"/>
      <c r="AA251" s="7">
        <f>IF(AND(Hypothèses!$B$12=1,Z251="Secondary_Source"),0,1)</f>
        <v>1</v>
      </c>
    </row>
    <row r="252" spans="1:27" x14ac:dyDescent="0.3">
      <c r="A252" s="7" t="s">
        <v>522</v>
      </c>
      <c r="B252" s="7" t="s">
        <v>78</v>
      </c>
      <c r="C252" s="7" t="s">
        <v>108</v>
      </c>
      <c r="D252" s="7" t="s">
        <v>465</v>
      </c>
      <c r="E252" s="7" t="s">
        <v>245</v>
      </c>
      <c r="F252" s="7" t="s">
        <v>258</v>
      </c>
      <c r="G252" s="17">
        <v>221.774846153846</v>
      </c>
      <c r="H252" s="17">
        <v>392.566673076923</v>
      </c>
      <c r="I252" s="17">
        <v>680.61805769230796</v>
      </c>
      <c r="J252" s="7" t="s">
        <v>247</v>
      </c>
      <c r="K252" s="7">
        <v>2029</v>
      </c>
      <c r="L252" s="7" t="str">
        <f>IF(Y252&lt;&gt;"",Y252,IF(AND(K252&gt;=Hypothèses!$B$9,K252&lt;=Hypothèses!$B$10),"actuel",IF(K252=2030,"2030",IF(K252=2050,"2050","autre"))))</f>
        <v>autre</v>
      </c>
      <c r="M252" s="7"/>
      <c r="N252" s="7" t="s">
        <v>248</v>
      </c>
      <c r="O252" s="7"/>
      <c r="P252" s="7" t="s">
        <v>295</v>
      </c>
      <c r="Q252" s="7" t="s">
        <v>49</v>
      </c>
      <c r="R252" s="14">
        <f>INDEX(Hypothèses!$B$14:$B$22,MATCH(Q252,Hypothèses!$A$14:$A$22,0))</f>
        <v>1</v>
      </c>
      <c r="S252" s="17">
        <f t="shared" si="9"/>
        <v>221.774846153846</v>
      </c>
      <c r="T252" s="17">
        <f t="shared" si="10"/>
        <v>392.566673076923</v>
      </c>
      <c r="U252" s="17">
        <f t="shared" si="11"/>
        <v>680.61805769230796</v>
      </c>
      <c r="V252" s="7" t="s">
        <v>247</v>
      </c>
      <c r="W252" s="7" t="s">
        <v>84</v>
      </c>
      <c r="X252" s="7" t="s">
        <v>250</v>
      </c>
      <c r="Y252" s="7"/>
      <c r="Z252" s="7"/>
      <c r="AA252" s="7">
        <f>IF(AND(Hypothèses!$B$12=1,Z252="Secondary_Source"),0,1)</f>
        <v>1</v>
      </c>
    </row>
    <row r="253" spans="1:27" x14ac:dyDescent="0.3">
      <c r="A253" s="7" t="s">
        <v>523</v>
      </c>
      <c r="B253" s="7" t="s">
        <v>78</v>
      </c>
      <c r="C253" s="7" t="s">
        <v>108</v>
      </c>
      <c r="D253" s="7" t="s">
        <v>465</v>
      </c>
      <c r="E253" s="7" t="s">
        <v>245</v>
      </c>
      <c r="F253" s="7" t="s">
        <v>258</v>
      </c>
      <c r="G253" s="17">
        <v>197.13308653846201</v>
      </c>
      <c r="H253" s="17">
        <v>361.12691346153798</v>
      </c>
      <c r="I253" s="17">
        <v>655.97629807692294</v>
      </c>
      <c r="J253" s="7" t="s">
        <v>247</v>
      </c>
      <c r="K253" s="7">
        <v>2030</v>
      </c>
      <c r="L253" s="7" t="str">
        <f>IF(Y253&lt;&gt;"",Y253,IF(AND(K253&gt;=Hypothèses!$B$9,K253&lt;=Hypothèses!$B$10),"actuel",IF(K253=2030,"2030",IF(K253=2050,"2050","autre"))))</f>
        <v>2030</v>
      </c>
      <c r="M253" s="7"/>
      <c r="N253" s="7" t="s">
        <v>248</v>
      </c>
      <c r="O253" s="7"/>
      <c r="P253" s="7" t="s">
        <v>295</v>
      </c>
      <c r="Q253" s="7" t="s">
        <v>49</v>
      </c>
      <c r="R253" s="14">
        <f>INDEX(Hypothèses!$B$14:$B$22,MATCH(Q253,Hypothèses!$A$14:$A$22,0))</f>
        <v>1</v>
      </c>
      <c r="S253" s="17">
        <f t="shared" si="9"/>
        <v>197.13308653846201</v>
      </c>
      <c r="T253" s="17">
        <f t="shared" si="10"/>
        <v>361.12691346153798</v>
      </c>
      <c r="U253" s="17">
        <f t="shared" si="11"/>
        <v>655.97629807692294</v>
      </c>
      <c r="V253" s="7" t="s">
        <v>247</v>
      </c>
      <c r="W253" s="7" t="s">
        <v>84</v>
      </c>
      <c r="X253" s="7" t="s">
        <v>250</v>
      </c>
      <c r="Y253" s="7"/>
      <c r="Z253" s="7"/>
      <c r="AA253" s="7">
        <f>IF(AND(Hypothèses!$B$12=1,Z253="Secondary_Source"),0,1)</f>
        <v>1</v>
      </c>
    </row>
    <row r="254" spans="1:27" x14ac:dyDescent="0.3">
      <c r="A254" s="7" t="s">
        <v>524</v>
      </c>
      <c r="B254" s="7" t="s">
        <v>78</v>
      </c>
      <c r="C254" s="7" t="s">
        <v>108</v>
      </c>
      <c r="D254" s="7" t="s">
        <v>465</v>
      </c>
      <c r="E254" s="7" t="s">
        <v>245</v>
      </c>
      <c r="F254" s="7" t="s">
        <v>258</v>
      </c>
      <c r="G254" s="17">
        <v>175.890326923077</v>
      </c>
      <c r="H254" s="17">
        <v>333.93590384615402</v>
      </c>
      <c r="I254" s="17">
        <v>635.58328846153904</v>
      </c>
      <c r="J254" s="7" t="s">
        <v>247</v>
      </c>
      <c r="K254" s="7">
        <v>2031</v>
      </c>
      <c r="L254" s="7" t="str">
        <f>IF(Y254&lt;&gt;"",Y254,IF(AND(K254&gt;=Hypothèses!$B$9,K254&lt;=Hypothèses!$B$10),"actuel",IF(K254=2030,"2030",IF(K254=2050,"2050","autre"))))</f>
        <v>autre</v>
      </c>
      <c r="M254" s="7"/>
      <c r="N254" s="7" t="s">
        <v>248</v>
      </c>
      <c r="O254" s="7"/>
      <c r="P254" s="7" t="s">
        <v>295</v>
      </c>
      <c r="Q254" s="7" t="s">
        <v>49</v>
      </c>
      <c r="R254" s="14">
        <f>INDEX(Hypothèses!$B$14:$B$22,MATCH(Q254,Hypothèses!$A$14:$A$22,0))</f>
        <v>1</v>
      </c>
      <c r="S254" s="17">
        <f t="shared" si="9"/>
        <v>175.890326923077</v>
      </c>
      <c r="T254" s="17">
        <f t="shared" si="10"/>
        <v>333.93590384615402</v>
      </c>
      <c r="U254" s="17">
        <f t="shared" si="11"/>
        <v>635.58328846153904</v>
      </c>
      <c r="V254" s="7" t="s">
        <v>247</v>
      </c>
      <c r="W254" s="7" t="s">
        <v>84</v>
      </c>
      <c r="X254" s="7" t="s">
        <v>250</v>
      </c>
      <c r="Y254" s="7"/>
      <c r="Z254" s="7"/>
      <c r="AA254" s="7">
        <f>IF(AND(Hypothèses!$B$12=1,Z254="Secondary_Source"),0,1)</f>
        <v>1</v>
      </c>
    </row>
    <row r="255" spans="1:27" x14ac:dyDescent="0.3">
      <c r="A255" s="7" t="s">
        <v>525</v>
      </c>
      <c r="B255" s="7" t="s">
        <v>78</v>
      </c>
      <c r="C255" s="7" t="s">
        <v>108</v>
      </c>
      <c r="D255" s="7" t="s">
        <v>465</v>
      </c>
      <c r="E255" s="7" t="s">
        <v>245</v>
      </c>
      <c r="F255" s="7" t="s">
        <v>258</v>
      </c>
      <c r="G255" s="17">
        <v>157.19681730769199</v>
      </c>
      <c r="H255" s="17">
        <v>310.14389423076898</v>
      </c>
      <c r="I255" s="17">
        <v>620.28877884615395</v>
      </c>
      <c r="J255" s="7" t="s">
        <v>247</v>
      </c>
      <c r="K255" s="7">
        <v>2032</v>
      </c>
      <c r="L255" s="7" t="str">
        <f>IF(Y255&lt;&gt;"",Y255,IF(AND(K255&gt;=Hypothèses!$B$9,K255&lt;=Hypothèses!$B$10),"actuel",IF(K255=2030,"2030",IF(K255=2050,"2050","autre"))))</f>
        <v>autre</v>
      </c>
      <c r="M255" s="7"/>
      <c r="N255" s="7" t="s">
        <v>248</v>
      </c>
      <c r="O255" s="7"/>
      <c r="P255" s="7" t="s">
        <v>295</v>
      </c>
      <c r="Q255" s="7" t="s">
        <v>49</v>
      </c>
      <c r="R255" s="14">
        <f>INDEX(Hypothèses!$B$14:$B$22,MATCH(Q255,Hypothèses!$A$14:$A$22,0))</f>
        <v>1</v>
      </c>
      <c r="S255" s="17">
        <f t="shared" si="9"/>
        <v>157.19681730769199</v>
      </c>
      <c r="T255" s="17">
        <f t="shared" si="10"/>
        <v>310.14389423076898</v>
      </c>
      <c r="U255" s="17">
        <f t="shared" si="11"/>
        <v>620.28877884615395</v>
      </c>
      <c r="V255" s="7" t="s">
        <v>247</v>
      </c>
      <c r="W255" s="7" t="s">
        <v>84</v>
      </c>
      <c r="X255" s="7" t="s">
        <v>250</v>
      </c>
      <c r="Y255" s="7"/>
      <c r="Z255" s="7"/>
      <c r="AA255" s="7">
        <f>IF(AND(Hypothèses!$B$12=1,Z255="Secondary_Source"),0,1)</f>
        <v>1</v>
      </c>
    </row>
    <row r="256" spans="1:27" x14ac:dyDescent="0.3">
      <c r="A256" s="7" t="s">
        <v>526</v>
      </c>
      <c r="B256" s="7" t="s">
        <v>78</v>
      </c>
      <c r="C256" s="7" t="s">
        <v>108</v>
      </c>
      <c r="D256" s="7" t="s">
        <v>465</v>
      </c>
      <c r="E256" s="7" t="s">
        <v>245</v>
      </c>
      <c r="F256" s="7" t="s">
        <v>258</v>
      </c>
      <c r="G256" s="17">
        <v>141.05156730769201</v>
      </c>
      <c r="H256" s="17">
        <v>288.90113461538499</v>
      </c>
      <c r="I256" s="17">
        <v>605.84302884615397</v>
      </c>
      <c r="J256" s="7" t="s">
        <v>247</v>
      </c>
      <c r="K256" s="7">
        <v>2033</v>
      </c>
      <c r="L256" s="7" t="str">
        <f>IF(Y256&lt;&gt;"",Y256,IF(AND(K256&gt;=Hypothèses!$B$9,K256&lt;=Hypothèses!$B$10),"actuel",IF(K256=2030,"2030",IF(K256=2050,"2050","autre"))))</f>
        <v>autre</v>
      </c>
      <c r="M256" s="7"/>
      <c r="N256" s="7" t="s">
        <v>248</v>
      </c>
      <c r="O256" s="7"/>
      <c r="P256" s="7" t="s">
        <v>295</v>
      </c>
      <c r="Q256" s="7" t="s">
        <v>49</v>
      </c>
      <c r="R256" s="14">
        <f>INDEX(Hypothèses!$B$14:$B$22,MATCH(Q256,Hypothèses!$A$14:$A$22,0))</f>
        <v>1</v>
      </c>
      <c r="S256" s="17">
        <f t="shared" si="9"/>
        <v>141.05156730769201</v>
      </c>
      <c r="T256" s="17">
        <f t="shared" si="10"/>
        <v>288.90113461538499</v>
      </c>
      <c r="U256" s="17">
        <f t="shared" si="11"/>
        <v>605.84302884615397</v>
      </c>
      <c r="V256" s="7" t="s">
        <v>247</v>
      </c>
      <c r="W256" s="7" t="s">
        <v>84</v>
      </c>
      <c r="X256" s="7" t="s">
        <v>250</v>
      </c>
      <c r="Y256" s="7"/>
      <c r="Z256" s="7"/>
      <c r="AA256" s="7">
        <f>IF(AND(Hypothèses!$B$12=1,Z256="Secondary_Source"),0,1)</f>
        <v>1</v>
      </c>
    </row>
    <row r="257" spans="1:27" x14ac:dyDescent="0.3">
      <c r="A257" s="7" t="s">
        <v>527</v>
      </c>
      <c r="B257" s="7" t="s">
        <v>78</v>
      </c>
      <c r="C257" s="7" t="s">
        <v>108</v>
      </c>
      <c r="D257" s="7" t="s">
        <v>465</v>
      </c>
      <c r="E257" s="7" t="s">
        <v>245</v>
      </c>
      <c r="F257" s="7" t="s">
        <v>258</v>
      </c>
      <c r="G257" s="17">
        <v>129.156057692308</v>
      </c>
      <c r="H257" s="17">
        <v>270.20762500000001</v>
      </c>
      <c r="I257" s="17">
        <v>593.94751923076899</v>
      </c>
      <c r="J257" s="7" t="s">
        <v>247</v>
      </c>
      <c r="K257" s="7">
        <v>2034</v>
      </c>
      <c r="L257" s="7" t="str">
        <f>IF(Y257&lt;&gt;"",Y257,IF(AND(K257&gt;=Hypothèses!$B$9,K257&lt;=Hypothèses!$B$10),"actuel",IF(K257=2030,"2030",IF(K257=2050,"2050","autre"))))</f>
        <v>autre</v>
      </c>
      <c r="M257" s="7"/>
      <c r="N257" s="7" t="s">
        <v>248</v>
      </c>
      <c r="O257" s="7"/>
      <c r="P257" s="7" t="s">
        <v>295</v>
      </c>
      <c r="Q257" s="7" t="s">
        <v>49</v>
      </c>
      <c r="R257" s="14">
        <f>INDEX(Hypothèses!$B$14:$B$22,MATCH(Q257,Hypothèses!$A$14:$A$22,0))</f>
        <v>1</v>
      </c>
      <c r="S257" s="17">
        <f t="shared" si="9"/>
        <v>129.156057692308</v>
      </c>
      <c r="T257" s="17">
        <f t="shared" si="10"/>
        <v>270.20762500000001</v>
      </c>
      <c r="U257" s="17">
        <f t="shared" si="11"/>
        <v>593.94751923076899</v>
      </c>
      <c r="V257" s="7" t="s">
        <v>247</v>
      </c>
      <c r="W257" s="7" t="s">
        <v>84</v>
      </c>
      <c r="X257" s="7" t="s">
        <v>250</v>
      </c>
      <c r="Y257" s="7"/>
      <c r="Z257" s="7"/>
      <c r="AA257" s="7">
        <f>IF(AND(Hypothèses!$B$12=1,Z257="Secondary_Source"),0,1)</f>
        <v>1</v>
      </c>
    </row>
    <row r="258" spans="1:27" x14ac:dyDescent="0.3">
      <c r="A258" s="7" t="s">
        <v>528</v>
      </c>
      <c r="B258" s="7" t="s">
        <v>78</v>
      </c>
      <c r="C258" s="7" t="s">
        <v>108</v>
      </c>
      <c r="D258" s="7" t="s">
        <v>465</v>
      </c>
      <c r="E258" s="7" t="s">
        <v>245</v>
      </c>
      <c r="F258" s="7" t="s">
        <v>258</v>
      </c>
      <c r="G258" s="17">
        <v>117.25955769230799</v>
      </c>
      <c r="H258" s="17">
        <v>255.762865384615</v>
      </c>
      <c r="I258" s="17">
        <v>581.20225961538495</v>
      </c>
      <c r="J258" s="7" t="s">
        <v>247</v>
      </c>
      <c r="K258" s="7">
        <v>2035</v>
      </c>
      <c r="L258" s="7" t="str">
        <f>IF(Y258&lt;&gt;"",Y258,IF(AND(K258&gt;=Hypothèses!$B$9,K258&lt;=Hypothèses!$B$10),"actuel",IF(K258=2030,"2030",IF(K258=2050,"2050","autre"))))</f>
        <v>autre</v>
      </c>
      <c r="M258" s="7"/>
      <c r="N258" s="7" t="s">
        <v>248</v>
      </c>
      <c r="O258" s="7"/>
      <c r="P258" s="7" t="s">
        <v>295</v>
      </c>
      <c r="Q258" s="7" t="s">
        <v>49</v>
      </c>
      <c r="R258" s="14">
        <f>INDEX(Hypothèses!$B$14:$B$22,MATCH(Q258,Hypothèses!$A$14:$A$22,0))</f>
        <v>1</v>
      </c>
      <c r="S258" s="17">
        <f t="shared" ref="S258:S321" si="12">IF(G258="","",G258*R258)</f>
        <v>117.25955769230799</v>
      </c>
      <c r="T258" s="17">
        <f t="shared" ref="T258:T321" si="13">IF(H258="","",H258*R258)</f>
        <v>255.762865384615</v>
      </c>
      <c r="U258" s="17">
        <f t="shared" ref="U258:U321" si="14">IF(I258="","",I258*R258)</f>
        <v>581.20225961538495</v>
      </c>
      <c r="V258" s="7" t="s">
        <v>247</v>
      </c>
      <c r="W258" s="7" t="s">
        <v>84</v>
      </c>
      <c r="X258" s="7" t="s">
        <v>250</v>
      </c>
      <c r="Y258" s="7"/>
      <c r="Z258" s="7"/>
      <c r="AA258" s="7">
        <f>IF(AND(Hypothèses!$B$12=1,Z258="Secondary_Source"),0,1)</f>
        <v>1</v>
      </c>
    </row>
    <row r="259" spans="1:27" x14ac:dyDescent="0.3">
      <c r="A259" s="7" t="s">
        <v>529</v>
      </c>
      <c r="B259" s="7" t="s">
        <v>78</v>
      </c>
      <c r="C259" s="7" t="s">
        <v>108</v>
      </c>
      <c r="D259" s="7" t="s">
        <v>465</v>
      </c>
      <c r="E259" s="7" t="s">
        <v>245</v>
      </c>
      <c r="F259" s="7" t="s">
        <v>258</v>
      </c>
      <c r="G259" s="17">
        <v>105.364048076923</v>
      </c>
      <c r="H259" s="17">
        <v>243.01760576923101</v>
      </c>
      <c r="I259" s="17">
        <v>572.704759615385</v>
      </c>
      <c r="J259" s="7" t="s">
        <v>247</v>
      </c>
      <c r="K259" s="7">
        <v>2036</v>
      </c>
      <c r="L259" s="7" t="str">
        <f>IF(Y259&lt;&gt;"",Y259,IF(AND(K259&gt;=Hypothèses!$B$9,K259&lt;=Hypothèses!$B$10),"actuel",IF(K259=2030,"2030",IF(K259=2050,"2050","autre"))))</f>
        <v>autre</v>
      </c>
      <c r="M259" s="7"/>
      <c r="N259" s="7" t="s">
        <v>248</v>
      </c>
      <c r="O259" s="7"/>
      <c r="P259" s="7" t="s">
        <v>295</v>
      </c>
      <c r="Q259" s="7" t="s">
        <v>49</v>
      </c>
      <c r="R259" s="14">
        <f>INDEX(Hypothèses!$B$14:$B$22,MATCH(Q259,Hypothèses!$A$14:$A$22,0))</f>
        <v>1</v>
      </c>
      <c r="S259" s="17">
        <f t="shared" si="12"/>
        <v>105.364048076923</v>
      </c>
      <c r="T259" s="17">
        <f t="shared" si="13"/>
        <v>243.01760576923101</v>
      </c>
      <c r="U259" s="17">
        <f t="shared" si="14"/>
        <v>572.704759615385</v>
      </c>
      <c r="V259" s="7" t="s">
        <v>247</v>
      </c>
      <c r="W259" s="7" t="s">
        <v>84</v>
      </c>
      <c r="X259" s="7" t="s">
        <v>250</v>
      </c>
      <c r="Y259" s="7"/>
      <c r="Z259" s="7"/>
      <c r="AA259" s="7">
        <f>IF(AND(Hypothèses!$B$12=1,Z259="Secondary_Source"),0,1)</f>
        <v>1</v>
      </c>
    </row>
    <row r="260" spans="1:27" x14ac:dyDescent="0.3">
      <c r="A260" s="7" t="s">
        <v>530</v>
      </c>
      <c r="B260" s="7" t="s">
        <v>78</v>
      </c>
      <c r="C260" s="7" t="s">
        <v>108</v>
      </c>
      <c r="D260" s="7" t="s">
        <v>465</v>
      </c>
      <c r="E260" s="7" t="s">
        <v>245</v>
      </c>
      <c r="F260" s="7" t="s">
        <v>258</v>
      </c>
      <c r="G260" s="17">
        <v>96.866944230769207</v>
      </c>
      <c r="H260" s="17">
        <v>231.97085576923101</v>
      </c>
      <c r="I260" s="17">
        <v>563.35750961538497</v>
      </c>
      <c r="J260" s="7" t="s">
        <v>247</v>
      </c>
      <c r="K260" s="7">
        <v>2037</v>
      </c>
      <c r="L260" s="7" t="str">
        <f>IF(Y260&lt;&gt;"",Y260,IF(AND(K260&gt;=Hypothèses!$B$9,K260&lt;=Hypothèses!$B$10),"actuel",IF(K260=2030,"2030",IF(K260=2050,"2050","autre"))))</f>
        <v>autre</v>
      </c>
      <c r="M260" s="7"/>
      <c r="N260" s="7" t="s">
        <v>248</v>
      </c>
      <c r="O260" s="7"/>
      <c r="P260" s="7" t="s">
        <v>295</v>
      </c>
      <c r="Q260" s="7" t="s">
        <v>49</v>
      </c>
      <c r="R260" s="14">
        <f>INDEX(Hypothèses!$B$14:$B$22,MATCH(Q260,Hypothèses!$A$14:$A$22,0))</f>
        <v>1</v>
      </c>
      <c r="S260" s="17">
        <f t="shared" si="12"/>
        <v>96.866944230769207</v>
      </c>
      <c r="T260" s="17">
        <f t="shared" si="13"/>
        <v>231.97085576923101</v>
      </c>
      <c r="U260" s="17">
        <f t="shared" si="14"/>
        <v>563.35750961538497</v>
      </c>
      <c r="V260" s="7" t="s">
        <v>247</v>
      </c>
      <c r="W260" s="7" t="s">
        <v>84</v>
      </c>
      <c r="X260" s="7" t="s">
        <v>250</v>
      </c>
      <c r="Y260" s="7"/>
      <c r="Z260" s="7"/>
      <c r="AA260" s="7">
        <f>IF(AND(Hypothèses!$B$12=1,Z260="Secondary_Source"),0,1)</f>
        <v>1</v>
      </c>
    </row>
    <row r="261" spans="1:27" x14ac:dyDescent="0.3">
      <c r="A261" s="7" t="s">
        <v>531</v>
      </c>
      <c r="B261" s="7" t="s">
        <v>78</v>
      </c>
      <c r="C261" s="7" t="s">
        <v>108</v>
      </c>
      <c r="D261" s="7" t="s">
        <v>465</v>
      </c>
      <c r="E261" s="7" t="s">
        <v>245</v>
      </c>
      <c r="F261" s="7" t="s">
        <v>258</v>
      </c>
      <c r="G261" s="17">
        <v>90.918991346153902</v>
      </c>
      <c r="H261" s="17">
        <v>220.075346153846</v>
      </c>
      <c r="I261" s="17">
        <v>554.86099999999999</v>
      </c>
      <c r="J261" s="7" t="s">
        <v>247</v>
      </c>
      <c r="K261" s="7">
        <v>2038</v>
      </c>
      <c r="L261" s="7" t="str">
        <f>IF(Y261&lt;&gt;"",Y261,IF(AND(K261&gt;=Hypothèses!$B$9,K261&lt;=Hypothèses!$B$10),"actuel",IF(K261=2030,"2030",IF(K261=2050,"2050","autre"))))</f>
        <v>autre</v>
      </c>
      <c r="M261" s="7"/>
      <c r="N261" s="7" t="s">
        <v>248</v>
      </c>
      <c r="O261" s="7"/>
      <c r="P261" s="7" t="s">
        <v>295</v>
      </c>
      <c r="Q261" s="7" t="s">
        <v>49</v>
      </c>
      <c r="R261" s="14">
        <f>INDEX(Hypothèses!$B$14:$B$22,MATCH(Q261,Hypothèses!$A$14:$A$22,0))</f>
        <v>1</v>
      </c>
      <c r="S261" s="17">
        <f t="shared" si="12"/>
        <v>90.918991346153902</v>
      </c>
      <c r="T261" s="17">
        <f t="shared" si="13"/>
        <v>220.075346153846</v>
      </c>
      <c r="U261" s="17">
        <f t="shared" si="14"/>
        <v>554.86099999999999</v>
      </c>
      <c r="V261" s="7" t="s">
        <v>247</v>
      </c>
      <c r="W261" s="7" t="s">
        <v>84</v>
      </c>
      <c r="X261" s="7" t="s">
        <v>250</v>
      </c>
      <c r="Y261" s="7"/>
      <c r="Z261" s="7"/>
      <c r="AA261" s="7">
        <f>IF(AND(Hypothèses!$B$12=1,Z261="Secondary_Source"),0,1)</f>
        <v>1</v>
      </c>
    </row>
    <row r="262" spans="1:27" x14ac:dyDescent="0.3">
      <c r="A262" s="7" t="s">
        <v>532</v>
      </c>
      <c r="B262" s="7" t="s">
        <v>78</v>
      </c>
      <c r="C262" s="7" t="s">
        <v>108</v>
      </c>
      <c r="D262" s="7" t="s">
        <v>465</v>
      </c>
      <c r="E262" s="7" t="s">
        <v>245</v>
      </c>
      <c r="F262" s="7" t="s">
        <v>258</v>
      </c>
      <c r="G262" s="17">
        <v>84.121288461538498</v>
      </c>
      <c r="H262" s="17">
        <v>214.127096153846</v>
      </c>
      <c r="I262" s="17">
        <v>548.91274999999996</v>
      </c>
      <c r="J262" s="7" t="s">
        <v>247</v>
      </c>
      <c r="K262" s="7">
        <v>2039</v>
      </c>
      <c r="L262" s="7" t="str">
        <f>IF(Y262&lt;&gt;"",Y262,IF(AND(K262&gt;=Hypothèses!$B$9,K262&lt;=Hypothèses!$B$10),"actuel",IF(K262=2030,"2030",IF(K262=2050,"2050","autre"))))</f>
        <v>autre</v>
      </c>
      <c r="M262" s="7"/>
      <c r="N262" s="7" t="s">
        <v>248</v>
      </c>
      <c r="O262" s="7"/>
      <c r="P262" s="7" t="s">
        <v>295</v>
      </c>
      <c r="Q262" s="7" t="s">
        <v>49</v>
      </c>
      <c r="R262" s="14">
        <f>INDEX(Hypothèses!$B$14:$B$22,MATCH(Q262,Hypothèses!$A$14:$A$22,0))</f>
        <v>1</v>
      </c>
      <c r="S262" s="17">
        <f t="shared" si="12"/>
        <v>84.121288461538498</v>
      </c>
      <c r="T262" s="17">
        <f t="shared" si="13"/>
        <v>214.127096153846</v>
      </c>
      <c r="U262" s="17">
        <f t="shared" si="14"/>
        <v>548.91274999999996</v>
      </c>
      <c r="V262" s="7" t="s">
        <v>247</v>
      </c>
      <c r="W262" s="7" t="s">
        <v>84</v>
      </c>
      <c r="X262" s="7" t="s">
        <v>250</v>
      </c>
      <c r="Y262" s="7"/>
      <c r="Z262" s="7"/>
      <c r="AA262" s="7">
        <f>IF(AND(Hypothèses!$B$12=1,Z262="Secondary_Source"),0,1)</f>
        <v>1</v>
      </c>
    </row>
    <row r="263" spans="1:27" x14ac:dyDescent="0.3">
      <c r="A263" s="7" t="s">
        <v>533</v>
      </c>
      <c r="B263" s="7" t="s">
        <v>78</v>
      </c>
      <c r="C263" s="7" t="s">
        <v>108</v>
      </c>
      <c r="D263" s="7" t="s">
        <v>465</v>
      </c>
      <c r="E263" s="7" t="s">
        <v>245</v>
      </c>
      <c r="F263" s="7" t="s">
        <v>258</v>
      </c>
      <c r="G263" s="17">
        <v>79.872736538461595</v>
      </c>
      <c r="H263" s="17">
        <v>207.329096153846</v>
      </c>
      <c r="I263" s="17">
        <v>542.11474999999996</v>
      </c>
      <c r="J263" s="7" t="s">
        <v>247</v>
      </c>
      <c r="K263" s="7">
        <v>2040</v>
      </c>
      <c r="L263" s="7" t="str">
        <f>IF(Y263&lt;&gt;"",Y263,IF(AND(K263&gt;=Hypothèses!$B$9,K263&lt;=Hypothèses!$B$10),"actuel",IF(K263=2030,"2030",IF(K263=2050,"2050","autre"))))</f>
        <v>autre</v>
      </c>
      <c r="M263" s="7"/>
      <c r="N263" s="7" t="s">
        <v>248</v>
      </c>
      <c r="O263" s="7"/>
      <c r="P263" s="7" t="s">
        <v>295</v>
      </c>
      <c r="Q263" s="7" t="s">
        <v>49</v>
      </c>
      <c r="R263" s="14">
        <f>INDEX(Hypothèses!$B$14:$B$22,MATCH(Q263,Hypothèses!$A$14:$A$22,0))</f>
        <v>1</v>
      </c>
      <c r="S263" s="17">
        <f t="shared" si="12"/>
        <v>79.872736538461595</v>
      </c>
      <c r="T263" s="17">
        <f t="shared" si="13"/>
        <v>207.329096153846</v>
      </c>
      <c r="U263" s="17">
        <f t="shared" si="14"/>
        <v>542.11474999999996</v>
      </c>
      <c r="V263" s="7" t="s">
        <v>247</v>
      </c>
      <c r="W263" s="7" t="s">
        <v>84</v>
      </c>
      <c r="X263" s="7" t="s">
        <v>250</v>
      </c>
      <c r="Y263" s="7"/>
      <c r="Z263" s="7"/>
      <c r="AA263" s="7">
        <f>IF(AND(Hypothèses!$B$12=1,Z263="Secondary_Source"),0,1)</f>
        <v>1</v>
      </c>
    </row>
    <row r="264" spans="1:27" x14ac:dyDescent="0.3">
      <c r="A264" s="7" t="s">
        <v>534</v>
      </c>
      <c r="B264" s="7" t="s">
        <v>78</v>
      </c>
      <c r="C264" s="7" t="s">
        <v>108</v>
      </c>
      <c r="D264" s="7" t="s">
        <v>465</v>
      </c>
      <c r="E264" s="7" t="s">
        <v>245</v>
      </c>
      <c r="F264" s="7" t="s">
        <v>258</v>
      </c>
      <c r="G264" s="17">
        <v>74.774533653846206</v>
      </c>
      <c r="H264" s="17">
        <v>203.08034615384599</v>
      </c>
      <c r="I264" s="17">
        <v>536.16749038461603</v>
      </c>
      <c r="J264" s="7" t="s">
        <v>247</v>
      </c>
      <c r="K264" s="7">
        <v>2041</v>
      </c>
      <c r="L264" s="7" t="str">
        <f>IF(Y264&lt;&gt;"",Y264,IF(AND(K264&gt;=Hypothèses!$B$9,K264&lt;=Hypothèses!$B$10),"actuel",IF(K264=2030,"2030",IF(K264=2050,"2050","autre"))))</f>
        <v>autre</v>
      </c>
      <c r="M264" s="7"/>
      <c r="N264" s="7" t="s">
        <v>248</v>
      </c>
      <c r="O264" s="7"/>
      <c r="P264" s="7" t="s">
        <v>295</v>
      </c>
      <c r="Q264" s="7" t="s">
        <v>49</v>
      </c>
      <c r="R264" s="14">
        <f>INDEX(Hypothèses!$B$14:$B$22,MATCH(Q264,Hypothèses!$A$14:$A$22,0))</f>
        <v>1</v>
      </c>
      <c r="S264" s="17">
        <f t="shared" si="12"/>
        <v>74.774533653846206</v>
      </c>
      <c r="T264" s="17">
        <f t="shared" si="13"/>
        <v>203.08034615384599</v>
      </c>
      <c r="U264" s="17">
        <f t="shared" si="14"/>
        <v>536.16749038461603</v>
      </c>
      <c r="V264" s="7" t="s">
        <v>247</v>
      </c>
      <c r="W264" s="7" t="s">
        <v>84</v>
      </c>
      <c r="X264" s="7" t="s">
        <v>250</v>
      </c>
      <c r="Y264" s="7"/>
      <c r="Z264" s="7"/>
      <c r="AA264" s="7">
        <f>IF(AND(Hypothèses!$B$12=1,Z264="Secondary_Source"),0,1)</f>
        <v>1</v>
      </c>
    </row>
    <row r="265" spans="1:27" x14ac:dyDescent="0.3">
      <c r="A265" s="7" t="s">
        <v>535</v>
      </c>
      <c r="B265" s="7" t="s">
        <v>78</v>
      </c>
      <c r="C265" s="7" t="s">
        <v>108</v>
      </c>
      <c r="D265" s="7" t="s">
        <v>465</v>
      </c>
      <c r="E265" s="7" t="s">
        <v>245</v>
      </c>
      <c r="F265" s="7" t="s">
        <v>258</v>
      </c>
      <c r="G265" s="17">
        <v>73.075132692307704</v>
      </c>
      <c r="H265" s="17">
        <v>197.98283653846201</v>
      </c>
      <c r="I265" s="17">
        <v>530.21924038461498</v>
      </c>
      <c r="J265" s="7" t="s">
        <v>247</v>
      </c>
      <c r="K265" s="7">
        <v>2042</v>
      </c>
      <c r="L265" s="7" t="str">
        <f>IF(Y265&lt;&gt;"",Y265,IF(AND(K265&gt;=Hypothèses!$B$9,K265&lt;=Hypothèses!$B$10),"actuel",IF(K265=2030,"2030",IF(K265=2050,"2050","autre"))))</f>
        <v>autre</v>
      </c>
      <c r="M265" s="7"/>
      <c r="N265" s="7" t="s">
        <v>248</v>
      </c>
      <c r="O265" s="7"/>
      <c r="P265" s="7" t="s">
        <v>295</v>
      </c>
      <c r="Q265" s="7" t="s">
        <v>49</v>
      </c>
      <c r="R265" s="14">
        <f>INDEX(Hypothèses!$B$14:$B$22,MATCH(Q265,Hypothèses!$A$14:$A$22,0))</f>
        <v>1</v>
      </c>
      <c r="S265" s="17">
        <f t="shared" si="12"/>
        <v>73.075132692307704</v>
      </c>
      <c r="T265" s="17">
        <f t="shared" si="13"/>
        <v>197.98283653846201</v>
      </c>
      <c r="U265" s="17">
        <f t="shared" si="14"/>
        <v>530.21924038461498</v>
      </c>
      <c r="V265" s="7" t="s">
        <v>247</v>
      </c>
      <c r="W265" s="7" t="s">
        <v>84</v>
      </c>
      <c r="X265" s="7" t="s">
        <v>250</v>
      </c>
      <c r="Y265" s="7"/>
      <c r="Z265" s="7"/>
      <c r="AA265" s="7">
        <f>IF(AND(Hypothèses!$B$12=1,Z265="Secondary_Source"),0,1)</f>
        <v>1</v>
      </c>
    </row>
    <row r="266" spans="1:27" x14ac:dyDescent="0.3">
      <c r="A266" s="7" t="s">
        <v>536</v>
      </c>
      <c r="B266" s="7" t="s">
        <v>78</v>
      </c>
      <c r="C266" s="7" t="s">
        <v>108</v>
      </c>
      <c r="D266" s="7" t="s">
        <v>465</v>
      </c>
      <c r="E266" s="7" t="s">
        <v>245</v>
      </c>
      <c r="F266" s="7" t="s">
        <v>258</v>
      </c>
      <c r="G266" s="17">
        <v>67.976830769230801</v>
      </c>
      <c r="H266" s="17">
        <v>192.88433653846201</v>
      </c>
      <c r="I266" s="17">
        <v>524.27099038461495</v>
      </c>
      <c r="J266" s="7" t="s">
        <v>247</v>
      </c>
      <c r="K266" s="7">
        <v>2043</v>
      </c>
      <c r="L266" s="7" t="str">
        <f>IF(Y266&lt;&gt;"",Y266,IF(AND(K266&gt;=Hypothèses!$B$9,K266&lt;=Hypothèses!$B$10),"actuel",IF(K266=2030,"2030",IF(K266=2050,"2050","autre"))))</f>
        <v>autre</v>
      </c>
      <c r="M266" s="7"/>
      <c r="N266" s="7" t="s">
        <v>248</v>
      </c>
      <c r="O266" s="7"/>
      <c r="P266" s="7" t="s">
        <v>295</v>
      </c>
      <c r="Q266" s="7" t="s">
        <v>49</v>
      </c>
      <c r="R266" s="14">
        <f>INDEX(Hypothèses!$B$14:$B$22,MATCH(Q266,Hypothèses!$A$14:$A$22,0))</f>
        <v>1</v>
      </c>
      <c r="S266" s="17">
        <f t="shared" si="12"/>
        <v>67.976830769230801</v>
      </c>
      <c r="T266" s="17">
        <f t="shared" si="13"/>
        <v>192.88433653846201</v>
      </c>
      <c r="U266" s="17">
        <f t="shared" si="14"/>
        <v>524.27099038461495</v>
      </c>
      <c r="V266" s="7" t="s">
        <v>247</v>
      </c>
      <c r="W266" s="7" t="s">
        <v>84</v>
      </c>
      <c r="X266" s="7" t="s">
        <v>250</v>
      </c>
      <c r="Y266" s="7"/>
      <c r="Z266" s="7"/>
      <c r="AA266" s="7">
        <f>IF(AND(Hypothèses!$B$12=1,Z266="Secondary_Source"),0,1)</f>
        <v>1</v>
      </c>
    </row>
    <row r="267" spans="1:27" x14ac:dyDescent="0.3">
      <c r="A267" s="7" t="s">
        <v>537</v>
      </c>
      <c r="B267" s="7" t="s">
        <v>78</v>
      </c>
      <c r="C267" s="7" t="s">
        <v>108</v>
      </c>
      <c r="D267" s="7" t="s">
        <v>465</v>
      </c>
      <c r="E267" s="7" t="s">
        <v>245</v>
      </c>
      <c r="F267" s="7" t="s">
        <v>258</v>
      </c>
      <c r="G267" s="17">
        <v>65.4276798076923</v>
      </c>
      <c r="H267" s="17">
        <v>188.63558653846201</v>
      </c>
      <c r="I267" s="17">
        <v>519.17348076923099</v>
      </c>
      <c r="J267" s="7" t="s">
        <v>247</v>
      </c>
      <c r="K267" s="7">
        <v>2044</v>
      </c>
      <c r="L267" s="7" t="str">
        <f>IF(Y267&lt;&gt;"",Y267,IF(AND(K267&gt;=Hypothèses!$B$9,K267&lt;=Hypothèses!$B$10),"actuel",IF(K267=2030,"2030",IF(K267=2050,"2050","autre"))))</f>
        <v>autre</v>
      </c>
      <c r="M267" s="7"/>
      <c r="N267" s="7" t="s">
        <v>248</v>
      </c>
      <c r="O267" s="7"/>
      <c r="P267" s="7" t="s">
        <v>295</v>
      </c>
      <c r="Q267" s="7" t="s">
        <v>49</v>
      </c>
      <c r="R267" s="14">
        <f>INDEX(Hypothèses!$B$14:$B$22,MATCH(Q267,Hypothèses!$A$14:$A$22,0))</f>
        <v>1</v>
      </c>
      <c r="S267" s="17">
        <f t="shared" si="12"/>
        <v>65.4276798076923</v>
      </c>
      <c r="T267" s="17">
        <f t="shared" si="13"/>
        <v>188.63558653846201</v>
      </c>
      <c r="U267" s="17">
        <f t="shared" si="14"/>
        <v>519.17348076923099</v>
      </c>
      <c r="V267" s="7" t="s">
        <v>247</v>
      </c>
      <c r="W267" s="7" t="s">
        <v>84</v>
      </c>
      <c r="X267" s="7" t="s">
        <v>250</v>
      </c>
      <c r="Y267" s="7"/>
      <c r="Z267" s="7"/>
      <c r="AA267" s="7">
        <f>IF(AND(Hypothèses!$B$12=1,Z267="Secondary_Source"),0,1)</f>
        <v>1</v>
      </c>
    </row>
    <row r="268" spans="1:27" x14ac:dyDescent="0.3">
      <c r="A268" s="7" t="s">
        <v>538</v>
      </c>
      <c r="B268" s="7" t="s">
        <v>78</v>
      </c>
      <c r="C268" s="7" t="s">
        <v>108</v>
      </c>
      <c r="D268" s="7" t="s">
        <v>465</v>
      </c>
      <c r="E268" s="7" t="s">
        <v>245</v>
      </c>
      <c r="F268" s="7" t="s">
        <v>258</v>
      </c>
      <c r="G268" s="17">
        <v>63.728278846153799</v>
      </c>
      <c r="H268" s="17">
        <v>185.23658653846201</v>
      </c>
      <c r="I268" s="17">
        <v>516.62423076923096</v>
      </c>
      <c r="J268" s="7" t="s">
        <v>247</v>
      </c>
      <c r="K268" s="7">
        <v>2045</v>
      </c>
      <c r="L268" s="7" t="str">
        <f>IF(Y268&lt;&gt;"",Y268,IF(AND(K268&gt;=Hypothèses!$B$9,K268&lt;=Hypothèses!$B$10),"actuel",IF(K268=2030,"2030",IF(K268=2050,"2050","autre"))))</f>
        <v>autre</v>
      </c>
      <c r="M268" s="7"/>
      <c r="N268" s="7" t="s">
        <v>248</v>
      </c>
      <c r="O268" s="7"/>
      <c r="P268" s="7" t="s">
        <v>295</v>
      </c>
      <c r="Q268" s="7" t="s">
        <v>49</v>
      </c>
      <c r="R268" s="14">
        <f>INDEX(Hypothèses!$B$14:$B$22,MATCH(Q268,Hypothèses!$A$14:$A$22,0))</f>
        <v>1</v>
      </c>
      <c r="S268" s="17">
        <f t="shared" si="12"/>
        <v>63.728278846153799</v>
      </c>
      <c r="T268" s="17">
        <f t="shared" si="13"/>
        <v>185.23658653846201</v>
      </c>
      <c r="U268" s="17">
        <f t="shared" si="14"/>
        <v>516.62423076923096</v>
      </c>
      <c r="V268" s="7" t="s">
        <v>247</v>
      </c>
      <c r="W268" s="7" t="s">
        <v>84</v>
      </c>
      <c r="X268" s="7" t="s">
        <v>250</v>
      </c>
      <c r="Y268" s="7"/>
      <c r="Z268" s="7"/>
      <c r="AA268" s="7">
        <f>IF(AND(Hypothèses!$B$12=1,Z268="Secondary_Source"),0,1)</f>
        <v>1</v>
      </c>
    </row>
    <row r="269" spans="1:27" x14ac:dyDescent="0.3">
      <c r="A269" s="7" t="s">
        <v>539</v>
      </c>
      <c r="B269" s="7" t="s">
        <v>78</v>
      </c>
      <c r="C269" s="7" t="s">
        <v>108</v>
      </c>
      <c r="D269" s="7" t="s">
        <v>465</v>
      </c>
      <c r="E269" s="7" t="s">
        <v>245</v>
      </c>
      <c r="F269" s="7" t="s">
        <v>258</v>
      </c>
      <c r="G269" s="17">
        <v>62.028877884615397</v>
      </c>
      <c r="H269" s="17">
        <v>180.139076923077</v>
      </c>
      <c r="I269" s="17">
        <v>511.52573076923102</v>
      </c>
      <c r="J269" s="7" t="s">
        <v>247</v>
      </c>
      <c r="K269" s="7">
        <v>2046</v>
      </c>
      <c r="L269" s="7" t="str">
        <f>IF(Y269&lt;&gt;"",Y269,IF(AND(K269&gt;=Hypothèses!$B$9,K269&lt;=Hypothèses!$B$10),"actuel",IF(K269=2030,"2030",IF(K269=2050,"2050","autre"))))</f>
        <v>autre</v>
      </c>
      <c r="M269" s="7"/>
      <c r="N269" s="7" t="s">
        <v>248</v>
      </c>
      <c r="O269" s="7"/>
      <c r="P269" s="7" t="s">
        <v>295</v>
      </c>
      <c r="Q269" s="7" t="s">
        <v>49</v>
      </c>
      <c r="R269" s="14">
        <f>INDEX(Hypothèses!$B$14:$B$22,MATCH(Q269,Hypothèses!$A$14:$A$22,0))</f>
        <v>1</v>
      </c>
      <c r="S269" s="17">
        <f t="shared" si="12"/>
        <v>62.028877884615397</v>
      </c>
      <c r="T269" s="17">
        <f t="shared" si="13"/>
        <v>180.139076923077</v>
      </c>
      <c r="U269" s="17">
        <f t="shared" si="14"/>
        <v>511.52573076923102</v>
      </c>
      <c r="V269" s="7" t="s">
        <v>247</v>
      </c>
      <c r="W269" s="7" t="s">
        <v>84</v>
      </c>
      <c r="X269" s="7" t="s">
        <v>250</v>
      </c>
      <c r="Y269" s="7"/>
      <c r="Z269" s="7"/>
      <c r="AA269" s="7">
        <f>IF(AND(Hypothèses!$B$12=1,Z269="Secondary_Source"),0,1)</f>
        <v>1</v>
      </c>
    </row>
    <row r="270" spans="1:27" x14ac:dyDescent="0.3">
      <c r="A270" s="7" t="s">
        <v>540</v>
      </c>
      <c r="B270" s="7" t="s">
        <v>78</v>
      </c>
      <c r="C270" s="7" t="s">
        <v>108</v>
      </c>
      <c r="D270" s="7" t="s">
        <v>465</v>
      </c>
      <c r="E270" s="7" t="s">
        <v>245</v>
      </c>
      <c r="F270" s="7" t="s">
        <v>258</v>
      </c>
      <c r="G270" s="17">
        <v>60.329476923076903</v>
      </c>
      <c r="H270" s="17">
        <v>177.589826923077</v>
      </c>
      <c r="I270" s="17">
        <v>507.27698076923099</v>
      </c>
      <c r="J270" s="7" t="s">
        <v>247</v>
      </c>
      <c r="K270" s="7">
        <v>2047</v>
      </c>
      <c r="L270" s="7" t="str">
        <f>IF(Y270&lt;&gt;"",Y270,IF(AND(K270&gt;=Hypothèses!$B$9,K270&lt;=Hypothèses!$B$10),"actuel",IF(K270=2030,"2030",IF(K270=2050,"2050","autre"))))</f>
        <v>autre</v>
      </c>
      <c r="M270" s="7"/>
      <c r="N270" s="7" t="s">
        <v>248</v>
      </c>
      <c r="O270" s="7"/>
      <c r="P270" s="7" t="s">
        <v>295</v>
      </c>
      <c r="Q270" s="7" t="s">
        <v>49</v>
      </c>
      <c r="R270" s="14">
        <f>INDEX(Hypothèses!$B$14:$B$22,MATCH(Q270,Hypothèses!$A$14:$A$22,0))</f>
        <v>1</v>
      </c>
      <c r="S270" s="17">
        <f t="shared" si="12"/>
        <v>60.329476923076903</v>
      </c>
      <c r="T270" s="17">
        <f t="shared" si="13"/>
        <v>177.589826923077</v>
      </c>
      <c r="U270" s="17">
        <f t="shared" si="14"/>
        <v>507.27698076923099</v>
      </c>
      <c r="V270" s="7" t="s">
        <v>247</v>
      </c>
      <c r="W270" s="7" t="s">
        <v>84</v>
      </c>
      <c r="X270" s="7" t="s">
        <v>250</v>
      </c>
      <c r="Y270" s="7"/>
      <c r="Z270" s="7"/>
      <c r="AA270" s="7">
        <f>IF(AND(Hypothèses!$B$12=1,Z270="Secondary_Source"),0,1)</f>
        <v>1</v>
      </c>
    </row>
    <row r="271" spans="1:27" x14ac:dyDescent="0.3">
      <c r="A271" s="7" t="s">
        <v>541</v>
      </c>
      <c r="B271" s="7" t="s">
        <v>78</v>
      </c>
      <c r="C271" s="7" t="s">
        <v>108</v>
      </c>
      <c r="D271" s="7" t="s">
        <v>465</v>
      </c>
      <c r="E271" s="7" t="s">
        <v>245</v>
      </c>
      <c r="F271" s="7" t="s">
        <v>258</v>
      </c>
      <c r="G271" s="17">
        <v>58.629976923076903</v>
      </c>
      <c r="H271" s="17">
        <v>176.740076923077</v>
      </c>
      <c r="I271" s="17">
        <v>503.87798076923099</v>
      </c>
      <c r="J271" s="7" t="s">
        <v>247</v>
      </c>
      <c r="K271" s="7">
        <v>2048</v>
      </c>
      <c r="L271" s="7" t="str">
        <f>IF(Y271&lt;&gt;"",Y271,IF(AND(K271&gt;=Hypothèses!$B$9,K271&lt;=Hypothèses!$B$10),"actuel",IF(K271=2030,"2030",IF(K271=2050,"2050","autre"))))</f>
        <v>autre</v>
      </c>
      <c r="M271" s="7"/>
      <c r="N271" s="7" t="s">
        <v>248</v>
      </c>
      <c r="O271" s="7"/>
      <c r="P271" s="7" t="s">
        <v>295</v>
      </c>
      <c r="Q271" s="7" t="s">
        <v>49</v>
      </c>
      <c r="R271" s="14">
        <f>INDEX(Hypothèses!$B$14:$B$22,MATCH(Q271,Hypothèses!$A$14:$A$22,0))</f>
        <v>1</v>
      </c>
      <c r="S271" s="17">
        <f t="shared" si="12"/>
        <v>58.629976923076903</v>
      </c>
      <c r="T271" s="17">
        <f t="shared" si="13"/>
        <v>176.740076923077</v>
      </c>
      <c r="U271" s="17">
        <f t="shared" si="14"/>
        <v>503.87798076923099</v>
      </c>
      <c r="V271" s="7" t="s">
        <v>247</v>
      </c>
      <c r="W271" s="7" t="s">
        <v>84</v>
      </c>
      <c r="X271" s="7" t="s">
        <v>250</v>
      </c>
      <c r="Y271" s="7"/>
      <c r="Z271" s="7"/>
      <c r="AA271" s="7">
        <f>IF(AND(Hypothèses!$B$12=1,Z271="Secondary_Source"),0,1)</f>
        <v>1</v>
      </c>
    </row>
    <row r="272" spans="1:27" x14ac:dyDescent="0.3">
      <c r="A272" s="7" t="s">
        <v>542</v>
      </c>
      <c r="B272" s="7" t="s">
        <v>78</v>
      </c>
      <c r="C272" s="7" t="s">
        <v>108</v>
      </c>
      <c r="D272" s="7" t="s">
        <v>465</v>
      </c>
      <c r="E272" s="7" t="s">
        <v>245</v>
      </c>
      <c r="F272" s="7" t="s">
        <v>258</v>
      </c>
      <c r="G272" s="17">
        <v>57.780325961538502</v>
      </c>
      <c r="H272" s="17">
        <v>174.190826923077</v>
      </c>
      <c r="I272" s="17">
        <v>500.47898076923099</v>
      </c>
      <c r="J272" s="7" t="s">
        <v>247</v>
      </c>
      <c r="K272" s="7">
        <v>2049</v>
      </c>
      <c r="L272" s="7" t="str">
        <f>IF(Y272&lt;&gt;"",Y272,IF(AND(K272&gt;=Hypothèses!$B$9,K272&lt;=Hypothèses!$B$10),"actuel",IF(K272=2030,"2030",IF(K272=2050,"2050","autre"))))</f>
        <v>autre</v>
      </c>
      <c r="M272" s="7"/>
      <c r="N272" s="7" t="s">
        <v>248</v>
      </c>
      <c r="O272" s="7"/>
      <c r="P272" s="7" t="s">
        <v>295</v>
      </c>
      <c r="Q272" s="7" t="s">
        <v>49</v>
      </c>
      <c r="R272" s="14">
        <f>INDEX(Hypothèses!$B$14:$B$22,MATCH(Q272,Hypothèses!$A$14:$A$22,0))</f>
        <v>1</v>
      </c>
      <c r="S272" s="17">
        <f t="shared" si="12"/>
        <v>57.780325961538502</v>
      </c>
      <c r="T272" s="17">
        <f t="shared" si="13"/>
        <v>174.190826923077</v>
      </c>
      <c r="U272" s="17">
        <f t="shared" si="14"/>
        <v>500.47898076923099</v>
      </c>
      <c r="V272" s="7" t="s">
        <v>247</v>
      </c>
      <c r="W272" s="7" t="s">
        <v>84</v>
      </c>
      <c r="X272" s="7" t="s">
        <v>250</v>
      </c>
      <c r="Y272" s="7"/>
      <c r="Z272" s="7"/>
      <c r="AA272" s="7">
        <f>IF(AND(Hypothèses!$B$12=1,Z272="Secondary_Source"),0,1)</f>
        <v>1</v>
      </c>
    </row>
    <row r="273" spans="1:27" x14ac:dyDescent="0.3">
      <c r="A273" s="7" t="s">
        <v>543</v>
      </c>
      <c r="B273" s="7" t="s">
        <v>78</v>
      </c>
      <c r="C273" s="7" t="s">
        <v>108</v>
      </c>
      <c r="D273" s="7" t="s">
        <v>465</v>
      </c>
      <c r="E273" s="7" t="s">
        <v>245</v>
      </c>
      <c r="F273" s="7" t="s">
        <v>258</v>
      </c>
      <c r="G273" s="17">
        <v>56.080925000000001</v>
      </c>
      <c r="H273" s="17">
        <v>173.31730769230799</v>
      </c>
      <c r="I273" s="17">
        <v>496.23122115384598</v>
      </c>
      <c r="J273" s="7" t="s">
        <v>247</v>
      </c>
      <c r="K273" s="7">
        <v>2050</v>
      </c>
      <c r="L273" s="7" t="str">
        <f>IF(Y273&lt;&gt;"",Y273,IF(AND(K273&gt;=Hypothèses!$B$9,K273&lt;=Hypothèses!$B$10),"actuel",IF(K273=2030,"2030",IF(K273=2050,"2050","autre"))))</f>
        <v>2050</v>
      </c>
      <c r="M273" s="7"/>
      <c r="N273" s="7" t="s">
        <v>248</v>
      </c>
      <c r="O273" s="7"/>
      <c r="P273" s="7" t="s">
        <v>295</v>
      </c>
      <c r="Q273" s="7" t="s">
        <v>49</v>
      </c>
      <c r="R273" s="14">
        <f>INDEX(Hypothèses!$B$14:$B$22,MATCH(Q273,Hypothèses!$A$14:$A$22,0))</f>
        <v>1</v>
      </c>
      <c r="S273" s="17">
        <f t="shared" si="12"/>
        <v>56.080925000000001</v>
      </c>
      <c r="T273" s="17">
        <f t="shared" si="13"/>
        <v>173.31730769230799</v>
      </c>
      <c r="U273" s="17">
        <f t="shared" si="14"/>
        <v>496.23122115384598</v>
      </c>
      <c r="V273" s="7" t="s">
        <v>247</v>
      </c>
      <c r="W273" s="7" t="s">
        <v>84</v>
      </c>
      <c r="X273" s="7" t="s">
        <v>250</v>
      </c>
      <c r="Y273" s="7"/>
      <c r="Z273" s="7"/>
      <c r="AA273" s="7">
        <f>IF(AND(Hypothèses!$B$12=1,Z273="Secondary_Source"),0,1)</f>
        <v>1</v>
      </c>
    </row>
    <row r="274" spans="1:27" x14ac:dyDescent="0.3">
      <c r="A274" s="7" t="s">
        <v>544</v>
      </c>
      <c r="B274" s="7" t="s">
        <v>78</v>
      </c>
      <c r="C274" s="7" t="s">
        <v>114</v>
      </c>
      <c r="D274" s="7" t="s">
        <v>465</v>
      </c>
      <c r="E274" s="7" t="s">
        <v>245</v>
      </c>
      <c r="F274" s="7" t="s">
        <v>258</v>
      </c>
      <c r="G274" s="17"/>
      <c r="H274" s="17">
        <v>1025.8285000000001</v>
      </c>
      <c r="I274" s="17"/>
      <c r="J274" s="7" t="s">
        <v>247</v>
      </c>
      <c r="K274" s="7">
        <v>2020</v>
      </c>
      <c r="L274" s="7" t="str">
        <f>IF(Y274&lt;&gt;"",Y274,IF(AND(K274&gt;=Hypothèses!$B$9,K274&lt;=Hypothèses!$B$10),"actuel",IF(K274=2030,"2030",IF(K274=2050,"2050","autre"))))</f>
        <v>actuel</v>
      </c>
      <c r="M274" s="7"/>
      <c r="N274" s="7" t="s">
        <v>248</v>
      </c>
      <c r="O274" s="7"/>
      <c r="P274" s="7" t="s">
        <v>335</v>
      </c>
      <c r="Q274" s="7" t="s">
        <v>49</v>
      </c>
      <c r="R274" s="14">
        <f>INDEX(Hypothèses!$B$14:$B$22,MATCH(Q274,Hypothèses!$A$14:$A$22,0))</f>
        <v>1</v>
      </c>
      <c r="S274" s="17" t="str">
        <f t="shared" si="12"/>
        <v/>
      </c>
      <c r="T274" s="17">
        <f t="shared" si="13"/>
        <v>1025.8285000000001</v>
      </c>
      <c r="U274" s="17" t="str">
        <f t="shared" si="14"/>
        <v/>
      </c>
      <c r="V274" s="7" t="s">
        <v>247</v>
      </c>
      <c r="W274" s="7" t="s">
        <v>84</v>
      </c>
      <c r="X274" s="7" t="s">
        <v>250</v>
      </c>
      <c r="Y274" s="7"/>
      <c r="Z274" s="7"/>
      <c r="AA274" s="7">
        <f>IF(AND(Hypothèses!$B$12=1,Z274="Secondary_Source"),0,1)</f>
        <v>1</v>
      </c>
    </row>
    <row r="275" spans="1:27" x14ac:dyDescent="0.3">
      <c r="A275" s="7" t="s">
        <v>545</v>
      </c>
      <c r="B275" s="7" t="s">
        <v>78</v>
      </c>
      <c r="C275" s="7" t="s">
        <v>114</v>
      </c>
      <c r="D275" s="7" t="s">
        <v>465</v>
      </c>
      <c r="E275" s="7" t="s">
        <v>245</v>
      </c>
      <c r="F275" s="7" t="s">
        <v>258</v>
      </c>
      <c r="G275" s="17"/>
      <c r="H275" s="17">
        <v>606.17560000000003</v>
      </c>
      <c r="I275" s="17"/>
      <c r="J275" s="7" t="s">
        <v>247</v>
      </c>
      <c r="K275" s="7">
        <v>2030</v>
      </c>
      <c r="L275" s="7" t="str">
        <f>IF(Y275&lt;&gt;"",Y275,IF(AND(K275&gt;=Hypothèses!$B$9,K275&lt;=Hypothèses!$B$10),"actuel",IF(K275=2030,"2030",IF(K275=2050,"2050","autre"))))</f>
        <v>2030</v>
      </c>
      <c r="M275" s="7"/>
      <c r="N275" s="7" t="s">
        <v>248</v>
      </c>
      <c r="O275" s="7"/>
      <c r="P275" s="7" t="s">
        <v>335</v>
      </c>
      <c r="Q275" s="7" t="s">
        <v>49</v>
      </c>
      <c r="R275" s="14">
        <f>INDEX(Hypothèses!$B$14:$B$22,MATCH(Q275,Hypothèses!$A$14:$A$22,0))</f>
        <v>1</v>
      </c>
      <c r="S275" s="17" t="str">
        <f t="shared" si="12"/>
        <v/>
      </c>
      <c r="T275" s="17">
        <f t="shared" si="13"/>
        <v>606.17560000000003</v>
      </c>
      <c r="U275" s="17" t="str">
        <f t="shared" si="14"/>
        <v/>
      </c>
      <c r="V275" s="7" t="s">
        <v>247</v>
      </c>
      <c r="W275" s="7" t="s">
        <v>84</v>
      </c>
      <c r="X275" s="7" t="s">
        <v>250</v>
      </c>
      <c r="Y275" s="7"/>
      <c r="Z275" s="7"/>
      <c r="AA275" s="7">
        <f>IF(AND(Hypothèses!$B$12=1,Z275="Secondary_Source"),0,1)</f>
        <v>1</v>
      </c>
    </row>
    <row r="276" spans="1:27" x14ac:dyDescent="0.3">
      <c r="A276" s="7" t="s">
        <v>546</v>
      </c>
      <c r="B276" s="7" t="s">
        <v>78</v>
      </c>
      <c r="C276" s="7" t="s">
        <v>114</v>
      </c>
      <c r="D276" s="7" t="s">
        <v>465</v>
      </c>
      <c r="E276" s="7" t="s">
        <v>245</v>
      </c>
      <c r="F276" s="7" t="s">
        <v>258</v>
      </c>
      <c r="G276" s="17"/>
      <c r="H276" s="17">
        <v>186.51240000000001</v>
      </c>
      <c r="I276" s="17"/>
      <c r="J276" s="7" t="s">
        <v>247</v>
      </c>
      <c r="K276" s="7">
        <v>2050</v>
      </c>
      <c r="L276" s="7" t="str">
        <f>IF(Y276&lt;&gt;"",Y276,IF(AND(K276&gt;=Hypothèses!$B$9,K276&lt;=Hypothèses!$B$10),"actuel",IF(K276=2030,"2030",IF(K276=2050,"2050","autre"))))</f>
        <v>2050</v>
      </c>
      <c r="M276" s="7"/>
      <c r="N276" s="7" t="s">
        <v>248</v>
      </c>
      <c r="O276" s="7"/>
      <c r="P276" s="7" t="s">
        <v>335</v>
      </c>
      <c r="Q276" s="7" t="s">
        <v>49</v>
      </c>
      <c r="R276" s="14">
        <f>INDEX(Hypothèses!$B$14:$B$22,MATCH(Q276,Hypothèses!$A$14:$A$22,0))</f>
        <v>1</v>
      </c>
      <c r="S276" s="17" t="str">
        <f t="shared" si="12"/>
        <v/>
      </c>
      <c r="T276" s="17">
        <f t="shared" si="13"/>
        <v>186.51240000000001</v>
      </c>
      <c r="U276" s="17" t="str">
        <f t="shared" si="14"/>
        <v/>
      </c>
      <c r="V276" s="7" t="s">
        <v>247</v>
      </c>
      <c r="W276" s="7" t="s">
        <v>84</v>
      </c>
      <c r="X276" s="7" t="s">
        <v>250</v>
      </c>
      <c r="Y276" s="7"/>
      <c r="Z276" s="7"/>
      <c r="AA276" s="7">
        <f>IF(AND(Hypothèses!$B$12=1,Z276="Secondary_Source"),0,1)</f>
        <v>1</v>
      </c>
    </row>
    <row r="277" spans="1:27" x14ac:dyDescent="0.3">
      <c r="A277" s="7" t="s">
        <v>547</v>
      </c>
      <c r="B277" s="7" t="s">
        <v>78</v>
      </c>
      <c r="C277" s="7" t="s">
        <v>118</v>
      </c>
      <c r="D277" s="7" t="s">
        <v>465</v>
      </c>
      <c r="E277" s="7" t="s">
        <v>245</v>
      </c>
      <c r="F277" s="7" t="s">
        <v>258</v>
      </c>
      <c r="G277" s="17"/>
      <c r="H277" s="17">
        <v>1521.31</v>
      </c>
      <c r="I277" s="17"/>
      <c r="J277" s="7" t="s">
        <v>247</v>
      </c>
      <c r="K277" s="7">
        <v>2020</v>
      </c>
      <c r="L277" s="7" t="str">
        <f>IF(Y277&lt;&gt;"",Y277,IF(AND(K277&gt;=Hypothèses!$B$9,K277&lt;=Hypothèses!$B$10),"actuel",IF(K277=2030,"2030",IF(K277=2050,"2050","autre"))))</f>
        <v>actuel</v>
      </c>
      <c r="M277" s="7"/>
      <c r="N277" s="7" t="s">
        <v>248</v>
      </c>
      <c r="O277" s="7"/>
      <c r="P277" s="7" t="s">
        <v>339</v>
      </c>
      <c r="Q277" s="7" t="s">
        <v>49</v>
      </c>
      <c r="R277" s="14">
        <f>INDEX(Hypothèses!$B$14:$B$22,MATCH(Q277,Hypothèses!$A$14:$A$22,0))</f>
        <v>1</v>
      </c>
      <c r="S277" s="17" t="str">
        <f t="shared" si="12"/>
        <v/>
      </c>
      <c r="T277" s="17">
        <f t="shared" si="13"/>
        <v>1521.31</v>
      </c>
      <c r="U277" s="17" t="str">
        <f t="shared" si="14"/>
        <v/>
      </c>
      <c r="V277" s="7" t="s">
        <v>247</v>
      </c>
      <c r="W277" s="7" t="s">
        <v>84</v>
      </c>
      <c r="X277" s="7" t="s">
        <v>250</v>
      </c>
      <c r="Y277" s="7"/>
      <c r="Z277" s="7"/>
      <c r="AA277" s="7">
        <f>IF(AND(Hypothèses!$B$12=1,Z277="Secondary_Source"),0,1)</f>
        <v>1</v>
      </c>
    </row>
    <row r="278" spans="1:27" x14ac:dyDescent="0.3">
      <c r="A278" s="7" t="s">
        <v>548</v>
      </c>
      <c r="B278" s="7" t="s">
        <v>78</v>
      </c>
      <c r="C278" s="7" t="s">
        <v>118</v>
      </c>
      <c r="D278" s="7" t="s">
        <v>465</v>
      </c>
      <c r="E278" s="7" t="s">
        <v>245</v>
      </c>
      <c r="F278" s="7" t="s">
        <v>258</v>
      </c>
      <c r="G278" s="17"/>
      <c r="H278" s="17">
        <v>449.08</v>
      </c>
      <c r="I278" s="17"/>
      <c r="J278" s="7" t="s">
        <v>247</v>
      </c>
      <c r="K278" s="7">
        <v>2030</v>
      </c>
      <c r="L278" s="7" t="str">
        <f>IF(Y278&lt;&gt;"",Y278,IF(AND(K278&gt;=Hypothèses!$B$9,K278&lt;=Hypothèses!$B$10),"actuel",IF(K278=2030,"2030",IF(K278=2050,"2050","autre"))))</f>
        <v>2030</v>
      </c>
      <c r="M278" s="7"/>
      <c r="N278" s="7" t="s">
        <v>248</v>
      </c>
      <c r="O278" s="7"/>
      <c r="P278" s="7" t="s">
        <v>339</v>
      </c>
      <c r="Q278" s="7" t="s">
        <v>49</v>
      </c>
      <c r="R278" s="14">
        <f>INDEX(Hypothèses!$B$14:$B$22,MATCH(Q278,Hypothèses!$A$14:$A$22,0))</f>
        <v>1</v>
      </c>
      <c r="S278" s="17" t="str">
        <f t="shared" si="12"/>
        <v/>
      </c>
      <c r="T278" s="17">
        <f t="shared" si="13"/>
        <v>449.08</v>
      </c>
      <c r="U278" s="17" t="str">
        <f t="shared" si="14"/>
        <v/>
      </c>
      <c r="V278" s="7" t="s">
        <v>247</v>
      </c>
      <c r="W278" s="7" t="s">
        <v>84</v>
      </c>
      <c r="X278" s="7" t="s">
        <v>250</v>
      </c>
      <c r="Y278" s="7"/>
      <c r="Z278" s="7"/>
      <c r="AA278" s="7">
        <f>IF(AND(Hypothèses!$B$12=1,Z278="Secondary_Source"),0,1)</f>
        <v>1</v>
      </c>
    </row>
    <row r="279" spans="1:27" x14ac:dyDescent="0.3">
      <c r="A279" s="7" t="s">
        <v>549</v>
      </c>
      <c r="B279" s="7" t="s">
        <v>78</v>
      </c>
      <c r="C279" s="7" t="s">
        <v>118</v>
      </c>
      <c r="D279" s="7" t="s">
        <v>465</v>
      </c>
      <c r="E279" s="7" t="s">
        <v>245</v>
      </c>
      <c r="F279" s="7" t="s">
        <v>258</v>
      </c>
      <c r="G279" s="17"/>
      <c r="H279" s="17">
        <v>351.23</v>
      </c>
      <c r="I279" s="17"/>
      <c r="J279" s="7" t="s">
        <v>247</v>
      </c>
      <c r="K279" s="7">
        <v>2050</v>
      </c>
      <c r="L279" s="7" t="str">
        <f>IF(Y279&lt;&gt;"",Y279,IF(AND(K279&gt;=Hypothèses!$B$9,K279&lt;=Hypothèses!$B$10),"actuel",IF(K279=2030,"2030",IF(K279=2050,"2050","autre"))))</f>
        <v>2050</v>
      </c>
      <c r="M279" s="7"/>
      <c r="N279" s="7" t="s">
        <v>248</v>
      </c>
      <c r="O279" s="7"/>
      <c r="P279" s="7" t="s">
        <v>339</v>
      </c>
      <c r="Q279" s="7" t="s">
        <v>49</v>
      </c>
      <c r="R279" s="14">
        <f>INDEX(Hypothèses!$B$14:$B$22,MATCH(Q279,Hypothèses!$A$14:$A$22,0))</f>
        <v>1</v>
      </c>
      <c r="S279" s="17" t="str">
        <f t="shared" si="12"/>
        <v/>
      </c>
      <c r="T279" s="17">
        <f t="shared" si="13"/>
        <v>351.23</v>
      </c>
      <c r="U279" s="17" t="str">
        <f t="shared" si="14"/>
        <v/>
      </c>
      <c r="V279" s="7" t="s">
        <v>247</v>
      </c>
      <c r="W279" s="7" t="s">
        <v>84</v>
      </c>
      <c r="X279" s="7" t="s">
        <v>250</v>
      </c>
      <c r="Y279" s="7"/>
      <c r="Z279" s="7"/>
      <c r="AA279" s="7">
        <f>IF(AND(Hypothèses!$B$12=1,Z279="Secondary_Source"),0,1)</f>
        <v>1</v>
      </c>
    </row>
    <row r="280" spans="1:27" x14ac:dyDescent="0.3">
      <c r="A280" s="7" t="s">
        <v>550</v>
      </c>
      <c r="B280" s="7" t="s">
        <v>78</v>
      </c>
      <c r="C280" s="7" t="s">
        <v>120</v>
      </c>
      <c r="D280" s="7" t="s">
        <v>465</v>
      </c>
      <c r="E280" s="7" t="s">
        <v>245</v>
      </c>
      <c r="F280" s="7" t="s">
        <v>258</v>
      </c>
      <c r="G280" s="17"/>
      <c r="H280" s="17">
        <v>1811.3064999999999</v>
      </c>
      <c r="I280" s="17"/>
      <c r="J280" s="7" t="s">
        <v>247</v>
      </c>
      <c r="K280" s="7">
        <v>2020</v>
      </c>
      <c r="L280" s="7" t="str">
        <f>IF(Y280&lt;&gt;"",Y280,IF(AND(K280&gt;=Hypothèses!$B$9,K280&lt;=Hypothèses!$B$10),"actuel",IF(K280=2030,"2030",IF(K280=2050,"2050","autre"))))</f>
        <v>actuel</v>
      </c>
      <c r="M280" s="7"/>
      <c r="N280" s="7" t="s">
        <v>248</v>
      </c>
      <c r="O280" s="7"/>
      <c r="P280" s="7" t="s">
        <v>282</v>
      </c>
      <c r="Q280" s="7" t="s">
        <v>49</v>
      </c>
      <c r="R280" s="14">
        <f>INDEX(Hypothèses!$B$14:$B$22,MATCH(Q280,Hypothèses!$A$14:$A$22,0))</f>
        <v>1</v>
      </c>
      <c r="S280" s="17" t="str">
        <f t="shared" si="12"/>
        <v/>
      </c>
      <c r="T280" s="17">
        <f t="shared" si="13"/>
        <v>1811.3064999999999</v>
      </c>
      <c r="U280" s="17" t="str">
        <f t="shared" si="14"/>
        <v/>
      </c>
      <c r="V280" s="7" t="s">
        <v>247</v>
      </c>
      <c r="W280" s="7" t="s">
        <v>84</v>
      </c>
      <c r="X280" s="7" t="s">
        <v>250</v>
      </c>
      <c r="Y280" s="7"/>
      <c r="Z280" s="7"/>
      <c r="AA280" s="7">
        <f>IF(AND(Hypothèses!$B$12=1,Z280="Secondary_Source"),0,1)</f>
        <v>1</v>
      </c>
    </row>
    <row r="281" spans="1:27" x14ac:dyDescent="0.3">
      <c r="A281" s="7" t="s">
        <v>551</v>
      </c>
      <c r="B281" s="7" t="s">
        <v>78</v>
      </c>
      <c r="C281" s="7" t="s">
        <v>120</v>
      </c>
      <c r="D281" s="7" t="s">
        <v>465</v>
      </c>
      <c r="E281" s="7" t="s">
        <v>245</v>
      </c>
      <c r="F281" s="7" t="s">
        <v>258</v>
      </c>
      <c r="G281" s="17"/>
      <c r="H281" s="17">
        <v>600.72072000000003</v>
      </c>
      <c r="I281" s="17"/>
      <c r="J281" s="7" t="s">
        <v>247</v>
      </c>
      <c r="K281" s="7">
        <v>2025</v>
      </c>
      <c r="L281" s="7" t="str">
        <f>IF(Y281&lt;&gt;"",Y281,IF(AND(K281&gt;=Hypothèses!$B$9,K281&lt;=Hypothèses!$B$10),"actuel",IF(K281=2030,"2030",IF(K281=2050,"2050","autre"))))</f>
        <v>actuel</v>
      </c>
      <c r="M281" s="7"/>
      <c r="N281" s="7" t="s">
        <v>248</v>
      </c>
      <c r="O281" s="7"/>
      <c r="P281" s="7" t="s">
        <v>282</v>
      </c>
      <c r="Q281" s="7" t="s">
        <v>49</v>
      </c>
      <c r="R281" s="14">
        <f>INDEX(Hypothèses!$B$14:$B$22,MATCH(Q281,Hypothèses!$A$14:$A$22,0))</f>
        <v>1</v>
      </c>
      <c r="S281" s="17" t="str">
        <f t="shared" si="12"/>
        <v/>
      </c>
      <c r="T281" s="17">
        <f t="shared" si="13"/>
        <v>600.72072000000003</v>
      </c>
      <c r="U281" s="17" t="str">
        <f t="shared" si="14"/>
        <v/>
      </c>
      <c r="V281" s="7" t="s">
        <v>247</v>
      </c>
      <c r="W281" s="7" t="s">
        <v>84</v>
      </c>
      <c r="X281" s="7" t="s">
        <v>250</v>
      </c>
      <c r="Y281" s="7"/>
      <c r="Z281" s="7"/>
      <c r="AA281" s="7">
        <f>IF(AND(Hypothèses!$B$12=1,Z281="Secondary_Source"),0,1)</f>
        <v>1</v>
      </c>
    </row>
    <row r="282" spans="1:27" x14ac:dyDescent="0.3">
      <c r="A282" s="7" t="s">
        <v>552</v>
      </c>
      <c r="B282" s="7" t="s">
        <v>78</v>
      </c>
      <c r="C282" s="7" t="s">
        <v>120</v>
      </c>
      <c r="D282" s="7" t="s">
        <v>465</v>
      </c>
      <c r="E282" s="7" t="s">
        <v>245</v>
      </c>
      <c r="F282" s="7" t="s">
        <v>258</v>
      </c>
      <c r="G282" s="17"/>
      <c r="H282" s="17">
        <v>454.35154</v>
      </c>
      <c r="I282" s="17"/>
      <c r="J282" s="7" t="s">
        <v>247</v>
      </c>
      <c r="K282" s="7">
        <v>2030</v>
      </c>
      <c r="L282" s="7" t="str">
        <f>IF(Y282&lt;&gt;"",Y282,IF(AND(K282&gt;=Hypothèses!$B$9,K282&lt;=Hypothèses!$B$10),"actuel",IF(K282=2030,"2030",IF(K282=2050,"2050","autre"))))</f>
        <v>2030</v>
      </c>
      <c r="M282" s="7"/>
      <c r="N282" s="7" t="s">
        <v>248</v>
      </c>
      <c r="O282" s="7"/>
      <c r="P282" s="7" t="s">
        <v>282</v>
      </c>
      <c r="Q282" s="7" t="s">
        <v>49</v>
      </c>
      <c r="R282" s="14">
        <f>INDEX(Hypothèses!$B$14:$B$22,MATCH(Q282,Hypothèses!$A$14:$A$22,0))</f>
        <v>1</v>
      </c>
      <c r="S282" s="17" t="str">
        <f t="shared" si="12"/>
        <v/>
      </c>
      <c r="T282" s="17">
        <f t="shared" si="13"/>
        <v>454.35154</v>
      </c>
      <c r="U282" s="17" t="str">
        <f t="shared" si="14"/>
        <v/>
      </c>
      <c r="V282" s="7" t="s">
        <v>247</v>
      </c>
      <c r="W282" s="7" t="s">
        <v>84</v>
      </c>
      <c r="X282" s="7" t="s">
        <v>250</v>
      </c>
      <c r="Y282" s="7"/>
      <c r="Z282" s="7"/>
      <c r="AA282" s="7">
        <f>IF(AND(Hypothèses!$B$12=1,Z282="Secondary_Source"),0,1)</f>
        <v>1</v>
      </c>
    </row>
    <row r="283" spans="1:27" x14ac:dyDescent="0.3">
      <c r="A283" s="7" t="s">
        <v>553</v>
      </c>
      <c r="B283" s="7" t="s">
        <v>78</v>
      </c>
      <c r="C283" s="7" t="s">
        <v>120</v>
      </c>
      <c r="D283" s="7" t="s">
        <v>465</v>
      </c>
      <c r="E283" s="7" t="s">
        <v>245</v>
      </c>
      <c r="F283" s="7" t="s">
        <v>258</v>
      </c>
      <c r="G283" s="17"/>
      <c r="H283" s="17">
        <v>414.71096</v>
      </c>
      <c r="I283" s="17"/>
      <c r="J283" s="7" t="s">
        <v>247</v>
      </c>
      <c r="K283" s="7">
        <v>2035</v>
      </c>
      <c r="L283" s="7" t="str">
        <f>IF(Y283&lt;&gt;"",Y283,IF(AND(K283&gt;=Hypothèses!$B$9,K283&lt;=Hypothèses!$B$10),"actuel",IF(K283=2030,"2030",IF(K283=2050,"2050","autre"))))</f>
        <v>autre</v>
      </c>
      <c r="M283" s="7"/>
      <c r="N283" s="7" t="s">
        <v>248</v>
      </c>
      <c r="O283" s="7"/>
      <c r="P283" s="7" t="s">
        <v>282</v>
      </c>
      <c r="Q283" s="7" t="s">
        <v>49</v>
      </c>
      <c r="R283" s="14">
        <f>INDEX(Hypothèses!$B$14:$B$22,MATCH(Q283,Hypothèses!$A$14:$A$22,0))</f>
        <v>1</v>
      </c>
      <c r="S283" s="17" t="str">
        <f t="shared" si="12"/>
        <v/>
      </c>
      <c r="T283" s="17">
        <f t="shared" si="13"/>
        <v>414.71096</v>
      </c>
      <c r="U283" s="17" t="str">
        <f t="shared" si="14"/>
        <v/>
      </c>
      <c r="V283" s="7" t="s">
        <v>247</v>
      </c>
      <c r="W283" s="7" t="s">
        <v>84</v>
      </c>
      <c r="X283" s="7" t="s">
        <v>250</v>
      </c>
      <c r="Y283" s="7"/>
      <c r="Z283" s="7"/>
      <c r="AA283" s="7">
        <f>IF(AND(Hypothèses!$B$12=1,Z283="Secondary_Source"),0,1)</f>
        <v>1</v>
      </c>
    </row>
    <row r="284" spans="1:27" x14ac:dyDescent="0.3">
      <c r="A284" s="7" t="s">
        <v>554</v>
      </c>
      <c r="B284" s="7" t="s">
        <v>78</v>
      </c>
      <c r="C284" s="7" t="s">
        <v>120</v>
      </c>
      <c r="D284" s="7" t="s">
        <v>465</v>
      </c>
      <c r="E284" s="7" t="s">
        <v>245</v>
      </c>
      <c r="F284" s="7" t="s">
        <v>258</v>
      </c>
      <c r="G284" s="17"/>
      <c r="H284" s="17">
        <v>381.16798</v>
      </c>
      <c r="I284" s="17"/>
      <c r="J284" s="7" t="s">
        <v>247</v>
      </c>
      <c r="K284" s="7">
        <v>2040</v>
      </c>
      <c r="L284" s="7" t="str">
        <f>IF(Y284&lt;&gt;"",Y284,IF(AND(K284&gt;=Hypothèses!$B$9,K284&lt;=Hypothèses!$B$10),"actuel",IF(K284=2030,"2030",IF(K284=2050,"2050","autre"))))</f>
        <v>autre</v>
      </c>
      <c r="M284" s="7"/>
      <c r="N284" s="7" t="s">
        <v>248</v>
      </c>
      <c r="O284" s="7"/>
      <c r="P284" s="7" t="s">
        <v>282</v>
      </c>
      <c r="Q284" s="7" t="s">
        <v>49</v>
      </c>
      <c r="R284" s="14">
        <f>INDEX(Hypothèses!$B$14:$B$22,MATCH(Q284,Hypothèses!$A$14:$A$22,0))</f>
        <v>1</v>
      </c>
      <c r="S284" s="17" t="str">
        <f t="shared" si="12"/>
        <v/>
      </c>
      <c r="T284" s="17">
        <f t="shared" si="13"/>
        <v>381.16798</v>
      </c>
      <c r="U284" s="17" t="str">
        <f t="shared" si="14"/>
        <v/>
      </c>
      <c r="V284" s="7" t="s">
        <v>247</v>
      </c>
      <c r="W284" s="7" t="s">
        <v>84</v>
      </c>
      <c r="X284" s="7" t="s">
        <v>250</v>
      </c>
      <c r="Y284" s="7"/>
      <c r="Z284" s="7"/>
      <c r="AA284" s="7">
        <f>IF(AND(Hypothèses!$B$12=1,Z284="Secondary_Source"),0,1)</f>
        <v>1</v>
      </c>
    </row>
    <row r="285" spans="1:27" x14ac:dyDescent="0.3">
      <c r="A285" s="7" t="s">
        <v>555</v>
      </c>
      <c r="B285" s="7" t="s">
        <v>78</v>
      </c>
      <c r="C285" s="7" t="s">
        <v>120</v>
      </c>
      <c r="D285" s="7" t="s">
        <v>465</v>
      </c>
      <c r="E285" s="7" t="s">
        <v>245</v>
      </c>
      <c r="F285" s="7" t="s">
        <v>258</v>
      </c>
      <c r="G285" s="17"/>
      <c r="H285" s="17">
        <v>362.87209000000001</v>
      </c>
      <c r="I285" s="17"/>
      <c r="J285" s="7" t="s">
        <v>247</v>
      </c>
      <c r="K285" s="7">
        <v>2045</v>
      </c>
      <c r="L285" s="7" t="str">
        <f>IF(Y285&lt;&gt;"",Y285,IF(AND(K285&gt;=Hypothèses!$B$9,K285&lt;=Hypothèses!$B$10),"actuel",IF(K285=2030,"2030",IF(K285=2050,"2050","autre"))))</f>
        <v>autre</v>
      </c>
      <c r="M285" s="7"/>
      <c r="N285" s="7" t="s">
        <v>248</v>
      </c>
      <c r="O285" s="7"/>
      <c r="P285" s="7" t="s">
        <v>282</v>
      </c>
      <c r="Q285" s="7" t="s">
        <v>49</v>
      </c>
      <c r="R285" s="14">
        <f>INDEX(Hypothèses!$B$14:$B$22,MATCH(Q285,Hypothèses!$A$14:$A$22,0))</f>
        <v>1</v>
      </c>
      <c r="S285" s="17" t="str">
        <f t="shared" si="12"/>
        <v/>
      </c>
      <c r="T285" s="17">
        <f t="shared" si="13"/>
        <v>362.87209000000001</v>
      </c>
      <c r="U285" s="17" t="str">
        <f t="shared" si="14"/>
        <v/>
      </c>
      <c r="V285" s="7" t="s">
        <v>247</v>
      </c>
      <c r="W285" s="7" t="s">
        <v>84</v>
      </c>
      <c r="X285" s="7" t="s">
        <v>250</v>
      </c>
      <c r="Y285" s="7"/>
      <c r="Z285" s="7"/>
      <c r="AA285" s="7">
        <f>IF(AND(Hypothèses!$B$12=1,Z285="Secondary_Source"),0,1)</f>
        <v>1</v>
      </c>
    </row>
    <row r="286" spans="1:27" x14ac:dyDescent="0.3">
      <c r="A286" s="7" t="s">
        <v>556</v>
      </c>
      <c r="B286" s="7" t="s">
        <v>78</v>
      </c>
      <c r="C286" s="7" t="s">
        <v>120</v>
      </c>
      <c r="D286" s="7" t="s">
        <v>465</v>
      </c>
      <c r="E286" s="7" t="s">
        <v>245</v>
      </c>
      <c r="F286" s="7" t="s">
        <v>258</v>
      </c>
      <c r="G286" s="17"/>
      <c r="H286" s="17">
        <v>350.67482999999999</v>
      </c>
      <c r="I286" s="17"/>
      <c r="J286" s="7" t="s">
        <v>247</v>
      </c>
      <c r="K286" s="7">
        <v>2050</v>
      </c>
      <c r="L286" s="7" t="str">
        <f>IF(Y286&lt;&gt;"",Y286,IF(AND(K286&gt;=Hypothèses!$B$9,K286&lt;=Hypothèses!$B$10),"actuel",IF(K286=2030,"2030",IF(K286=2050,"2050","autre"))))</f>
        <v>2050</v>
      </c>
      <c r="M286" s="7"/>
      <c r="N286" s="7" t="s">
        <v>248</v>
      </c>
      <c r="O286" s="7"/>
      <c r="P286" s="7" t="s">
        <v>282</v>
      </c>
      <c r="Q286" s="7" t="s">
        <v>49</v>
      </c>
      <c r="R286" s="14">
        <f>INDEX(Hypothèses!$B$14:$B$22,MATCH(Q286,Hypothèses!$A$14:$A$22,0))</f>
        <v>1</v>
      </c>
      <c r="S286" s="17" t="str">
        <f t="shared" si="12"/>
        <v/>
      </c>
      <c r="T286" s="17">
        <f t="shared" si="13"/>
        <v>350.67482999999999</v>
      </c>
      <c r="U286" s="17" t="str">
        <f t="shared" si="14"/>
        <v/>
      </c>
      <c r="V286" s="7" t="s">
        <v>247</v>
      </c>
      <c r="W286" s="7" t="s">
        <v>84</v>
      </c>
      <c r="X286" s="7" t="s">
        <v>250</v>
      </c>
      <c r="Y286" s="7"/>
      <c r="Z286" s="7"/>
      <c r="AA286" s="7">
        <f>IF(AND(Hypothèses!$B$12=1,Z286="Secondary_Source"),0,1)</f>
        <v>1</v>
      </c>
    </row>
    <row r="287" spans="1:27" x14ac:dyDescent="0.3">
      <c r="A287" s="7" t="s">
        <v>557</v>
      </c>
      <c r="B287" s="7" t="s">
        <v>78</v>
      </c>
      <c r="C287" s="7" t="s">
        <v>134</v>
      </c>
      <c r="D287" s="7" t="s">
        <v>465</v>
      </c>
      <c r="E287" s="7" t="s">
        <v>245</v>
      </c>
      <c r="F287" s="7" t="s">
        <v>258</v>
      </c>
      <c r="G287" s="17"/>
      <c r="H287" s="17">
        <v>473.8</v>
      </c>
      <c r="I287" s="17"/>
      <c r="J287" s="7" t="s">
        <v>247</v>
      </c>
      <c r="K287" s="7">
        <v>2019</v>
      </c>
      <c r="L287" s="7" t="str">
        <f>IF(Y287&lt;&gt;"",Y287,IF(AND(K287&gt;=Hypothèses!$B$9,K287&lt;=Hypothèses!$B$10),"actuel",IF(K287=2030,"2030",IF(K287=2050,"2050","autre"))))</f>
        <v>autre</v>
      </c>
      <c r="M287" s="7"/>
      <c r="N287" s="7" t="s">
        <v>248</v>
      </c>
      <c r="O287" s="7"/>
      <c r="P287" s="7" t="s">
        <v>558</v>
      </c>
      <c r="Q287" s="7" t="s">
        <v>49</v>
      </c>
      <c r="R287" s="14">
        <f>INDEX(Hypothèses!$B$14:$B$22,MATCH(Q287,Hypothèses!$A$14:$A$22,0))</f>
        <v>1</v>
      </c>
      <c r="S287" s="17" t="str">
        <f t="shared" si="12"/>
        <v/>
      </c>
      <c r="T287" s="17">
        <f t="shared" si="13"/>
        <v>473.8</v>
      </c>
      <c r="U287" s="17" t="str">
        <f t="shared" si="14"/>
        <v/>
      </c>
      <c r="V287" s="7" t="s">
        <v>247</v>
      </c>
      <c r="W287" s="7" t="s">
        <v>84</v>
      </c>
      <c r="X287" s="7" t="s">
        <v>250</v>
      </c>
      <c r="Y287" s="7"/>
      <c r="Z287" s="7"/>
      <c r="AA287" s="7">
        <f>IF(AND(Hypothèses!$B$12=1,Z287="Secondary_Source"),0,1)</f>
        <v>1</v>
      </c>
    </row>
    <row r="288" spans="1:27" x14ac:dyDescent="0.3">
      <c r="A288" s="7" t="s">
        <v>559</v>
      </c>
      <c r="B288" s="7" t="s">
        <v>78</v>
      </c>
      <c r="C288" s="7" t="s">
        <v>134</v>
      </c>
      <c r="D288" s="7" t="s">
        <v>465</v>
      </c>
      <c r="E288" s="7" t="s">
        <v>245</v>
      </c>
      <c r="F288" s="7" t="s">
        <v>258</v>
      </c>
      <c r="G288" s="17"/>
      <c r="H288" s="17">
        <v>239.99</v>
      </c>
      <c r="I288" s="17"/>
      <c r="J288" s="7" t="s">
        <v>247</v>
      </c>
      <c r="K288" s="7">
        <v>2035</v>
      </c>
      <c r="L288" s="7" t="str">
        <f>IF(Y288&lt;&gt;"",Y288,IF(AND(K288&gt;=Hypothèses!$B$9,K288&lt;=Hypothèses!$B$10),"actuel",IF(K288=2030,"2030",IF(K288=2050,"2050","autre"))))</f>
        <v>autre</v>
      </c>
      <c r="M288" s="7"/>
      <c r="N288" s="7" t="s">
        <v>248</v>
      </c>
      <c r="O288" s="7"/>
      <c r="P288" s="7" t="s">
        <v>558</v>
      </c>
      <c r="Q288" s="7" t="s">
        <v>49</v>
      </c>
      <c r="R288" s="14">
        <f>INDEX(Hypothèses!$B$14:$B$22,MATCH(Q288,Hypothèses!$A$14:$A$22,0))</f>
        <v>1</v>
      </c>
      <c r="S288" s="17" t="str">
        <f t="shared" si="12"/>
        <v/>
      </c>
      <c r="T288" s="17">
        <f t="shared" si="13"/>
        <v>239.99</v>
      </c>
      <c r="U288" s="17" t="str">
        <f t="shared" si="14"/>
        <v/>
      </c>
      <c r="V288" s="7" t="s">
        <v>247</v>
      </c>
      <c r="W288" s="7" t="s">
        <v>84</v>
      </c>
      <c r="X288" s="7" t="s">
        <v>250</v>
      </c>
      <c r="Y288" s="7"/>
      <c r="Z288" s="7"/>
      <c r="AA288" s="7">
        <f>IF(AND(Hypothèses!$B$12=1,Z288="Secondary_Source"),0,1)</f>
        <v>1</v>
      </c>
    </row>
    <row r="289" spans="1:27" x14ac:dyDescent="0.3">
      <c r="A289" s="7" t="s">
        <v>560</v>
      </c>
      <c r="B289" s="7" t="s">
        <v>78</v>
      </c>
      <c r="C289" s="7" t="s">
        <v>136</v>
      </c>
      <c r="D289" s="7" t="s">
        <v>465</v>
      </c>
      <c r="E289" s="7" t="s">
        <v>245</v>
      </c>
      <c r="F289" s="7" t="s">
        <v>258</v>
      </c>
      <c r="G289" s="17"/>
      <c r="H289" s="17">
        <v>1789.0585000000001</v>
      </c>
      <c r="I289" s="17"/>
      <c r="J289" s="7" t="s">
        <v>247</v>
      </c>
      <c r="K289" s="7">
        <v>2016</v>
      </c>
      <c r="L289" s="7" t="str">
        <f>IF(Y289&lt;&gt;"",Y289,IF(AND(K289&gt;=Hypothèses!$B$9,K289&lt;=Hypothèses!$B$10),"actuel",IF(K289=2030,"2030",IF(K289=2050,"2050","autre"))))</f>
        <v>autre</v>
      </c>
      <c r="M289" s="7"/>
      <c r="N289" s="7" t="s">
        <v>248</v>
      </c>
      <c r="O289" s="7"/>
      <c r="P289" s="7" t="s">
        <v>282</v>
      </c>
      <c r="Q289" s="7" t="s">
        <v>49</v>
      </c>
      <c r="R289" s="14">
        <f>INDEX(Hypothèses!$B$14:$B$22,MATCH(Q289,Hypothèses!$A$14:$A$22,0))</f>
        <v>1</v>
      </c>
      <c r="S289" s="17" t="str">
        <f t="shared" si="12"/>
        <v/>
      </c>
      <c r="T289" s="17">
        <f t="shared" si="13"/>
        <v>1789.0585000000001</v>
      </c>
      <c r="U289" s="17" t="str">
        <f t="shared" si="14"/>
        <v/>
      </c>
      <c r="V289" s="7" t="s">
        <v>247</v>
      </c>
      <c r="W289" s="7" t="s">
        <v>84</v>
      </c>
      <c r="X289" s="7" t="s">
        <v>250</v>
      </c>
      <c r="Y289" s="7"/>
      <c r="Z289" s="7"/>
      <c r="AA289" s="7">
        <f>IF(AND(Hypothèses!$B$12=1,Z289="Secondary_Source"),0,1)</f>
        <v>1</v>
      </c>
    </row>
    <row r="290" spans="1:27" x14ac:dyDescent="0.3">
      <c r="A290" s="7" t="s">
        <v>561</v>
      </c>
      <c r="B290" s="7" t="s">
        <v>78</v>
      </c>
      <c r="C290" s="7" t="s">
        <v>136</v>
      </c>
      <c r="D290" s="7" t="s">
        <v>465</v>
      </c>
      <c r="E290" s="7" t="s">
        <v>245</v>
      </c>
      <c r="F290" s="7" t="s">
        <v>258</v>
      </c>
      <c r="G290" s="17"/>
      <c r="H290" s="17">
        <v>1318.8595516666701</v>
      </c>
      <c r="I290" s="17"/>
      <c r="J290" s="7" t="s">
        <v>247</v>
      </c>
      <c r="K290" s="7">
        <v>2017</v>
      </c>
      <c r="L290" s="7" t="str">
        <f>IF(Y290&lt;&gt;"",Y290,IF(AND(K290&gt;=Hypothèses!$B$9,K290&lt;=Hypothèses!$B$10),"actuel",IF(K290=2030,"2030",IF(K290=2050,"2050","autre"))))</f>
        <v>autre</v>
      </c>
      <c r="M290" s="7"/>
      <c r="N290" s="7" t="s">
        <v>248</v>
      </c>
      <c r="O290" s="7"/>
      <c r="P290" s="7" t="s">
        <v>282</v>
      </c>
      <c r="Q290" s="7" t="s">
        <v>49</v>
      </c>
      <c r="R290" s="14">
        <f>INDEX(Hypothèses!$B$14:$B$22,MATCH(Q290,Hypothèses!$A$14:$A$22,0))</f>
        <v>1</v>
      </c>
      <c r="S290" s="17" t="str">
        <f t="shared" si="12"/>
        <v/>
      </c>
      <c r="T290" s="17">
        <f t="shared" si="13"/>
        <v>1318.8595516666701</v>
      </c>
      <c r="U290" s="17" t="str">
        <f t="shared" si="14"/>
        <v/>
      </c>
      <c r="V290" s="7" t="s">
        <v>247</v>
      </c>
      <c r="W290" s="7" t="s">
        <v>84</v>
      </c>
      <c r="X290" s="7" t="s">
        <v>250</v>
      </c>
      <c r="Y290" s="7"/>
      <c r="Z290" s="7"/>
      <c r="AA290" s="7">
        <f>IF(AND(Hypothèses!$B$12=1,Z290="Secondary_Source"),0,1)</f>
        <v>1</v>
      </c>
    </row>
    <row r="291" spans="1:27" x14ac:dyDescent="0.3">
      <c r="A291" s="7" t="s">
        <v>562</v>
      </c>
      <c r="B291" s="7" t="s">
        <v>78</v>
      </c>
      <c r="C291" s="7" t="s">
        <v>136</v>
      </c>
      <c r="D291" s="7" t="s">
        <v>465</v>
      </c>
      <c r="E291" s="7" t="s">
        <v>245</v>
      </c>
      <c r="F291" s="7" t="s">
        <v>258</v>
      </c>
      <c r="G291" s="17"/>
      <c r="H291" s="17">
        <v>1221.374</v>
      </c>
      <c r="I291" s="17"/>
      <c r="J291" s="7" t="s">
        <v>247</v>
      </c>
      <c r="K291" s="7">
        <v>2018</v>
      </c>
      <c r="L291" s="7" t="str">
        <f>IF(Y291&lt;&gt;"",Y291,IF(AND(K291&gt;=Hypothèses!$B$9,K291&lt;=Hypothèses!$B$10),"actuel",IF(K291=2030,"2030",IF(K291=2050,"2050","autre"))))</f>
        <v>autre</v>
      </c>
      <c r="M291" s="7"/>
      <c r="N291" s="7" t="s">
        <v>248</v>
      </c>
      <c r="O291" s="7"/>
      <c r="P291" s="7" t="s">
        <v>282</v>
      </c>
      <c r="Q291" s="7" t="s">
        <v>49</v>
      </c>
      <c r="R291" s="14">
        <f>INDEX(Hypothèses!$B$14:$B$22,MATCH(Q291,Hypothèses!$A$14:$A$22,0))</f>
        <v>1</v>
      </c>
      <c r="S291" s="17" t="str">
        <f t="shared" si="12"/>
        <v/>
      </c>
      <c r="T291" s="17">
        <f t="shared" si="13"/>
        <v>1221.374</v>
      </c>
      <c r="U291" s="17" t="str">
        <f t="shared" si="14"/>
        <v/>
      </c>
      <c r="V291" s="7" t="s">
        <v>247</v>
      </c>
      <c r="W291" s="7" t="s">
        <v>84</v>
      </c>
      <c r="X291" s="7" t="s">
        <v>250</v>
      </c>
      <c r="Y291" s="7"/>
      <c r="Z291" s="7"/>
      <c r="AA291" s="7">
        <f>IF(AND(Hypothèses!$B$12=1,Z291="Secondary_Source"),0,1)</f>
        <v>1</v>
      </c>
    </row>
    <row r="292" spans="1:27" x14ac:dyDescent="0.3">
      <c r="A292" s="7" t="s">
        <v>563</v>
      </c>
      <c r="B292" s="7" t="s">
        <v>78</v>
      </c>
      <c r="C292" s="7" t="s">
        <v>136</v>
      </c>
      <c r="D292" s="7" t="s">
        <v>465</v>
      </c>
      <c r="E292" s="7" t="s">
        <v>245</v>
      </c>
      <c r="F292" s="7" t="s">
        <v>258</v>
      </c>
      <c r="G292" s="17"/>
      <c r="H292" s="17">
        <v>923.20101666666699</v>
      </c>
      <c r="I292" s="17"/>
      <c r="J292" s="7" t="s">
        <v>247</v>
      </c>
      <c r="K292" s="7">
        <v>2019</v>
      </c>
      <c r="L292" s="7" t="str">
        <f>IF(Y292&lt;&gt;"",Y292,IF(AND(K292&gt;=Hypothèses!$B$9,K292&lt;=Hypothèses!$B$10),"actuel",IF(K292=2030,"2030",IF(K292=2050,"2050","autre"))))</f>
        <v>autre</v>
      </c>
      <c r="M292" s="7"/>
      <c r="N292" s="7" t="s">
        <v>248</v>
      </c>
      <c r="O292" s="7"/>
      <c r="P292" s="7" t="s">
        <v>282</v>
      </c>
      <c r="Q292" s="7" t="s">
        <v>49</v>
      </c>
      <c r="R292" s="14">
        <f>INDEX(Hypothèses!$B$14:$B$22,MATCH(Q292,Hypothèses!$A$14:$A$22,0))</f>
        <v>1</v>
      </c>
      <c r="S292" s="17" t="str">
        <f t="shared" si="12"/>
        <v/>
      </c>
      <c r="T292" s="17">
        <f t="shared" si="13"/>
        <v>923.20101666666699</v>
      </c>
      <c r="U292" s="17" t="str">
        <f t="shared" si="14"/>
        <v/>
      </c>
      <c r="V292" s="7" t="s">
        <v>247</v>
      </c>
      <c r="W292" s="7" t="s">
        <v>84</v>
      </c>
      <c r="X292" s="7" t="s">
        <v>250</v>
      </c>
      <c r="Y292" s="7"/>
      <c r="Z292" s="7"/>
      <c r="AA292" s="7">
        <f>IF(AND(Hypothèses!$B$12=1,Z292="Secondary_Source"),0,1)</f>
        <v>1</v>
      </c>
    </row>
    <row r="293" spans="1:27" x14ac:dyDescent="0.3">
      <c r="A293" s="7" t="s">
        <v>564</v>
      </c>
      <c r="B293" s="7" t="s">
        <v>78</v>
      </c>
      <c r="C293" s="7" t="s">
        <v>136</v>
      </c>
      <c r="D293" s="7" t="s">
        <v>465</v>
      </c>
      <c r="E293" s="7" t="s">
        <v>245</v>
      </c>
      <c r="F293" s="7" t="s">
        <v>258</v>
      </c>
      <c r="G293" s="17"/>
      <c r="H293" s="17">
        <v>856.68498999999997</v>
      </c>
      <c r="I293" s="17"/>
      <c r="J293" s="7" t="s">
        <v>247</v>
      </c>
      <c r="K293" s="7">
        <v>2020</v>
      </c>
      <c r="L293" s="7" t="str">
        <f>IF(Y293&lt;&gt;"",Y293,IF(AND(K293&gt;=Hypothèses!$B$9,K293&lt;=Hypothèses!$B$10),"actuel",IF(K293=2030,"2030",IF(K293=2050,"2050","autre"))))</f>
        <v>actuel</v>
      </c>
      <c r="M293" s="7"/>
      <c r="N293" s="7" t="s">
        <v>248</v>
      </c>
      <c r="O293" s="7"/>
      <c r="P293" s="7" t="s">
        <v>282</v>
      </c>
      <c r="Q293" s="7" t="s">
        <v>49</v>
      </c>
      <c r="R293" s="14">
        <f>INDEX(Hypothèses!$B$14:$B$22,MATCH(Q293,Hypothèses!$A$14:$A$22,0))</f>
        <v>1</v>
      </c>
      <c r="S293" s="17" t="str">
        <f t="shared" si="12"/>
        <v/>
      </c>
      <c r="T293" s="17">
        <f t="shared" si="13"/>
        <v>856.68498999999997</v>
      </c>
      <c r="U293" s="17" t="str">
        <f t="shared" si="14"/>
        <v/>
      </c>
      <c r="V293" s="7" t="s">
        <v>247</v>
      </c>
      <c r="W293" s="7" t="s">
        <v>84</v>
      </c>
      <c r="X293" s="7" t="s">
        <v>250</v>
      </c>
      <c r="Y293" s="7"/>
      <c r="Z293" s="7"/>
      <c r="AA293" s="7">
        <f>IF(AND(Hypothèses!$B$12=1,Z293="Secondary_Source"),0,1)</f>
        <v>1</v>
      </c>
    </row>
    <row r="294" spans="1:27" x14ac:dyDescent="0.3">
      <c r="A294" s="7" t="s">
        <v>565</v>
      </c>
      <c r="B294" s="7" t="s">
        <v>78</v>
      </c>
      <c r="C294" s="7" t="s">
        <v>136</v>
      </c>
      <c r="D294" s="7" t="s">
        <v>465</v>
      </c>
      <c r="E294" s="7" t="s">
        <v>245</v>
      </c>
      <c r="F294" s="7" t="s">
        <v>258</v>
      </c>
      <c r="G294" s="17"/>
      <c r="H294" s="17">
        <v>774.11297999999999</v>
      </c>
      <c r="I294" s="17"/>
      <c r="J294" s="7" t="s">
        <v>247</v>
      </c>
      <c r="K294" s="7">
        <v>2021</v>
      </c>
      <c r="L294" s="7" t="str">
        <f>IF(Y294&lt;&gt;"",Y294,IF(AND(K294&gt;=Hypothèses!$B$9,K294&lt;=Hypothèses!$B$10),"actuel",IF(K294=2030,"2030",IF(K294=2050,"2050","autre"))))</f>
        <v>actuel</v>
      </c>
      <c r="M294" s="7"/>
      <c r="N294" s="7" t="s">
        <v>248</v>
      </c>
      <c r="O294" s="7"/>
      <c r="P294" s="7" t="s">
        <v>282</v>
      </c>
      <c r="Q294" s="7" t="s">
        <v>49</v>
      </c>
      <c r="R294" s="14">
        <f>INDEX(Hypothèses!$B$14:$B$22,MATCH(Q294,Hypothèses!$A$14:$A$22,0))</f>
        <v>1</v>
      </c>
      <c r="S294" s="17" t="str">
        <f t="shared" si="12"/>
        <v/>
      </c>
      <c r="T294" s="17">
        <f t="shared" si="13"/>
        <v>774.11297999999999</v>
      </c>
      <c r="U294" s="17" t="str">
        <f t="shared" si="14"/>
        <v/>
      </c>
      <c r="V294" s="7" t="s">
        <v>247</v>
      </c>
      <c r="W294" s="7" t="s">
        <v>84</v>
      </c>
      <c r="X294" s="7" t="s">
        <v>250</v>
      </c>
      <c r="Y294" s="7"/>
      <c r="Z294" s="7"/>
      <c r="AA294" s="7">
        <f>IF(AND(Hypothèses!$B$12=1,Z294="Secondary_Source"),0,1)</f>
        <v>1</v>
      </c>
    </row>
    <row r="295" spans="1:27" x14ac:dyDescent="0.3">
      <c r="A295" s="7" t="s">
        <v>566</v>
      </c>
      <c r="B295" s="7" t="s">
        <v>78</v>
      </c>
      <c r="C295" s="7" t="s">
        <v>136</v>
      </c>
      <c r="D295" s="7" t="s">
        <v>465</v>
      </c>
      <c r="E295" s="7" t="s">
        <v>245</v>
      </c>
      <c r="F295" s="7" t="s">
        <v>258</v>
      </c>
      <c r="G295" s="17"/>
      <c r="H295" s="17">
        <v>739.70789000000002</v>
      </c>
      <c r="I295" s="17"/>
      <c r="J295" s="7" t="s">
        <v>247</v>
      </c>
      <c r="K295" s="7">
        <v>2022</v>
      </c>
      <c r="L295" s="7" t="str">
        <f>IF(Y295&lt;&gt;"",Y295,IF(AND(K295&gt;=Hypothèses!$B$9,K295&lt;=Hypothèses!$B$10),"actuel",IF(K295=2030,"2030",IF(K295=2050,"2050","autre"))))</f>
        <v>actuel</v>
      </c>
      <c r="M295" s="7"/>
      <c r="N295" s="7" t="s">
        <v>248</v>
      </c>
      <c r="O295" s="7"/>
      <c r="P295" s="7" t="s">
        <v>282</v>
      </c>
      <c r="Q295" s="7" t="s">
        <v>49</v>
      </c>
      <c r="R295" s="14">
        <f>INDEX(Hypothèses!$B$14:$B$22,MATCH(Q295,Hypothèses!$A$14:$A$22,0))</f>
        <v>1</v>
      </c>
      <c r="S295" s="17" t="str">
        <f t="shared" si="12"/>
        <v/>
      </c>
      <c r="T295" s="17">
        <f t="shared" si="13"/>
        <v>739.70789000000002</v>
      </c>
      <c r="U295" s="17" t="str">
        <f t="shared" si="14"/>
        <v/>
      </c>
      <c r="V295" s="7" t="s">
        <v>247</v>
      </c>
      <c r="W295" s="7" t="s">
        <v>84</v>
      </c>
      <c r="X295" s="7" t="s">
        <v>250</v>
      </c>
      <c r="Y295" s="7"/>
      <c r="Z295" s="7"/>
      <c r="AA295" s="7">
        <f>IF(AND(Hypothèses!$B$12=1,Z295="Secondary_Source"),0,1)</f>
        <v>1</v>
      </c>
    </row>
    <row r="296" spans="1:27" x14ac:dyDescent="0.3">
      <c r="A296" s="7" t="s">
        <v>567</v>
      </c>
      <c r="B296" s="7" t="s">
        <v>78</v>
      </c>
      <c r="C296" s="7" t="s">
        <v>136</v>
      </c>
      <c r="D296" s="7" t="s">
        <v>465</v>
      </c>
      <c r="E296" s="7" t="s">
        <v>245</v>
      </c>
      <c r="F296" s="7" t="s">
        <v>258</v>
      </c>
      <c r="G296" s="17"/>
      <c r="H296" s="17">
        <v>688.09974</v>
      </c>
      <c r="I296" s="17"/>
      <c r="J296" s="7" t="s">
        <v>247</v>
      </c>
      <c r="K296" s="7">
        <v>2023</v>
      </c>
      <c r="L296" s="7" t="str">
        <f>IF(Y296&lt;&gt;"",Y296,IF(AND(K296&gt;=Hypothèses!$B$9,K296&lt;=Hypothèses!$B$10),"actuel",IF(K296=2030,"2030",IF(K296=2050,"2050","autre"))))</f>
        <v>actuel</v>
      </c>
      <c r="M296" s="7"/>
      <c r="N296" s="7" t="s">
        <v>248</v>
      </c>
      <c r="O296" s="7"/>
      <c r="P296" s="7" t="s">
        <v>282</v>
      </c>
      <c r="Q296" s="7" t="s">
        <v>49</v>
      </c>
      <c r="R296" s="14">
        <f>INDEX(Hypothèses!$B$14:$B$22,MATCH(Q296,Hypothèses!$A$14:$A$22,0))</f>
        <v>1</v>
      </c>
      <c r="S296" s="17" t="str">
        <f t="shared" si="12"/>
        <v/>
      </c>
      <c r="T296" s="17">
        <f t="shared" si="13"/>
        <v>688.09974</v>
      </c>
      <c r="U296" s="17" t="str">
        <f t="shared" si="14"/>
        <v/>
      </c>
      <c r="V296" s="7" t="s">
        <v>247</v>
      </c>
      <c r="W296" s="7" t="s">
        <v>84</v>
      </c>
      <c r="X296" s="7" t="s">
        <v>250</v>
      </c>
      <c r="Y296" s="7"/>
      <c r="Z296" s="7"/>
      <c r="AA296" s="7">
        <f>IF(AND(Hypothèses!$B$12=1,Z296="Secondary_Source"),0,1)</f>
        <v>1</v>
      </c>
    </row>
    <row r="297" spans="1:27" x14ac:dyDescent="0.3">
      <c r="A297" s="7" t="s">
        <v>568</v>
      </c>
      <c r="B297" s="7" t="s">
        <v>78</v>
      </c>
      <c r="C297" s="7" t="s">
        <v>136</v>
      </c>
      <c r="D297" s="7" t="s">
        <v>465</v>
      </c>
      <c r="E297" s="7" t="s">
        <v>245</v>
      </c>
      <c r="F297" s="7" t="s">
        <v>258</v>
      </c>
      <c r="G297" s="17"/>
      <c r="H297" s="17">
        <v>602.08753000000002</v>
      </c>
      <c r="I297" s="17"/>
      <c r="J297" s="7" t="s">
        <v>247</v>
      </c>
      <c r="K297" s="7">
        <v>2024</v>
      </c>
      <c r="L297" s="7" t="str">
        <f>IF(Y297&lt;&gt;"",Y297,IF(AND(K297&gt;=Hypothèses!$B$9,K297&lt;=Hypothèses!$B$10),"actuel",IF(K297=2030,"2030",IF(K297=2050,"2050","autre"))))</f>
        <v>actuel</v>
      </c>
      <c r="M297" s="7"/>
      <c r="N297" s="7" t="s">
        <v>248</v>
      </c>
      <c r="O297" s="7"/>
      <c r="P297" s="7" t="s">
        <v>282</v>
      </c>
      <c r="Q297" s="7" t="s">
        <v>49</v>
      </c>
      <c r="R297" s="14">
        <f>INDEX(Hypothèses!$B$14:$B$22,MATCH(Q297,Hypothèses!$A$14:$A$22,0))</f>
        <v>1</v>
      </c>
      <c r="S297" s="17" t="str">
        <f t="shared" si="12"/>
        <v/>
      </c>
      <c r="T297" s="17">
        <f t="shared" si="13"/>
        <v>602.08753000000002</v>
      </c>
      <c r="U297" s="17" t="str">
        <f t="shared" si="14"/>
        <v/>
      </c>
      <c r="V297" s="7" t="s">
        <v>247</v>
      </c>
      <c r="W297" s="7" t="s">
        <v>84</v>
      </c>
      <c r="X297" s="7" t="s">
        <v>250</v>
      </c>
      <c r="Y297" s="7"/>
      <c r="Z297" s="7"/>
      <c r="AA297" s="7">
        <f>IF(AND(Hypothèses!$B$12=1,Z297="Secondary_Source"),0,1)</f>
        <v>1</v>
      </c>
    </row>
    <row r="298" spans="1:27" x14ac:dyDescent="0.3">
      <c r="A298" s="7" t="s">
        <v>569</v>
      </c>
      <c r="B298" s="7" t="s">
        <v>78</v>
      </c>
      <c r="C298" s="7" t="s">
        <v>136</v>
      </c>
      <c r="D298" s="7" t="s">
        <v>465</v>
      </c>
      <c r="E298" s="7" t="s">
        <v>245</v>
      </c>
      <c r="F298" s="7" t="s">
        <v>258</v>
      </c>
      <c r="G298" s="17"/>
      <c r="H298" s="17">
        <v>657.13567399999999</v>
      </c>
      <c r="I298" s="17"/>
      <c r="J298" s="7" t="s">
        <v>247</v>
      </c>
      <c r="K298" s="7">
        <v>2025</v>
      </c>
      <c r="L298" s="7" t="str">
        <f>IF(Y298&lt;&gt;"",Y298,IF(AND(K298&gt;=Hypothèses!$B$9,K298&lt;=Hypothèses!$B$10),"actuel",IF(K298=2030,"2030",IF(K298=2050,"2050","autre"))))</f>
        <v>actuel</v>
      </c>
      <c r="M298" s="7"/>
      <c r="N298" s="7" t="s">
        <v>248</v>
      </c>
      <c r="O298" s="7"/>
      <c r="P298" s="7" t="s">
        <v>282</v>
      </c>
      <c r="Q298" s="7" t="s">
        <v>49</v>
      </c>
      <c r="R298" s="14">
        <f>INDEX(Hypothèses!$B$14:$B$22,MATCH(Q298,Hypothèses!$A$14:$A$22,0))</f>
        <v>1</v>
      </c>
      <c r="S298" s="17" t="str">
        <f t="shared" si="12"/>
        <v/>
      </c>
      <c r="T298" s="17">
        <f t="shared" si="13"/>
        <v>657.13567399999999</v>
      </c>
      <c r="U298" s="17" t="str">
        <f t="shared" si="14"/>
        <v/>
      </c>
      <c r="V298" s="7" t="s">
        <v>247</v>
      </c>
      <c r="W298" s="7" t="s">
        <v>84</v>
      </c>
      <c r="X298" s="7" t="s">
        <v>250</v>
      </c>
      <c r="Y298" s="7"/>
      <c r="Z298" s="7"/>
      <c r="AA298" s="7">
        <f>IF(AND(Hypothèses!$B$12=1,Z298="Secondary_Source"),0,1)</f>
        <v>1</v>
      </c>
    </row>
    <row r="299" spans="1:27" x14ac:dyDescent="0.3">
      <c r="A299" s="7" t="s">
        <v>570</v>
      </c>
      <c r="B299" s="7" t="s">
        <v>78</v>
      </c>
      <c r="C299" s="7" t="s">
        <v>136</v>
      </c>
      <c r="D299" s="7" t="s">
        <v>465</v>
      </c>
      <c r="E299" s="7" t="s">
        <v>245</v>
      </c>
      <c r="F299" s="7" t="s">
        <v>258</v>
      </c>
      <c r="G299" s="17"/>
      <c r="H299" s="17">
        <v>705.30280000000005</v>
      </c>
      <c r="I299" s="17"/>
      <c r="J299" s="7" t="s">
        <v>247</v>
      </c>
      <c r="K299" s="7">
        <v>2030</v>
      </c>
      <c r="L299" s="7" t="str">
        <f>IF(Y299&lt;&gt;"",Y299,IF(AND(K299&gt;=Hypothèses!$B$9,K299&lt;=Hypothèses!$B$10),"actuel",IF(K299=2030,"2030",IF(K299=2050,"2050","autre"))))</f>
        <v>2030</v>
      </c>
      <c r="M299" s="7"/>
      <c r="N299" s="7" t="s">
        <v>248</v>
      </c>
      <c r="O299" s="7"/>
      <c r="P299" s="7" t="s">
        <v>282</v>
      </c>
      <c r="Q299" s="7" t="s">
        <v>49</v>
      </c>
      <c r="R299" s="14">
        <f>INDEX(Hypothèses!$B$14:$B$22,MATCH(Q299,Hypothèses!$A$14:$A$22,0))</f>
        <v>1</v>
      </c>
      <c r="S299" s="17" t="str">
        <f t="shared" si="12"/>
        <v/>
      </c>
      <c r="T299" s="17">
        <f t="shared" si="13"/>
        <v>705.30280000000005</v>
      </c>
      <c r="U299" s="17" t="str">
        <f t="shared" si="14"/>
        <v/>
      </c>
      <c r="V299" s="7" t="s">
        <v>247</v>
      </c>
      <c r="W299" s="7" t="s">
        <v>84</v>
      </c>
      <c r="X299" s="7" t="s">
        <v>250</v>
      </c>
      <c r="Y299" s="7"/>
      <c r="Z299" s="7"/>
      <c r="AA299" s="7">
        <f>IF(AND(Hypothèses!$B$12=1,Z299="Secondary_Source"),0,1)</f>
        <v>1</v>
      </c>
    </row>
    <row r="300" spans="1:27" x14ac:dyDescent="0.3">
      <c r="A300" s="7" t="s">
        <v>571</v>
      </c>
      <c r="B300" s="7" t="s">
        <v>78</v>
      </c>
      <c r="C300" s="7" t="s">
        <v>138</v>
      </c>
      <c r="D300" s="7" t="s">
        <v>465</v>
      </c>
      <c r="E300" s="7" t="s">
        <v>245</v>
      </c>
      <c r="F300" s="7" t="s">
        <v>258</v>
      </c>
      <c r="G300" s="17"/>
      <c r="H300" s="17">
        <v>1801.47</v>
      </c>
      <c r="I300" s="17"/>
      <c r="J300" s="7" t="s">
        <v>247</v>
      </c>
      <c r="K300" s="7">
        <v>2015</v>
      </c>
      <c r="L300" s="7" t="str">
        <f>IF(Y300&lt;&gt;"",Y300,IF(AND(K300&gt;=Hypothèses!$B$9,K300&lt;=Hypothèses!$B$10),"actuel",IF(K300=2030,"2030",IF(K300=2050,"2050","autre"))))</f>
        <v>autre</v>
      </c>
      <c r="M300" s="7"/>
      <c r="N300" s="7" t="s">
        <v>248</v>
      </c>
      <c r="O300" s="7"/>
      <c r="P300" s="7" t="s">
        <v>259</v>
      </c>
      <c r="Q300" s="7" t="s">
        <v>49</v>
      </c>
      <c r="R300" s="14">
        <f>INDEX(Hypothèses!$B$14:$B$22,MATCH(Q300,Hypothèses!$A$14:$A$22,0))</f>
        <v>1</v>
      </c>
      <c r="S300" s="17" t="str">
        <f t="shared" si="12"/>
        <v/>
      </c>
      <c r="T300" s="17">
        <f t="shared" si="13"/>
        <v>1801.47</v>
      </c>
      <c r="U300" s="17" t="str">
        <f t="shared" si="14"/>
        <v/>
      </c>
      <c r="V300" s="7" t="s">
        <v>247</v>
      </c>
      <c r="W300" s="7" t="s">
        <v>84</v>
      </c>
      <c r="X300" s="7" t="s">
        <v>250</v>
      </c>
      <c r="Y300" s="7"/>
      <c r="Z300" s="7"/>
      <c r="AA300" s="7">
        <f>IF(AND(Hypothèses!$B$12=1,Z300="Secondary_Source"),0,1)</f>
        <v>1</v>
      </c>
    </row>
    <row r="301" spans="1:27" x14ac:dyDescent="0.3">
      <c r="A301" s="7" t="s">
        <v>572</v>
      </c>
      <c r="B301" s="7" t="s">
        <v>78</v>
      </c>
      <c r="C301" s="7" t="s">
        <v>138</v>
      </c>
      <c r="D301" s="7" t="s">
        <v>465</v>
      </c>
      <c r="E301" s="7" t="s">
        <v>245</v>
      </c>
      <c r="F301" s="7" t="s">
        <v>258</v>
      </c>
      <c r="G301" s="17"/>
      <c r="H301" s="17">
        <v>772.5</v>
      </c>
      <c r="I301" s="17"/>
      <c r="J301" s="7" t="s">
        <v>247</v>
      </c>
      <c r="K301" s="7">
        <v>2030</v>
      </c>
      <c r="L301" s="7" t="str">
        <f>IF(Y301&lt;&gt;"",Y301,IF(AND(K301&gt;=Hypothèses!$B$9,K301&lt;=Hypothèses!$B$10),"actuel",IF(K301=2030,"2030",IF(K301=2050,"2050","autre"))))</f>
        <v>2030</v>
      </c>
      <c r="M301" s="7"/>
      <c r="N301" s="7" t="s">
        <v>248</v>
      </c>
      <c r="O301" s="7"/>
      <c r="P301" s="7" t="s">
        <v>259</v>
      </c>
      <c r="Q301" s="7" t="s">
        <v>49</v>
      </c>
      <c r="R301" s="14">
        <f>INDEX(Hypothèses!$B$14:$B$22,MATCH(Q301,Hypothèses!$A$14:$A$22,0))</f>
        <v>1</v>
      </c>
      <c r="S301" s="17" t="str">
        <f t="shared" si="12"/>
        <v/>
      </c>
      <c r="T301" s="17">
        <f t="shared" si="13"/>
        <v>772.5</v>
      </c>
      <c r="U301" s="17" t="str">
        <f t="shared" si="14"/>
        <v/>
      </c>
      <c r="V301" s="7" t="s">
        <v>247</v>
      </c>
      <c r="W301" s="7" t="s">
        <v>84</v>
      </c>
      <c r="X301" s="7" t="s">
        <v>250</v>
      </c>
      <c r="Y301" s="7"/>
      <c r="Z301" s="7"/>
      <c r="AA301" s="7">
        <f>IF(AND(Hypothèses!$B$12=1,Z301="Secondary_Source"),0,1)</f>
        <v>1</v>
      </c>
    </row>
    <row r="302" spans="1:27" x14ac:dyDescent="0.3">
      <c r="A302" s="7" t="s">
        <v>573</v>
      </c>
      <c r="B302" s="7" t="s">
        <v>78</v>
      </c>
      <c r="C302" s="7" t="s">
        <v>138</v>
      </c>
      <c r="D302" s="7" t="s">
        <v>465</v>
      </c>
      <c r="E302" s="7" t="s">
        <v>245</v>
      </c>
      <c r="F302" s="7" t="s">
        <v>258</v>
      </c>
      <c r="G302" s="17"/>
      <c r="H302" s="17">
        <v>472.77</v>
      </c>
      <c r="I302" s="17"/>
      <c r="J302" s="7" t="s">
        <v>247</v>
      </c>
      <c r="K302" s="7">
        <v>2040</v>
      </c>
      <c r="L302" s="7" t="str">
        <f>IF(Y302&lt;&gt;"",Y302,IF(AND(K302&gt;=Hypothèses!$B$9,K302&lt;=Hypothèses!$B$10),"actuel",IF(K302=2030,"2030",IF(K302=2050,"2050","autre"))))</f>
        <v>autre</v>
      </c>
      <c r="M302" s="7"/>
      <c r="N302" s="7" t="s">
        <v>248</v>
      </c>
      <c r="O302" s="7"/>
      <c r="P302" s="7" t="s">
        <v>259</v>
      </c>
      <c r="Q302" s="7" t="s">
        <v>49</v>
      </c>
      <c r="R302" s="14">
        <f>INDEX(Hypothèses!$B$14:$B$22,MATCH(Q302,Hypothèses!$A$14:$A$22,0))</f>
        <v>1</v>
      </c>
      <c r="S302" s="17" t="str">
        <f t="shared" si="12"/>
        <v/>
      </c>
      <c r="T302" s="17">
        <f t="shared" si="13"/>
        <v>472.77</v>
      </c>
      <c r="U302" s="17" t="str">
        <f t="shared" si="14"/>
        <v/>
      </c>
      <c r="V302" s="7" t="s">
        <v>247</v>
      </c>
      <c r="W302" s="7" t="s">
        <v>84</v>
      </c>
      <c r="X302" s="7" t="s">
        <v>250</v>
      </c>
      <c r="Y302" s="7"/>
      <c r="Z302" s="7"/>
      <c r="AA302" s="7">
        <f>IF(AND(Hypothèses!$B$12=1,Z302="Secondary_Source"),0,1)</f>
        <v>1</v>
      </c>
    </row>
    <row r="303" spans="1:27" x14ac:dyDescent="0.3">
      <c r="A303" s="7" t="s">
        <v>574</v>
      </c>
      <c r="B303" s="7" t="s">
        <v>78</v>
      </c>
      <c r="C303" s="7" t="s">
        <v>144</v>
      </c>
      <c r="D303" s="7" t="s">
        <v>465</v>
      </c>
      <c r="E303" s="7" t="s">
        <v>245</v>
      </c>
      <c r="F303" s="7" t="s">
        <v>258</v>
      </c>
      <c r="G303" s="17">
        <v>979.00985000000003</v>
      </c>
      <c r="H303" s="17">
        <v>1193.1726000000001</v>
      </c>
      <c r="I303" s="17">
        <v>1947.8226999999999</v>
      </c>
      <c r="J303" s="7" t="s">
        <v>247</v>
      </c>
      <c r="K303" s="7">
        <v>2020</v>
      </c>
      <c r="L303" s="7" t="str">
        <f>IF(Y303&lt;&gt;"",Y303,IF(AND(K303&gt;=Hypothèses!$B$9,K303&lt;=Hypothèses!$B$10),"actuel",IF(K303=2030,"2030",IF(K303=2050,"2050","autre"))))</f>
        <v>actuel</v>
      </c>
      <c r="M303" s="7"/>
      <c r="N303" s="7" t="s">
        <v>248</v>
      </c>
      <c r="O303" s="7"/>
      <c r="P303" s="7" t="s">
        <v>360</v>
      </c>
      <c r="Q303" s="7" t="s">
        <v>49</v>
      </c>
      <c r="R303" s="14">
        <f>INDEX(Hypothèses!$B$14:$B$22,MATCH(Q303,Hypothèses!$A$14:$A$22,0))</f>
        <v>1</v>
      </c>
      <c r="S303" s="17">
        <f t="shared" si="12"/>
        <v>979.00985000000003</v>
      </c>
      <c r="T303" s="17">
        <f t="shared" si="13"/>
        <v>1193.1726000000001</v>
      </c>
      <c r="U303" s="17">
        <f t="shared" si="14"/>
        <v>1947.8226999999999</v>
      </c>
      <c r="V303" s="7" t="s">
        <v>247</v>
      </c>
      <c r="W303" s="7" t="s">
        <v>84</v>
      </c>
      <c r="X303" s="7" t="s">
        <v>250</v>
      </c>
      <c r="Y303" s="7"/>
      <c r="Z303" s="7"/>
      <c r="AA303" s="7">
        <f>IF(AND(Hypothèses!$B$12=1,Z303="Secondary_Source"),0,1)</f>
        <v>1</v>
      </c>
    </row>
    <row r="304" spans="1:27" x14ac:dyDescent="0.3">
      <c r="A304" s="7" t="s">
        <v>575</v>
      </c>
      <c r="B304" s="7" t="s">
        <v>78</v>
      </c>
      <c r="C304" s="7" t="s">
        <v>144</v>
      </c>
      <c r="D304" s="7" t="s">
        <v>465</v>
      </c>
      <c r="E304" s="7" t="s">
        <v>245</v>
      </c>
      <c r="F304" s="7" t="s">
        <v>258</v>
      </c>
      <c r="G304" s="17">
        <v>616.98030000000006</v>
      </c>
      <c r="H304" s="17">
        <v>749.55469000000005</v>
      </c>
      <c r="I304" s="17">
        <v>1509.3105</v>
      </c>
      <c r="J304" s="7" t="s">
        <v>247</v>
      </c>
      <c r="K304" s="7">
        <v>2025</v>
      </c>
      <c r="L304" s="7" t="str">
        <f>IF(Y304&lt;&gt;"",Y304,IF(AND(K304&gt;=Hypothèses!$B$9,K304&lt;=Hypothèses!$B$10),"actuel",IF(K304=2030,"2030",IF(K304=2050,"2050","autre"))))</f>
        <v>actuel</v>
      </c>
      <c r="M304" s="7"/>
      <c r="N304" s="7" t="s">
        <v>248</v>
      </c>
      <c r="O304" s="7"/>
      <c r="P304" s="7" t="s">
        <v>360</v>
      </c>
      <c r="Q304" s="7" t="s">
        <v>49</v>
      </c>
      <c r="R304" s="14">
        <f>INDEX(Hypothèses!$B$14:$B$22,MATCH(Q304,Hypothèses!$A$14:$A$22,0))</f>
        <v>1</v>
      </c>
      <c r="S304" s="17">
        <f t="shared" si="12"/>
        <v>616.98030000000006</v>
      </c>
      <c r="T304" s="17">
        <f t="shared" si="13"/>
        <v>749.55469000000005</v>
      </c>
      <c r="U304" s="17">
        <f t="shared" si="14"/>
        <v>1509.3105</v>
      </c>
      <c r="V304" s="7" t="s">
        <v>247</v>
      </c>
      <c r="W304" s="7" t="s">
        <v>84</v>
      </c>
      <c r="X304" s="7" t="s">
        <v>250</v>
      </c>
      <c r="Y304" s="7"/>
      <c r="Z304" s="7"/>
      <c r="AA304" s="7">
        <f>IF(AND(Hypothèses!$B$12=1,Z304="Secondary_Source"),0,1)</f>
        <v>1</v>
      </c>
    </row>
    <row r="305" spans="1:27" x14ac:dyDescent="0.3">
      <c r="A305" s="7" t="s">
        <v>576</v>
      </c>
      <c r="B305" s="7" t="s">
        <v>78</v>
      </c>
      <c r="C305" s="7" t="s">
        <v>144</v>
      </c>
      <c r="D305" s="7" t="s">
        <v>465</v>
      </c>
      <c r="E305" s="7" t="s">
        <v>245</v>
      </c>
      <c r="F305" s="7" t="s">
        <v>258</v>
      </c>
      <c r="G305" s="17">
        <v>458.91135000000003</v>
      </c>
      <c r="H305" s="17">
        <v>581.28668000000005</v>
      </c>
      <c r="I305" s="17">
        <v>1249.2561000000001</v>
      </c>
      <c r="J305" s="7" t="s">
        <v>247</v>
      </c>
      <c r="K305" s="7">
        <v>2030</v>
      </c>
      <c r="L305" s="7" t="str">
        <f>IF(Y305&lt;&gt;"",Y305,IF(AND(K305&gt;=Hypothèses!$B$9,K305&lt;=Hypothèses!$B$10),"actuel",IF(K305=2030,"2030",IF(K305=2050,"2050","autre"))))</f>
        <v>2030</v>
      </c>
      <c r="M305" s="7"/>
      <c r="N305" s="7" t="s">
        <v>248</v>
      </c>
      <c r="O305" s="7"/>
      <c r="P305" s="7" t="s">
        <v>360</v>
      </c>
      <c r="Q305" s="7" t="s">
        <v>49</v>
      </c>
      <c r="R305" s="14">
        <f>INDEX(Hypothèses!$B$14:$B$22,MATCH(Q305,Hypothèses!$A$14:$A$22,0))</f>
        <v>1</v>
      </c>
      <c r="S305" s="17">
        <f t="shared" si="12"/>
        <v>458.91135000000003</v>
      </c>
      <c r="T305" s="17">
        <f t="shared" si="13"/>
        <v>581.28668000000005</v>
      </c>
      <c r="U305" s="17">
        <f t="shared" si="14"/>
        <v>1249.2561000000001</v>
      </c>
      <c r="V305" s="7" t="s">
        <v>247</v>
      </c>
      <c r="W305" s="7" t="s">
        <v>84</v>
      </c>
      <c r="X305" s="7" t="s">
        <v>250</v>
      </c>
      <c r="Y305" s="7"/>
      <c r="Z305" s="7"/>
      <c r="AA305" s="7">
        <f>IF(AND(Hypothèses!$B$12=1,Z305="Secondary_Source"),0,1)</f>
        <v>1</v>
      </c>
    </row>
    <row r="306" spans="1:27" x14ac:dyDescent="0.3">
      <c r="A306" s="7" t="s">
        <v>577</v>
      </c>
      <c r="B306" s="7" t="s">
        <v>78</v>
      </c>
      <c r="C306" s="7" t="s">
        <v>144</v>
      </c>
      <c r="D306" s="7" t="s">
        <v>465</v>
      </c>
      <c r="E306" s="7" t="s">
        <v>245</v>
      </c>
      <c r="F306" s="7" t="s">
        <v>258</v>
      </c>
      <c r="G306" s="17">
        <v>407.9212</v>
      </c>
      <c r="H306" s="17">
        <v>535.39606000000003</v>
      </c>
      <c r="I306" s="17">
        <v>1121.7833000000001</v>
      </c>
      <c r="J306" s="7" t="s">
        <v>247</v>
      </c>
      <c r="K306" s="7">
        <v>2035</v>
      </c>
      <c r="L306" s="7" t="str">
        <f>IF(Y306&lt;&gt;"",Y306,IF(AND(K306&gt;=Hypothèses!$B$9,K306&lt;=Hypothèses!$B$10),"actuel",IF(K306=2030,"2030",IF(K306=2050,"2050","autre"))))</f>
        <v>autre</v>
      </c>
      <c r="M306" s="7"/>
      <c r="N306" s="7" t="s">
        <v>248</v>
      </c>
      <c r="O306" s="7"/>
      <c r="P306" s="7" t="s">
        <v>360</v>
      </c>
      <c r="Q306" s="7" t="s">
        <v>49</v>
      </c>
      <c r="R306" s="14">
        <f>INDEX(Hypothèses!$B$14:$B$22,MATCH(Q306,Hypothèses!$A$14:$A$22,0))</f>
        <v>1</v>
      </c>
      <c r="S306" s="17">
        <f t="shared" si="12"/>
        <v>407.9212</v>
      </c>
      <c r="T306" s="17">
        <f t="shared" si="13"/>
        <v>535.39606000000003</v>
      </c>
      <c r="U306" s="17">
        <f t="shared" si="14"/>
        <v>1121.7833000000001</v>
      </c>
      <c r="V306" s="7" t="s">
        <v>247</v>
      </c>
      <c r="W306" s="7" t="s">
        <v>84</v>
      </c>
      <c r="X306" s="7" t="s">
        <v>250</v>
      </c>
      <c r="Y306" s="7"/>
      <c r="Z306" s="7"/>
      <c r="AA306" s="7">
        <f>IF(AND(Hypothèses!$B$12=1,Z306="Secondary_Source"),0,1)</f>
        <v>1</v>
      </c>
    </row>
    <row r="307" spans="1:27" x14ac:dyDescent="0.3">
      <c r="A307" s="7" t="s">
        <v>578</v>
      </c>
      <c r="B307" s="7" t="s">
        <v>78</v>
      </c>
      <c r="C307" s="7" t="s">
        <v>144</v>
      </c>
      <c r="D307" s="7" t="s">
        <v>465</v>
      </c>
      <c r="E307" s="7" t="s">
        <v>245</v>
      </c>
      <c r="F307" s="7" t="s">
        <v>258</v>
      </c>
      <c r="G307" s="17">
        <v>372.22757999999999</v>
      </c>
      <c r="H307" s="17">
        <v>489.50544000000002</v>
      </c>
      <c r="I307" s="17">
        <v>1004.50544</v>
      </c>
      <c r="J307" s="7" t="s">
        <v>247</v>
      </c>
      <c r="K307" s="7">
        <v>2040</v>
      </c>
      <c r="L307" s="7" t="str">
        <f>IF(Y307&lt;&gt;"",Y307,IF(AND(K307&gt;=Hypothèses!$B$9,K307&lt;=Hypothèses!$B$10),"actuel",IF(K307=2030,"2030",IF(K307=2050,"2050","autre"))))</f>
        <v>autre</v>
      </c>
      <c r="M307" s="7"/>
      <c r="N307" s="7" t="s">
        <v>248</v>
      </c>
      <c r="O307" s="7"/>
      <c r="P307" s="7" t="s">
        <v>360</v>
      </c>
      <c r="Q307" s="7" t="s">
        <v>49</v>
      </c>
      <c r="R307" s="14">
        <f>INDEX(Hypothèses!$B$14:$B$22,MATCH(Q307,Hypothèses!$A$14:$A$22,0))</f>
        <v>1</v>
      </c>
      <c r="S307" s="17">
        <f t="shared" si="12"/>
        <v>372.22757999999999</v>
      </c>
      <c r="T307" s="17">
        <f t="shared" si="13"/>
        <v>489.50544000000002</v>
      </c>
      <c r="U307" s="17">
        <f t="shared" si="14"/>
        <v>1004.50544</v>
      </c>
      <c r="V307" s="7" t="s">
        <v>247</v>
      </c>
      <c r="W307" s="7" t="s">
        <v>84</v>
      </c>
      <c r="X307" s="7" t="s">
        <v>250</v>
      </c>
      <c r="Y307" s="7"/>
      <c r="Z307" s="7"/>
      <c r="AA307" s="7">
        <f>IF(AND(Hypothèses!$B$12=1,Z307="Secondary_Source"),0,1)</f>
        <v>1</v>
      </c>
    </row>
    <row r="308" spans="1:27" x14ac:dyDescent="0.3">
      <c r="A308" s="7" t="s">
        <v>579</v>
      </c>
      <c r="B308" s="7" t="s">
        <v>78</v>
      </c>
      <c r="C308" s="7" t="s">
        <v>144</v>
      </c>
      <c r="D308" s="7" t="s">
        <v>465</v>
      </c>
      <c r="E308" s="7" t="s">
        <v>245</v>
      </c>
      <c r="F308" s="7" t="s">
        <v>258</v>
      </c>
      <c r="G308" s="17">
        <v>356.93105000000003</v>
      </c>
      <c r="H308" s="17">
        <v>474.20787999999999</v>
      </c>
      <c r="I308" s="17">
        <v>958.61378999999999</v>
      </c>
      <c r="J308" s="7" t="s">
        <v>247</v>
      </c>
      <c r="K308" s="7">
        <v>2045</v>
      </c>
      <c r="L308" s="7" t="str">
        <f>IF(Y308&lt;&gt;"",Y308,IF(AND(K308&gt;=Hypothèses!$B$9,K308&lt;=Hypothèses!$B$10),"actuel",IF(K308=2030,"2030",IF(K308=2050,"2050","autre"))))</f>
        <v>autre</v>
      </c>
      <c r="M308" s="7"/>
      <c r="N308" s="7" t="s">
        <v>248</v>
      </c>
      <c r="O308" s="7"/>
      <c r="P308" s="7" t="s">
        <v>360</v>
      </c>
      <c r="Q308" s="7" t="s">
        <v>49</v>
      </c>
      <c r="R308" s="14">
        <f>INDEX(Hypothèses!$B$14:$B$22,MATCH(Q308,Hypothèses!$A$14:$A$22,0))</f>
        <v>1</v>
      </c>
      <c r="S308" s="17">
        <f t="shared" si="12"/>
        <v>356.93105000000003</v>
      </c>
      <c r="T308" s="17">
        <f t="shared" si="13"/>
        <v>474.20787999999999</v>
      </c>
      <c r="U308" s="17">
        <f t="shared" si="14"/>
        <v>958.61378999999999</v>
      </c>
      <c r="V308" s="7" t="s">
        <v>247</v>
      </c>
      <c r="W308" s="7" t="s">
        <v>84</v>
      </c>
      <c r="X308" s="7" t="s">
        <v>250</v>
      </c>
      <c r="Y308" s="7"/>
      <c r="Z308" s="7"/>
      <c r="AA308" s="7">
        <f>IF(AND(Hypothèses!$B$12=1,Z308="Secondary_Source"),0,1)</f>
        <v>1</v>
      </c>
    </row>
    <row r="309" spans="1:27" x14ac:dyDescent="0.3">
      <c r="A309" s="7" t="s">
        <v>580</v>
      </c>
      <c r="B309" s="7" t="s">
        <v>78</v>
      </c>
      <c r="C309" s="7" t="s">
        <v>144</v>
      </c>
      <c r="D309" s="7" t="s">
        <v>465</v>
      </c>
      <c r="E309" s="7" t="s">
        <v>245</v>
      </c>
      <c r="F309" s="7" t="s">
        <v>258</v>
      </c>
      <c r="G309" s="17">
        <v>341.63348999999999</v>
      </c>
      <c r="H309" s="17">
        <v>469.10937999999999</v>
      </c>
      <c r="I309" s="17">
        <v>922.9212</v>
      </c>
      <c r="J309" s="7" t="s">
        <v>247</v>
      </c>
      <c r="K309" s="7">
        <v>2050</v>
      </c>
      <c r="L309" s="7" t="str">
        <f>IF(Y309&lt;&gt;"",Y309,IF(AND(K309&gt;=Hypothèses!$B$9,K309&lt;=Hypothèses!$B$10),"actuel",IF(K309=2030,"2030",IF(K309=2050,"2050","autre"))))</f>
        <v>2050</v>
      </c>
      <c r="M309" s="7"/>
      <c r="N309" s="7" t="s">
        <v>248</v>
      </c>
      <c r="O309" s="7"/>
      <c r="P309" s="7" t="s">
        <v>360</v>
      </c>
      <c r="Q309" s="7" t="s">
        <v>49</v>
      </c>
      <c r="R309" s="14">
        <f>INDEX(Hypothèses!$B$14:$B$22,MATCH(Q309,Hypothèses!$A$14:$A$22,0))</f>
        <v>1</v>
      </c>
      <c r="S309" s="17">
        <f t="shared" si="12"/>
        <v>341.63348999999999</v>
      </c>
      <c r="T309" s="17">
        <f t="shared" si="13"/>
        <v>469.10937999999999</v>
      </c>
      <c r="U309" s="17">
        <f t="shared" si="14"/>
        <v>922.9212</v>
      </c>
      <c r="V309" s="7" t="s">
        <v>247</v>
      </c>
      <c r="W309" s="7" t="s">
        <v>84</v>
      </c>
      <c r="X309" s="7" t="s">
        <v>250</v>
      </c>
      <c r="Y309" s="7"/>
      <c r="Z309" s="7"/>
      <c r="AA309" s="7">
        <f>IF(AND(Hypothèses!$B$12=1,Z309="Secondary_Source"),0,1)</f>
        <v>1</v>
      </c>
    </row>
    <row r="310" spans="1:27" x14ac:dyDescent="0.3">
      <c r="A310" s="7" t="s">
        <v>581</v>
      </c>
      <c r="B310" s="7" t="s">
        <v>78</v>
      </c>
      <c r="C310" s="7" t="s">
        <v>148</v>
      </c>
      <c r="D310" s="7" t="s">
        <v>465</v>
      </c>
      <c r="E310" s="7" t="s">
        <v>245</v>
      </c>
      <c r="F310" s="7" t="s">
        <v>258</v>
      </c>
      <c r="G310" s="17">
        <v>1147.2757999999999</v>
      </c>
      <c r="H310" s="17">
        <v>1491.4606000000001</v>
      </c>
      <c r="I310" s="17">
        <v>1835.6454000000001</v>
      </c>
      <c r="J310" s="7" t="s">
        <v>247</v>
      </c>
      <c r="K310" s="7">
        <v>2020</v>
      </c>
      <c r="L310" s="7" t="str">
        <f>IF(Y310&lt;&gt;"",Y310,IF(AND(K310&gt;=Hypothèses!$B$9,K310&lt;=Hypothèses!$B$10),"actuel",IF(K310=2030,"2030",IF(K310=2050,"2050","autre"))))</f>
        <v>actuel</v>
      </c>
      <c r="M310" s="7"/>
      <c r="N310" s="7" t="s">
        <v>248</v>
      </c>
      <c r="O310" s="7"/>
      <c r="P310" s="7" t="s">
        <v>368</v>
      </c>
      <c r="Q310" s="7" t="s">
        <v>49</v>
      </c>
      <c r="R310" s="14">
        <f>INDEX(Hypothèses!$B$14:$B$22,MATCH(Q310,Hypothèses!$A$14:$A$22,0))</f>
        <v>1</v>
      </c>
      <c r="S310" s="17">
        <f t="shared" si="12"/>
        <v>1147.2757999999999</v>
      </c>
      <c r="T310" s="17">
        <f t="shared" si="13"/>
        <v>1491.4606000000001</v>
      </c>
      <c r="U310" s="17">
        <f t="shared" si="14"/>
        <v>1835.6454000000001</v>
      </c>
      <c r="V310" s="7" t="s">
        <v>247</v>
      </c>
      <c r="W310" s="7" t="s">
        <v>84</v>
      </c>
      <c r="X310" s="7" t="s">
        <v>250</v>
      </c>
      <c r="Y310" s="7"/>
      <c r="Z310" s="7"/>
      <c r="AA310" s="7">
        <f>IF(AND(Hypothèses!$B$12=1,Z310="Secondary_Source"),0,1)</f>
        <v>1</v>
      </c>
    </row>
    <row r="311" spans="1:27" x14ac:dyDescent="0.3">
      <c r="A311" s="7" t="s">
        <v>582</v>
      </c>
      <c r="B311" s="7" t="s">
        <v>78</v>
      </c>
      <c r="C311" s="7" t="s">
        <v>148</v>
      </c>
      <c r="D311" s="7" t="s">
        <v>465</v>
      </c>
      <c r="E311" s="7" t="s">
        <v>245</v>
      </c>
      <c r="F311" s="7" t="s">
        <v>258</v>
      </c>
      <c r="G311" s="17">
        <v>336.53498999999999</v>
      </c>
      <c r="H311" s="17">
        <v>535.39606000000003</v>
      </c>
      <c r="I311" s="17">
        <v>734.25712999999996</v>
      </c>
      <c r="J311" s="7" t="s">
        <v>247</v>
      </c>
      <c r="K311" s="7">
        <v>2030</v>
      </c>
      <c r="L311" s="7" t="str">
        <f>IF(Y311&lt;&gt;"",Y311,IF(AND(K311&gt;=Hypothèses!$B$9,K311&lt;=Hypothèses!$B$10),"actuel",IF(K311=2030,"2030",IF(K311=2050,"2050","autre"))))</f>
        <v>2030</v>
      </c>
      <c r="M311" s="7"/>
      <c r="N311" s="7" t="s">
        <v>248</v>
      </c>
      <c r="O311" s="7"/>
      <c r="P311" s="7" t="s">
        <v>368</v>
      </c>
      <c r="Q311" s="7" t="s">
        <v>49</v>
      </c>
      <c r="R311" s="14">
        <f>INDEX(Hypothèses!$B$14:$B$22,MATCH(Q311,Hypothèses!$A$14:$A$22,0))</f>
        <v>1</v>
      </c>
      <c r="S311" s="17">
        <f t="shared" si="12"/>
        <v>336.53498999999999</v>
      </c>
      <c r="T311" s="17">
        <f t="shared" si="13"/>
        <v>535.39606000000003</v>
      </c>
      <c r="U311" s="17">
        <f t="shared" si="14"/>
        <v>734.25712999999996</v>
      </c>
      <c r="V311" s="7" t="s">
        <v>247</v>
      </c>
      <c r="W311" s="7" t="s">
        <v>84</v>
      </c>
      <c r="X311" s="7" t="s">
        <v>250</v>
      </c>
      <c r="Y311" s="7"/>
      <c r="Z311" s="7"/>
      <c r="AA311" s="7">
        <f>IF(AND(Hypothèses!$B$12=1,Z311="Secondary_Source"),0,1)</f>
        <v>1</v>
      </c>
    </row>
    <row r="312" spans="1:27" x14ac:dyDescent="0.3">
      <c r="A312" s="7" t="s">
        <v>583</v>
      </c>
      <c r="B312" s="7" t="s">
        <v>78</v>
      </c>
      <c r="C312" s="7" t="s">
        <v>148</v>
      </c>
      <c r="D312" s="7" t="s">
        <v>465</v>
      </c>
      <c r="E312" s="7" t="s">
        <v>245</v>
      </c>
      <c r="F312" s="7" t="s">
        <v>258</v>
      </c>
      <c r="G312" s="17">
        <v>214.15862999999999</v>
      </c>
      <c r="H312" s="17">
        <v>351.83203500000002</v>
      </c>
      <c r="I312" s="17">
        <v>489.50544000000002</v>
      </c>
      <c r="J312" s="7" t="s">
        <v>247</v>
      </c>
      <c r="K312" s="7">
        <v>2040</v>
      </c>
      <c r="L312" s="7" t="str">
        <f>IF(Y312&lt;&gt;"",Y312,IF(AND(K312&gt;=Hypothèses!$B$9,K312&lt;=Hypothèses!$B$10),"actuel",IF(K312=2030,"2030",IF(K312=2050,"2050","autre"))))</f>
        <v>autre</v>
      </c>
      <c r="M312" s="7"/>
      <c r="N312" s="7" t="s">
        <v>248</v>
      </c>
      <c r="O312" s="7"/>
      <c r="P312" s="7" t="s">
        <v>368</v>
      </c>
      <c r="Q312" s="7" t="s">
        <v>49</v>
      </c>
      <c r="R312" s="14">
        <f>INDEX(Hypothèses!$B$14:$B$22,MATCH(Q312,Hypothèses!$A$14:$A$22,0))</f>
        <v>1</v>
      </c>
      <c r="S312" s="17">
        <f t="shared" si="12"/>
        <v>214.15862999999999</v>
      </c>
      <c r="T312" s="17">
        <f t="shared" si="13"/>
        <v>351.83203500000002</v>
      </c>
      <c r="U312" s="17">
        <f t="shared" si="14"/>
        <v>489.50544000000002</v>
      </c>
      <c r="V312" s="7" t="s">
        <v>247</v>
      </c>
      <c r="W312" s="7" t="s">
        <v>84</v>
      </c>
      <c r="X312" s="7" t="s">
        <v>250</v>
      </c>
      <c r="Y312" s="7"/>
      <c r="Z312" s="7"/>
      <c r="AA312" s="7">
        <f>IF(AND(Hypothèses!$B$12=1,Z312="Secondary_Source"),0,1)</f>
        <v>1</v>
      </c>
    </row>
    <row r="313" spans="1:27" x14ac:dyDescent="0.3">
      <c r="A313" s="7" t="s">
        <v>584</v>
      </c>
      <c r="B313" s="7" t="s">
        <v>78</v>
      </c>
      <c r="C313" s="7" t="s">
        <v>148</v>
      </c>
      <c r="D313" s="7" t="s">
        <v>465</v>
      </c>
      <c r="E313" s="7" t="s">
        <v>245</v>
      </c>
      <c r="F313" s="7" t="s">
        <v>258</v>
      </c>
      <c r="G313" s="17">
        <v>168.26697999999999</v>
      </c>
      <c r="H313" s="17">
        <v>282.99507499999999</v>
      </c>
      <c r="I313" s="17">
        <v>397.72316999999998</v>
      </c>
      <c r="J313" s="7" t="s">
        <v>247</v>
      </c>
      <c r="K313" s="7">
        <v>2050</v>
      </c>
      <c r="L313" s="7" t="str">
        <f>IF(Y313&lt;&gt;"",Y313,IF(AND(K313&gt;=Hypothèses!$B$9,K313&lt;=Hypothèses!$B$10),"actuel",IF(K313=2030,"2030",IF(K313=2050,"2050","autre"))))</f>
        <v>2050</v>
      </c>
      <c r="M313" s="7"/>
      <c r="N313" s="7" t="s">
        <v>248</v>
      </c>
      <c r="O313" s="7"/>
      <c r="P313" s="7" t="s">
        <v>368</v>
      </c>
      <c r="Q313" s="7" t="s">
        <v>49</v>
      </c>
      <c r="R313" s="14">
        <f>INDEX(Hypothèses!$B$14:$B$22,MATCH(Q313,Hypothèses!$A$14:$A$22,0))</f>
        <v>1</v>
      </c>
      <c r="S313" s="17">
        <f t="shared" si="12"/>
        <v>168.26697999999999</v>
      </c>
      <c r="T313" s="17">
        <f t="shared" si="13"/>
        <v>282.99507499999999</v>
      </c>
      <c r="U313" s="17">
        <f t="shared" si="14"/>
        <v>397.72316999999998</v>
      </c>
      <c r="V313" s="7" t="s">
        <v>247</v>
      </c>
      <c r="W313" s="7" t="s">
        <v>84</v>
      </c>
      <c r="X313" s="7" t="s">
        <v>250</v>
      </c>
      <c r="Y313" s="7"/>
      <c r="Z313" s="7"/>
      <c r="AA313" s="7">
        <f>IF(AND(Hypothèses!$B$12=1,Z313="Secondary_Source"),0,1)</f>
        <v>1</v>
      </c>
    </row>
    <row r="314" spans="1:27" x14ac:dyDescent="0.3">
      <c r="A314" s="7" t="s">
        <v>585</v>
      </c>
      <c r="B314" s="7" t="s">
        <v>78</v>
      </c>
      <c r="C314" s="7" t="s">
        <v>150</v>
      </c>
      <c r="D314" s="7" t="s">
        <v>465</v>
      </c>
      <c r="E314" s="7" t="s">
        <v>245</v>
      </c>
      <c r="F314" s="7" t="s">
        <v>258</v>
      </c>
      <c r="G314" s="17">
        <v>1143.3</v>
      </c>
      <c r="H314" s="17">
        <v>1496.075</v>
      </c>
      <c r="I314" s="17">
        <v>1848.85</v>
      </c>
      <c r="J314" s="7" t="s">
        <v>247</v>
      </c>
      <c r="K314" s="7">
        <v>2020</v>
      </c>
      <c r="L314" s="7" t="str">
        <f>IF(Y314&lt;&gt;"",Y314,IF(AND(K314&gt;=Hypothèses!$B$9,K314&lt;=Hypothèses!$B$10),"actuel",IF(K314=2030,"2030",IF(K314=2050,"2050","autre"))))</f>
        <v>actuel</v>
      </c>
      <c r="M314" s="7"/>
      <c r="N314" s="7" t="s">
        <v>248</v>
      </c>
      <c r="O314" s="7"/>
      <c r="P314" s="7" t="s">
        <v>282</v>
      </c>
      <c r="Q314" s="7" t="s">
        <v>49</v>
      </c>
      <c r="R314" s="14">
        <f>INDEX(Hypothèses!$B$14:$B$22,MATCH(Q314,Hypothèses!$A$14:$A$22,0))</f>
        <v>1</v>
      </c>
      <c r="S314" s="17">
        <f t="shared" si="12"/>
        <v>1143.3</v>
      </c>
      <c r="T314" s="17">
        <f t="shared" si="13"/>
        <v>1496.075</v>
      </c>
      <c r="U314" s="17">
        <f t="shared" si="14"/>
        <v>1848.85</v>
      </c>
      <c r="V314" s="7" t="s">
        <v>247</v>
      </c>
      <c r="W314" s="7" t="s">
        <v>84</v>
      </c>
      <c r="X314" s="7" t="s">
        <v>250</v>
      </c>
      <c r="Y314" s="7"/>
      <c r="Z314" s="7"/>
      <c r="AA314" s="7">
        <f>IF(AND(Hypothèses!$B$12=1,Z314="Secondary_Source"),0,1)</f>
        <v>1</v>
      </c>
    </row>
    <row r="315" spans="1:27" x14ac:dyDescent="0.3">
      <c r="A315" s="7" t="s">
        <v>586</v>
      </c>
      <c r="B315" s="7" t="s">
        <v>78</v>
      </c>
      <c r="C315" s="7" t="s">
        <v>150</v>
      </c>
      <c r="D315" s="7" t="s">
        <v>465</v>
      </c>
      <c r="E315" s="7" t="s">
        <v>245</v>
      </c>
      <c r="F315" s="7" t="s">
        <v>258</v>
      </c>
      <c r="G315" s="17">
        <v>860.05</v>
      </c>
      <c r="H315" s="17">
        <v>1246.3</v>
      </c>
      <c r="I315" s="17">
        <v>1632.55</v>
      </c>
      <c r="J315" s="7" t="s">
        <v>247</v>
      </c>
      <c r="K315" s="7">
        <v>2025</v>
      </c>
      <c r="L315" s="7" t="str">
        <f>IF(Y315&lt;&gt;"",Y315,IF(AND(K315&gt;=Hypothèses!$B$9,K315&lt;=Hypothèses!$B$10),"actuel",IF(K315=2030,"2030",IF(K315=2050,"2050","autre"))))</f>
        <v>actuel</v>
      </c>
      <c r="M315" s="7"/>
      <c r="N315" s="7" t="s">
        <v>248</v>
      </c>
      <c r="O315" s="7"/>
      <c r="P315" s="7" t="s">
        <v>282</v>
      </c>
      <c r="Q315" s="7" t="s">
        <v>49</v>
      </c>
      <c r="R315" s="14">
        <f>INDEX(Hypothèses!$B$14:$B$22,MATCH(Q315,Hypothèses!$A$14:$A$22,0))</f>
        <v>1</v>
      </c>
      <c r="S315" s="17">
        <f t="shared" si="12"/>
        <v>860.05</v>
      </c>
      <c r="T315" s="17">
        <f t="shared" si="13"/>
        <v>1246.3</v>
      </c>
      <c r="U315" s="17">
        <f t="shared" si="14"/>
        <v>1632.55</v>
      </c>
      <c r="V315" s="7" t="s">
        <v>247</v>
      </c>
      <c r="W315" s="7" t="s">
        <v>84</v>
      </c>
      <c r="X315" s="7" t="s">
        <v>250</v>
      </c>
      <c r="Y315" s="7"/>
      <c r="Z315" s="7"/>
      <c r="AA315" s="7">
        <f>IF(AND(Hypothèses!$B$12=1,Z315="Secondary_Source"),0,1)</f>
        <v>1</v>
      </c>
    </row>
    <row r="316" spans="1:27" x14ac:dyDescent="0.3">
      <c r="A316" s="7" t="s">
        <v>587</v>
      </c>
      <c r="B316" s="7" t="s">
        <v>78</v>
      </c>
      <c r="C316" s="7" t="s">
        <v>150</v>
      </c>
      <c r="D316" s="7" t="s">
        <v>465</v>
      </c>
      <c r="E316" s="7" t="s">
        <v>245</v>
      </c>
      <c r="F316" s="7" t="s">
        <v>258</v>
      </c>
      <c r="G316" s="17">
        <v>576.79999999999995</v>
      </c>
      <c r="H316" s="17">
        <v>991.375</v>
      </c>
      <c r="I316" s="17">
        <v>1405.95</v>
      </c>
      <c r="J316" s="7" t="s">
        <v>247</v>
      </c>
      <c r="K316" s="7">
        <v>2030</v>
      </c>
      <c r="L316" s="7" t="str">
        <f>IF(Y316&lt;&gt;"",Y316,IF(AND(K316&gt;=Hypothèses!$B$9,K316&lt;=Hypothèses!$B$10),"actuel",IF(K316=2030,"2030",IF(K316=2050,"2050","autre"))))</f>
        <v>2030</v>
      </c>
      <c r="M316" s="7"/>
      <c r="N316" s="7" t="s">
        <v>248</v>
      </c>
      <c r="O316" s="7"/>
      <c r="P316" s="7" t="s">
        <v>282</v>
      </c>
      <c r="Q316" s="7" t="s">
        <v>49</v>
      </c>
      <c r="R316" s="14">
        <f>INDEX(Hypothèses!$B$14:$B$22,MATCH(Q316,Hypothèses!$A$14:$A$22,0))</f>
        <v>1</v>
      </c>
      <c r="S316" s="17">
        <f t="shared" si="12"/>
        <v>576.79999999999995</v>
      </c>
      <c r="T316" s="17">
        <f t="shared" si="13"/>
        <v>991.375</v>
      </c>
      <c r="U316" s="17">
        <f t="shared" si="14"/>
        <v>1405.95</v>
      </c>
      <c r="V316" s="7" t="s">
        <v>247</v>
      </c>
      <c r="W316" s="7" t="s">
        <v>84</v>
      </c>
      <c r="X316" s="7" t="s">
        <v>250</v>
      </c>
      <c r="Y316" s="7"/>
      <c r="Z316" s="7"/>
      <c r="AA316" s="7">
        <f>IF(AND(Hypothèses!$B$12=1,Z316="Secondary_Source"),0,1)</f>
        <v>1</v>
      </c>
    </row>
    <row r="317" spans="1:27" x14ac:dyDescent="0.3">
      <c r="A317" s="7" t="s">
        <v>588</v>
      </c>
      <c r="B317" s="7" t="s">
        <v>78</v>
      </c>
      <c r="C317" s="7" t="s">
        <v>150</v>
      </c>
      <c r="D317" s="7" t="s">
        <v>465</v>
      </c>
      <c r="E317" s="7" t="s">
        <v>245</v>
      </c>
      <c r="F317" s="7" t="s">
        <v>258</v>
      </c>
      <c r="G317" s="17">
        <v>478.95</v>
      </c>
      <c r="H317" s="17">
        <v>860.05</v>
      </c>
      <c r="I317" s="17">
        <v>1241.1500000000001</v>
      </c>
      <c r="J317" s="7" t="s">
        <v>247</v>
      </c>
      <c r="K317" s="7">
        <v>2035</v>
      </c>
      <c r="L317" s="7" t="str">
        <f>IF(Y317&lt;&gt;"",Y317,IF(AND(K317&gt;=Hypothèses!$B$9,K317&lt;=Hypothèses!$B$10),"actuel",IF(K317=2030,"2030",IF(K317=2050,"2050","autre"))))</f>
        <v>autre</v>
      </c>
      <c r="M317" s="7"/>
      <c r="N317" s="7" t="s">
        <v>248</v>
      </c>
      <c r="O317" s="7"/>
      <c r="P317" s="7" t="s">
        <v>282</v>
      </c>
      <c r="Q317" s="7" t="s">
        <v>49</v>
      </c>
      <c r="R317" s="14">
        <f>INDEX(Hypothèses!$B$14:$B$22,MATCH(Q317,Hypothèses!$A$14:$A$22,0))</f>
        <v>1</v>
      </c>
      <c r="S317" s="17">
        <f t="shared" si="12"/>
        <v>478.95</v>
      </c>
      <c r="T317" s="17">
        <f t="shared" si="13"/>
        <v>860.05</v>
      </c>
      <c r="U317" s="17">
        <f t="shared" si="14"/>
        <v>1241.1500000000001</v>
      </c>
      <c r="V317" s="7" t="s">
        <v>247</v>
      </c>
      <c r="W317" s="7" t="s">
        <v>84</v>
      </c>
      <c r="X317" s="7" t="s">
        <v>250</v>
      </c>
      <c r="Y317" s="7"/>
      <c r="Z317" s="7"/>
      <c r="AA317" s="7">
        <f>IF(AND(Hypothèses!$B$12=1,Z317="Secondary_Source"),0,1)</f>
        <v>1</v>
      </c>
    </row>
    <row r="318" spans="1:27" x14ac:dyDescent="0.3">
      <c r="A318" s="7" t="s">
        <v>589</v>
      </c>
      <c r="B318" s="7" t="s">
        <v>78</v>
      </c>
      <c r="C318" s="7" t="s">
        <v>150</v>
      </c>
      <c r="D318" s="7" t="s">
        <v>465</v>
      </c>
      <c r="E318" s="7" t="s">
        <v>245</v>
      </c>
      <c r="F318" s="7" t="s">
        <v>258</v>
      </c>
      <c r="G318" s="17">
        <v>370.8</v>
      </c>
      <c r="H318" s="17">
        <v>733.875</v>
      </c>
      <c r="I318" s="17">
        <v>1096.95</v>
      </c>
      <c r="J318" s="7" t="s">
        <v>247</v>
      </c>
      <c r="K318" s="7">
        <v>2040</v>
      </c>
      <c r="L318" s="7" t="str">
        <f>IF(Y318&lt;&gt;"",Y318,IF(AND(K318&gt;=Hypothèses!$B$9,K318&lt;=Hypothèses!$B$10),"actuel",IF(K318=2030,"2030",IF(K318=2050,"2050","autre"))))</f>
        <v>autre</v>
      </c>
      <c r="M318" s="7"/>
      <c r="N318" s="7" t="s">
        <v>248</v>
      </c>
      <c r="O318" s="7"/>
      <c r="P318" s="7" t="s">
        <v>282</v>
      </c>
      <c r="Q318" s="7" t="s">
        <v>49</v>
      </c>
      <c r="R318" s="14">
        <f>INDEX(Hypothèses!$B$14:$B$22,MATCH(Q318,Hypothèses!$A$14:$A$22,0))</f>
        <v>1</v>
      </c>
      <c r="S318" s="17">
        <f t="shared" si="12"/>
        <v>370.8</v>
      </c>
      <c r="T318" s="17">
        <f t="shared" si="13"/>
        <v>733.875</v>
      </c>
      <c r="U318" s="17">
        <f t="shared" si="14"/>
        <v>1096.95</v>
      </c>
      <c r="V318" s="7" t="s">
        <v>247</v>
      </c>
      <c r="W318" s="7" t="s">
        <v>84</v>
      </c>
      <c r="X318" s="7" t="s">
        <v>250</v>
      </c>
      <c r="Y318" s="7"/>
      <c r="Z318" s="7"/>
      <c r="AA318" s="7">
        <f>IF(AND(Hypothèses!$B$12=1,Z318="Secondary_Source"),0,1)</f>
        <v>1</v>
      </c>
    </row>
    <row r="319" spans="1:27" x14ac:dyDescent="0.3">
      <c r="A319" s="7" t="s">
        <v>590</v>
      </c>
      <c r="B319" s="7" t="s">
        <v>78</v>
      </c>
      <c r="C319" s="7" t="s">
        <v>150</v>
      </c>
      <c r="D319" s="7" t="s">
        <v>465</v>
      </c>
      <c r="E319" s="7" t="s">
        <v>245</v>
      </c>
      <c r="F319" s="7" t="s">
        <v>258</v>
      </c>
      <c r="G319" s="17">
        <v>262.64999999999998</v>
      </c>
      <c r="H319" s="17">
        <v>599.97500000000002</v>
      </c>
      <c r="I319" s="17">
        <v>937.3</v>
      </c>
      <c r="J319" s="7" t="s">
        <v>247</v>
      </c>
      <c r="K319" s="7">
        <v>2045</v>
      </c>
      <c r="L319" s="7" t="str">
        <f>IF(Y319&lt;&gt;"",Y319,IF(AND(K319&gt;=Hypothèses!$B$9,K319&lt;=Hypothèses!$B$10),"actuel",IF(K319=2030,"2030",IF(K319=2050,"2050","autre"))))</f>
        <v>autre</v>
      </c>
      <c r="M319" s="7"/>
      <c r="N319" s="7" t="s">
        <v>248</v>
      </c>
      <c r="O319" s="7"/>
      <c r="P319" s="7" t="s">
        <v>282</v>
      </c>
      <c r="Q319" s="7" t="s">
        <v>49</v>
      </c>
      <c r="R319" s="14">
        <f>INDEX(Hypothèses!$B$14:$B$22,MATCH(Q319,Hypothèses!$A$14:$A$22,0))</f>
        <v>1</v>
      </c>
      <c r="S319" s="17">
        <f t="shared" si="12"/>
        <v>262.64999999999998</v>
      </c>
      <c r="T319" s="17">
        <f t="shared" si="13"/>
        <v>599.97500000000002</v>
      </c>
      <c r="U319" s="17">
        <f t="shared" si="14"/>
        <v>937.3</v>
      </c>
      <c r="V319" s="7" t="s">
        <v>247</v>
      </c>
      <c r="W319" s="7" t="s">
        <v>84</v>
      </c>
      <c r="X319" s="7" t="s">
        <v>250</v>
      </c>
      <c r="Y319" s="7"/>
      <c r="Z319" s="7"/>
      <c r="AA319" s="7">
        <f>IF(AND(Hypothèses!$B$12=1,Z319="Secondary_Source"),0,1)</f>
        <v>1</v>
      </c>
    </row>
    <row r="320" spans="1:27" x14ac:dyDescent="0.3">
      <c r="A320" s="7" t="s">
        <v>591</v>
      </c>
      <c r="B320" s="7" t="s">
        <v>78</v>
      </c>
      <c r="C320" s="7" t="s">
        <v>150</v>
      </c>
      <c r="D320" s="7" t="s">
        <v>465</v>
      </c>
      <c r="E320" s="7" t="s">
        <v>245</v>
      </c>
      <c r="F320" s="7" t="s">
        <v>258</v>
      </c>
      <c r="G320" s="17">
        <v>159.65</v>
      </c>
      <c r="H320" s="17">
        <v>471.22500000000002</v>
      </c>
      <c r="I320" s="17">
        <v>782.8</v>
      </c>
      <c r="J320" s="7" t="s">
        <v>247</v>
      </c>
      <c r="K320" s="7">
        <v>2050</v>
      </c>
      <c r="L320" s="7" t="str">
        <f>IF(Y320&lt;&gt;"",Y320,IF(AND(K320&gt;=Hypothèses!$B$9,K320&lt;=Hypothèses!$B$10),"actuel",IF(K320=2030,"2030",IF(K320=2050,"2050","autre"))))</f>
        <v>2050</v>
      </c>
      <c r="M320" s="7"/>
      <c r="N320" s="7" t="s">
        <v>248</v>
      </c>
      <c r="O320" s="7"/>
      <c r="P320" s="7" t="s">
        <v>282</v>
      </c>
      <c r="Q320" s="7" t="s">
        <v>49</v>
      </c>
      <c r="R320" s="14">
        <f>INDEX(Hypothèses!$B$14:$B$22,MATCH(Q320,Hypothèses!$A$14:$A$22,0))</f>
        <v>1</v>
      </c>
      <c r="S320" s="17">
        <f t="shared" si="12"/>
        <v>159.65</v>
      </c>
      <c r="T320" s="17">
        <f t="shared" si="13"/>
        <v>471.22500000000002</v>
      </c>
      <c r="U320" s="17">
        <f t="shared" si="14"/>
        <v>782.8</v>
      </c>
      <c r="V320" s="7" t="s">
        <v>247</v>
      </c>
      <c r="W320" s="7" t="s">
        <v>84</v>
      </c>
      <c r="X320" s="7" t="s">
        <v>250</v>
      </c>
      <c r="Y320" s="7"/>
      <c r="Z320" s="7"/>
      <c r="AA320" s="7">
        <f>IF(AND(Hypothèses!$B$12=1,Z320="Secondary_Source"),0,1)</f>
        <v>1</v>
      </c>
    </row>
    <row r="321" spans="1:27" x14ac:dyDescent="0.3">
      <c r="A321" s="7" t="s">
        <v>592</v>
      </c>
      <c r="B321" s="7" t="s">
        <v>78</v>
      </c>
      <c r="C321" s="7" t="s">
        <v>86</v>
      </c>
      <c r="D321" s="7" t="s">
        <v>465</v>
      </c>
      <c r="E321" s="7" t="s">
        <v>372</v>
      </c>
      <c r="F321" s="7" t="s">
        <v>246</v>
      </c>
      <c r="G321" s="17">
        <v>6.0278071999999998</v>
      </c>
      <c r="H321" s="17">
        <v>7.2453702</v>
      </c>
      <c r="I321" s="17">
        <v>8.24</v>
      </c>
      <c r="J321" s="7" t="s">
        <v>373</v>
      </c>
      <c r="K321" s="7">
        <v>2015</v>
      </c>
      <c r="L321" s="7" t="str">
        <f>IF(Y321&lt;&gt;"",Y321,IF(AND(K321&gt;=Hypothèses!$B$9,K321&lt;=Hypothèses!$B$10),"actuel",IF(K321=2030,"2030",IF(K321=2050,"2050","autre"))))</f>
        <v>autre</v>
      </c>
      <c r="M321" s="7"/>
      <c r="N321" s="7" t="s">
        <v>248</v>
      </c>
      <c r="O321" s="7"/>
      <c r="P321" s="7" t="s">
        <v>249</v>
      </c>
      <c r="Q321" s="7" t="s">
        <v>49</v>
      </c>
      <c r="R321" s="14">
        <f>INDEX(Hypothèses!$B$14:$B$22,MATCH(Q321,Hypothèses!$A$14:$A$22,0))</f>
        <v>1</v>
      </c>
      <c r="S321" s="17">
        <f t="shared" si="12"/>
        <v>6.0278071999999998</v>
      </c>
      <c r="T321" s="17">
        <f t="shared" si="13"/>
        <v>7.2453702</v>
      </c>
      <c r="U321" s="17">
        <f t="shared" si="14"/>
        <v>8.24</v>
      </c>
      <c r="V321" s="7" t="s">
        <v>373</v>
      </c>
      <c r="W321" s="7" t="s">
        <v>84</v>
      </c>
      <c r="X321" s="7" t="s">
        <v>250</v>
      </c>
      <c r="Y321" s="7"/>
      <c r="Z321" s="7"/>
      <c r="AA321" s="7">
        <f>IF(AND(Hypothèses!$B$12=1,Z321="Secondary_Source"),0,1)</f>
        <v>1</v>
      </c>
    </row>
    <row r="322" spans="1:27" x14ac:dyDescent="0.3">
      <c r="A322" s="7" t="s">
        <v>593</v>
      </c>
      <c r="B322" s="7" t="s">
        <v>78</v>
      </c>
      <c r="C322" s="7" t="s">
        <v>86</v>
      </c>
      <c r="D322" s="7" t="s">
        <v>465</v>
      </c>
      <c r="E322" s="7" t="s">
        <v>372</v>
      </c>
      <c r="F322" s="7" t="s">
        <v>246</v>
      </c>
      <c r="G322" s="17">
        <v>5.4876133999999999</v>
      </c>
      <c r="H322" s="17">
        <v>6.7823542999999997</v>
      </c>
      <c r="I322" s="17">
        <v>8.0770848999999991</v>
      </c>
      <c r="J322" s="7" t="s">
        <v>373</v>
      </c>
      <c r="K322" s="7">
        <v>2016</v>
      </c>
      <c r="L322" s="7" t="str">
        <f>IF(Y322&lt;&gt;"",Y322,IF(AND(K322&gt;=Hypothèses!$B$9,K322&lt;=Hypothèses!$B$10),"actuel",IF(K322=2030,"2030",IF(K322=2050,"2050","autre"))))</f>
        <v>autre</v>
      </c>
      <c r="M322" s="7"/>
      <c r="N322" s="7" t="s">
        <v>248</v>
      </c>
      <c r="O322" s="7"/>
      <c r="P322" s="7" t="s">
        <v>249</v>
      </c>
      <c r="Q322" s="7" t="s">
        <v>49</v>
      </c>
      <c r="R322" s="14">
        <f>INDEX(Hypothèses!$B$14:$B$22,MATCH(Q322,Hypothèses!$A$14:$A$22,0))</f>
        <v>1</v>
      </c>
      <c r="S322" s="17">
        <f t="shared" ref="S322:S385" si="15">IF(G322="","",G322*R322)</f>
        <v>5.4876133999999999</v>
      </c>
      <c r="T322" s="17">
        <f t="shared" ref="T322:T385" si="16">IF(H322="","",H322*R322)</f>
        <v>6.7823542999999997</v>
      </c>
      <c r="U322" s="17">
        <f t="shared" ref="U322:U385" si="17">IF(I322="","",I322*R322)</f>
        <v>8.0770848999999991</v>
      </c>
      <c r="V322" s="7" t="s">
        <v>373</v>
      </c>
      <c r="W322" s="7" t="s">
        <v>84</v>
      </c>
      <c r="X322" s="7" t="s">
        <v>250</v>
      </c>
      <c r="Y322" s="7"/>
      <c r="Z322" s="7"/>
      <c r="AA322" s="7">
        <f>IF(AND(Hypothèses!$B$12=1,Z322="Secondary_Source"),0,1)</f>
        <v>1</v>
      </c>
    </row>
    <row r="323" spans="1:27" x14ac:dyDescent="0.3">
      <c r="A323" s="7" t="s">
        <v>594</v>
      </c>
      <c r="B323" s="7" t="s">
        <v>78</v>
      </c>
      <c r="C323" s="7" t="s">
        <v>86</v>
      </c>
      <c r="D323" s="7" t="s">
        <v>465</v>
      </c>
      <c r="E323" s="7" t="s">
        <v>372</v>
      </c>
      <c r="F323" s="7" t="s">
        <v>246</v>
      </c>
      <c r="G323" s="17">
        <v>4.9731490000000003</v>
      </c>
      <c r="H323" s="17">
        <v>6.3279079999999999</v>
      </c>
      <c r="I323" s="17">
        <v>7.7255355999999997</v>
      </c>
      <c r="J323" s="7" t="s">
        <v>373</v>
      </c>
      <c r="K323" s="7">
        <v>2017</v>
      </c>
      <c r="L323" s="7" t="str">
        <f>IF(Y323&lt;&gt;"",Y323,IF(AND(K323&gt;=Hypothèses!$B$9,K323&lt;=Hypothèses!$B$10),"actuel",IF(K323=2030,"2030",IF(K323=2050,"2050","autre"))))</f>
        <v>autre</v>
      </c>
      <c r="M323" s="7"/>
      <c r="N323" s="7" t="s">
        <v>248</v>
      </c>
      <c r="O323" s="7"/>
      <c r="P323" s="7" t="s">
        <v>249</v>
      </c>
      <c r="Q323" s="7" t="s">
        <v>49</v>
      </c>
      <c r="R323" s="14">
        <f>INDEX(Hypothèses!$B$14:$B$22,MATCH(Q323,Hypothèses!$A$14:$A$22,0))</f>
        <v>1</v>
      </c>
      <c r="S323" s="17">
        <f t="shared" si="15"/>
        <v>4.9731490000000003</v>
      </c>
      <c r="T323" s="17">
        <f t="shared" si="16"/>
        <v>6.3279079999999999</v>
      </c>
      <c r="U323" s="17">
        <f t="shared" si="17"/>
        <v>7.7255355999999997</v>
      </c>
      <c r="V323" s="7" t="s">
        <v>373</v>
      </c>
      <c r="W323" s="7" t="s">
        <v>84</v>
      </c>
      <c r="X323" s="7" t="s">
        <v>250</v>
      </c>
      <c r="Y323" s="7"/>
      <c r="Z323" s="7"/>
      <c r="AA323" s="7">
        <f>IF(AND(Hypothèses!$B$12=1,Z323="Secondary_Source"),0,1)</f>
        <v>1</v>
      </c>
    </row>
    <row r="324" spans="1:27" x14ac:dyDescent="0.3">
      <c r="A324" s="7" t="s">
        <v>595</v>
      </c>
      <c r="B324" s="7" t="s">
        <v>78</v>
      </c>
      <c r="C324" s="7" t="s">
        <v>86</v>
      </c>
      <c r="D324" s="7" t="s">
        <v>465</v>
      </c>
      <c r="E324" s="7" t="s">
        <v>372</v>
      </c>
      <c r="F324" s="7" t="s">
        <v>246</v>
      </c>
      <c r="G324" s="17">
        <v>4.5358625000000004</v>
      </c>
      <c r="H324" s="17">
        <v>5.9334901000000002</v>
      </c>
      <c r="I324" s="17">
        <v>7.3997054000000002</v>
      </c>
      <c r="J324" s="7" t="s">
        <v>373</v>
      </c>
      <c r="K324" s="7">
        <v>2018</v>
      </c>
      <c r="L324" s="7" t="str">
        <f>IF(Y324&lt;&gt;"",Y324,IF(AND(K324&gt;=Hypothèses!$B$9,K324&lt;=Hypothèses!$B$10),"actuel",IF(K324=2030,"2030",IF(K324=2050,"2050","autre"))))</f>
        <v>autre</v>
      </c>
      <c r="M324" s="7"/>
      <c r="N324" s="7" t="s">
        <v>248</v>
      </c>
      <c r="O324" s="7"/>
      <c r="P324" s="7" t="s">
        <v>249</v>
      </c>
      <c r="Q324" s="7" t="s">
        <v>49</v>
      </c>
      <c r="R324" s="14">
        <f>INDEX(Hypothèses!$B$14:$B$22,MATCH(Q324,Hypothèses!$A$14:$A$22,0))</f>
        <v>1</v>
      </c>
      <c r="S324" s="17">
        <f t="shared" si="15"/>
        <v>4.5358625000000004</v>
      </c>
      <c r="T324" s="17">
        <f t="shared" si="16"/>
        <v>5.9334901000000002</v>
      </c>
      <c r="U324" s="17">
        <f t="shared" si="17"/>
        <v>7.3997054000000002</v>
      </c>
      <c r="V324" s="7" t="s">
        <v>373</v>
      </c>
      <c r="W324" s="7" t="s">
        <v>84</v>
      </c>
      <c r="X324" s="7" t="s">
        <v>250</v>
      </c>
      <c r="Y324" s="7"/>
      <c r="Z324" s="7"/>
      <c r="AA324" s="7">
        <f>IF(AND(Hypothèses!$B$12=1,Z324="Secondary_Source"),0,1)</f>
        <v>1</v>
      </c>
    </row>
    <row r="325" spans="1:27" x14ac:dyDescent="0.3">
      <c r="A325" s="7" t="s">
        <v>596</v>
      </c>
      <c r="B325" s="7" t="s">
        <v>78</v>
      </c>
      <c r="C325" s="7" t="s">
        <v>86</v>
      </c>
      <c r="D325" s="7" t="s">
        <v>465</v>
      </c>
      <c r="E325" s="7" t="s">
        <v>372</v>
      </c>
      <c r="F325" s="7" t="s">
        <v>246</v>
      </c>
      <c r="G325" s="17"/>
      <c r="H325" s="17">
        <v>4.7070999999999996</v>
      </c>
      <c r="I325" s="17"/>
      <c r="J325" s="7" t="s">
        <v>373</v>
      </c>
      <c r="K325" s="7">
        <v>2019</v>
      </c>
      <c r="L325" s="7" t="str">
        <f>IF(Y325&lt;&gt;"",Y325,IF(AND(K325&gt;=Hypothèses!$B$9,K325&lt;=Hypothèses!$B$10),"actuel",IF(K325=2030,"2030",IF(K325=2050,"2050","autre"))))</f>
        <v>autre</v>
      </c>
      <c r="M325" s="7"/>
      <c r="N325" s="7" t="s">
        <v>248</v>
      </c>
      <c r="O325" s="7"/>
      <c r="P325" s="7" t="s">
        <v>249</v>
      </c>
      <c r="Q325" s="7" t="s">
        <v>49</v>
      </c>
      <c r="R325" s="14">
        <f>INDEX(Hypothèses!$B$14:$B$22,MATCH(Q325,Hypothèses!$A$14:$A$22,0))</f>
        <v>1</v>
      </c>
      <c r="S325" s="17" t="str">
        <f t="shared" si="15"/>
        <v/>
      </c>
      <c r="T325" s="17">
        <f t="shared" si="16"/>
        <v>4.7070999999999996</v>
      </c>
      <c r="U325" s="17" t="str">
        <f t="shared" si="17"/>
        <v/>
      </c>
      <c r="V325" s="7" t="s">
        <v>373</v>
      </c>
      <c r="W325" s="7" t="s">
        <v>84</v>
      </c>
      <c r="X325" s="7" t="s">
        <v>250</v>
      </c>
      <c r="Y325" s="7"/>
      <c r="Z325" s="7"/>
      <c r="AA325" s="7">
        <f>IF(AND(Hypothèses!$B$12=1,Z325="Secondary_Source"),0,1)</f>
        <v>1</v>
      </c>
    </row>
    <row r="326" spans="1:27" x14ac:dyDescent="0.3">
      <c r="A326" s="7" t="s">
        <v>597</v>
      </c>
      <c r="B326" s="7" t="s">
        <v>78</v>
      </c>
      <c r="C326" s="7" t="s">
        <v>86</v>
      </c>
      <c r="D326" s="7" t="s">
        <v>465</v>
      </c>
      <c r="E326" s="7" t="s">
        <v>372</v>
      </c>
      <c r="F326" s="7" t="s">
        <v>246</v>
      </c>
      <c r="G326" s="17">
        <v>2.5750000000000002</v>
      </c>
      <c r="H326" s="17">
        <v>3.605</v>
      </c>
      <c r="I326" s="17">
        <v>4.6349999999999998</v>
      </c>
      <c r="J326" s="7" t="s">
        <v>373</v>
      </c>
      <c r="K326" s="7">
        <v>2020</v>
      </c>
      <c r="L326" s="7" t="str">
        <f>IF(Y326&lt;&gt;"",Y326,IF(AND(K326&gt;=Hypothèses!$B$9,K326&lt;=Hypothèses!$B$10),"actuel",IF(K326=2030,"2030",IF(K326=2050,"2050","autre"))))</f>
        <v>actuel</v>
      </c>
      <c r="M326" s="7"/>
      <c r="N326" s="7" t="s">
        <v>248</v>
      </c>
      <c r="O326" s="7"/>
      <c r="P326" s="7" t="s">
        <v>249</v>
      </c>
      <c r="Q326" s="7" t="s">
        <v>49</v>
      </c>
      <c r="R326" s="14">
        <f>INDEX(Hypothèses!$B$14:$B$22,MATCH(Q326,Hypothèses!$A$14:$A$22,0))</f>
        <v>1</v>
      </c>
      <c r="S326" s="17">
        <f t="shared" si="15"/>
        <v>2.5750000000000002</v>
      </c>
      <c r="T326" s="17">
        <f t="shared" si="16"/>
        <v>3.605</v>
      </c>
      <c r="U326" s="17">
        <f t="shared" si="17"/>
        <v>4.6349999999999998</v>
      </c>
      <c r="V326" s="7" t="s">
        <v>373</v>
      </c>
      <c r="W326" s="7" t="s">
        <v>84</v>
      </c>
      <c r="X326" s="7" t="s">
        <v>250</v>
      </c>
      <c r="Y326" s="7"/>
      <c r="Z326" s="7"/>
      <c r="AA326" s="7">
        <f>IF(AND(Hypothèses!$B$12=1,Z326="Secondary_Source"),0,1)</f>
        <v>1</v>
      </c>
    </row>
    <row r="327" spans="1:27" x14ac:dyDescent="0.3">
      <c r="A327" s="7" t="s">
        <v>598</v>
      </c>
      <c r="B327" s="7" t="s">
        <v>78</v>
      </c>
      <c r="C327" s="7" t="s">
        <v>86</v>
      </c>
      <c r="D327" s="7" t="s">
        <v>465</v>
      </c>
      <c r="E327" s="7" t="s">
        <v>372</v>
      </c>
      <c r="F327" s="7" t="s">
        <v>246</v>
      </c>
      <c r="G327" s="17">
        <v>3.5535000000000001</v>
      </c>
      <c r="H327" s="17">
        <v>5.2272499999999997</v>
      </c>
      <c r="I327" s="17">
        <v>6.9009999999999998</v>
      </c>
      <c r="J327" s="7" t="s">
        <v>373</v>
      </c>
      <c r="K327" s="7">
        <v>2021</v>
      </c>
      <c r="L327" s="7" t="str">
        <f>IF(Y327&lt;&gt;"",Y327,IF(AND(K327&gt;=Hypothèses!$B$9,K327&lt;=Hypothèses!$B$10),"actuel",IF(K327=2030,"2030",IF(K327=2050,"2050","autre"))))</f>
        <v>actuel</v>
      </c>
      <c r="M327" s="7"/>
      <c r="N327" s="7" t="s">
        <v>248</v>
      </c>
      <c r="O327" s="7"/>
      <c r="P327" s="7" t="s">
        <v>249</v>
      </c>
      <c r="Q327" s="7" t="s">
        <v>49</v>
      </c>
      <c r="R327" s="14">
        <f>INDEX(Hypothèses!$B$14:$B$22,MATCH(Q327,Hypothèses!$A$14:$A$22,0))</f>
        <v>1</v>
      </c>
      <c r="S327" s="17">
        <f t="shared" si="15"/>
        <v>3.5535000000000001</v>
      </c>
      <c r="T327" s="17">
        <f t="shared" si="16"/>
        <v>5.2272499999999997</v>
      </c>
      <c r="U327" s="17">
        <f t="shared" si="17"/>
        <v>6.9009999999999998</v>
      </c>
      <c r="V327" s="7" t="s">
        <v>373</v>
      </c>
      <c r="W327" s="7" t="s">
        <v>84</v>
      </c>
      <c r="X327" s="7" t="s">
        <v>250</v>
      </c>
      <c r="Y327" s="7"/>
      <c r="Z327" s="7"/>
      <c r="AA327" s="7">
        <f>IF(AND(Hypothèses!$B$12=1,Z327="Secondary_Source"),0,1)</f>
        <v>1</v>
      </c>
    </row>
    <row r="328" spans="1:27" x14ac:dyDescent="0.3">
      <c r="A328" s="7" t="s">
        <v>599</v>
      </c>
      <c r="B328" s="7" t="s">
        <v>78</v>
      </c>
      <c r="C328" s="7" t="s">
        <v>90</v>
      </c>
      <c r="D328" s="7" t="s">
        <v>465</v>
      </c>
      <c r="E328" s="7" t="s">
        <v>372</v>
      </c>
      <c r="F328" s="7" t="s">
        <v>258</v>
      </c>
      <c r="G328" s="17">
        <v>2.5750000000000002</v>
      </c>
      <c r="H328" s="17">
        <v>3.6564999999999999</v>
      </c>
      <c r="I328" s="17">
        <v>4.7380000000000004</v>
      </c>
      <c r="J328" s="7" t="s">
        <v>373</v>
      </c>
      <c r="K328" s="7">
        <v>2019</v>
      </c>
      <c r="L328" s="7" t="str">
        <f>IF(Y328&lt;&gt;"",Y328,IF(AND(K328&gt;=Hypothèses!$B$9,K328&lt;=Hypothèses!$B$10),"actuel",IF(K328=2030,"2030",IF(K328=2050,"2050","autre"))))</f>
        <v>autre</v>
      </c>
      <c r="M328" s="7"/>
      <c r="N328" s="7" t="s">
        <v>248</v>
      </c>
      <c r="O328" s="7"/>
      <c r="P328" s="7" t="s">
        <v>282</v>
      </c>
      <c r="Q328" s="7" t="s">
        <v>49</v>
      </c>
      <c r="R328" s="14">
        <f>INDEX(Hypothèses!$B$14:$B$22,MATCH(Q328,Hypothèses!$A$14:$A$22,0))</f>
        <v>1</v>
      </c>
      <c r="S328" s="17">
        <f t="shared" si="15"/>
        <v>2.5750000000000002</v>
      </c>
      <c r="T328" s="17">
        <f t="shared" si="16"/>
        <v>3.6564999999999999</v>
      </c>
      <c r="U328" s="17">
        <f t="shared" si="17"/>
        <v>4.7380000000000004</v>
      </c>
      <c r="V328" s="7" t="s">
        <v>373</v>
      </c>
      <c r="W328" s="7" t="s">
        <v>84</v>
      </c>
      <c r="X328" s="7" t="s">
        <v>250</v>
      </c>
      <c r="Y328" s="7"/>
      <c r="Z328" s="7"/>
      <c r="AA328" s="7">
        <f>IF(AND(Hypothèses!$B$12=1,Z328="Secondary_Source"),0,1)</f>
        <v>1</v>
      </c>
    </row>
    <row r="329" spans="1:27" x14ac:dyDescent="0.3">
      <c r="A329" s="7" t="s">
        <v>600</v>
      </c>
      <c r="B329" s="7" t="s">
        <v>78</v>
      </c>
      <c r="C329" s="7" t="s">
        <v>90</v>
      </c>
      <c r="D329" s="7" t="s">
        <v>465</v>
      </c>
      <c r="E329" s="7" t="s">
        <v>372</v>
      </c>
      <c r="F329" s="7" t="s">
        <v>258</v>
      </c>
      <c r="G329" s="17">
        <v>1.236</v>
      </c>
      <c r="H329" s="17">
        <v>2.06</v>
      </c>
      <c r="I329" s="17">
        <v>2.8839999999999999</v>
      </c>
      <c r="J329" s="7" t="s">
        <v>373</v>
      </c>
      <c r="K329" s="7">
        <v>2030</v>
      </c>
      <c r="L329" s="7" t="str">
        <f>IF(Y329&lt;&gt;"",Y329,IF(AND(K329&gt;=Hypothèses!$B$9,K329&lt;=Hypothèses!$B$10),"actuel",IF(K329=2030,"2030",IF(K329=2050,"2050","autre"))))</f>
        <v>2030</v>
      </c>
      <c r="M329" s="7"/>
      <c r="N329" s="7" t="s">
        <v>248</v>
      </c>
      <c r="O329" s="7"/>
      <c r="P329" s="7" t="s">
        <v>282</v>
      </c>
      <c r="Q329" s="7" t="s">
        <v>49</v>
      </c>
      <c r="R329" s="14">
        <f>INDEX(Hypothèses!$B$14:$B$22,MATCH(Q329,Hypothèses!$A$14:$A$22,0))</f>
        <v>1</v>
      </c>
      <c r="S329" s="17">
        <f t="shared" si="15"/>
        <v>1.236</v>
      </c>
      <c r="T329" s="17">
        <f t="shared" si="16"/>
        <v>2.06</v>
      </c>
      <c r="U329" s="17">
        <f t="shared" si="17"/>
        <v>2.8839999999999999</v>
      </c>
      <c r="V329" s="7" t="s">
        <v>373</v>
      </c>
      <c r="W329" s="7" t="s">
        <v>84</v>
      </c>
      <c r="X329" s="7" t="s">
        <v>250</v>
      </c>
      <c r="Y329" s="7"/>
      <c r="Z329" s="7"/>
      <c r="AA329" s="7">
        <f>IF(AND(Hypothèses!$B$12=1,Z329="Secondary_Source"),0,1)</f>
        <v>1</v>
      </c>
    </row>
    <row r="330" spans="1:27" x14ac:dyDescent="0.3">
      <c r="A330" s="7" t="s">
        <v>601</v>
      </c>
      <c r="B330" s="7" t="s">
        <v>78</v>
      </c>
      <c r="C330" s="7" t="s">
        <v>90</v>
      </c>
      <c r="D330" s="7" t="s">
        <v>465</v>
      </c>
      <c r="E330" s="7" t="s">
        <v>372</v>
      </c>
      <c r="F330" s="7" t="s">
        <v>258</v>
      </c>
      <c r="G330" s="17">
        <v>0.82399999999999995</v>
      </c>
      <c r="H330" s="17">
        <v>1.339</v>
      </c>
      <c r="I330" s="17">
        <v>1.8540000000000001</v>
      </c>
      <c r="J330" s="7" t="s">
        <v>373</v>
      </c>
      <c r="K330" s="7">
        <v>2050</v>
      </c>
      <c r="L330" s="7" t="str">
        <f>IF(Y330&lt;&gt;"",Y330,IF(AND(K330&gt;=Hypothèses!$B$9,K330&lt;=Hypothèses!$B$10),"actuel",IF(K330=2030,"2030",IF(K330=2050,"2050","autre"))))</f>
        <v>2050</v>
      </c>
      <c r="M330" s="7"/>
      <c r="N330" s="7" t="s">
        <v>248</v>
      </c>
      <c r="O330" s="7"/>
      <c r="P330" s="7" t="s">
        <v>282</v>
      </c>
      <c r="Q330" s="7" t="s">
        <v>49</v>
      </c>
      <c r="R330" s="14">
        <f>INDEX(Hypothèses!$B$14:$B$22,MATCH(Q330,Hypothèses!$A$14:$A$22,0))</f>
        <v>1</v>
      </c>
      <c r="S330" s="17">
        <f t="shared" si="15"/>
        <v>0.82399999999999995</v>
      </c>
      <c r="T330" s="17">
        <f t="shared" si="16"/>
        <v>1.339</v>
      </c>
      <c r="U330" s="17">
        <f t="shared" si="17"/>
        <v>1.8540000000000001</v>
      </c>
      <c r="V330" s="7" t="s">
        <v>373</v>
      </c>
      <c r="W330" s="7" t="s">
        <v>84</v>
      </c>
      <c r="X330" s="7" t="s">
        <v>250</v>
      </c>
      <c r="Y330" s="7"/>
      <c r="Z330" s="7"/>
      <c r="AA330" s="7">
        <f>IF(AND(Hypothèses!$B$12=1,Z330="Secondary_Source"),0,1)</f>
        <v>1</v>
      </c>
    </row>
    <row r="331" spans="1:27" x14ac:dyDescent="0.3">
      <c r="A331" s="7" t="s">
        <v>602</v>
      </c>
      <c r="B331" s="7" t="s">
        <v>78</v>
      </c>
      <c r="C331" s="7" t="s">
        <v>104</v>
      </c>
      <c r="D331" s="7" t="s">
        <v>465</v>
      </c>
      <c r="E331" s="7" t="s">
        <v>372</v>
      </c>
      <c r="F331" s="7" t="s">
        <v>258</v>
      </c>
      <c r="G331" s="17">
        <v>3.2239</v>
      </c>
      <c r="H331" s="17">
        <v>4.1715</v>
      </c>
      <c r="I331" s="17">
        <v>5.1191000000000004</v>
      </c>
      <c r="J331" s="7" t="s">
        <v>373</v>
      </c>
      <c r="K331" s="7">
        <v>2018</v>
      </c>
      <c r="L331" s="7" t="str">
        <f>IF(Y331&lt;&gt;"",Y331,IF(AND(K331&gt;=Hypothèses!$B$9,K331&lt;=Hypothèses!$B$10),"actuel",IF(K331=2030,"2030",IF(K331=2050,"2050","autre"))))</f>
        <v>autre</v>
      </c>
      <c r="M331" s="7"/>
      <c r="N331" s="7" t="s">
        <v>248</v>
      </c>
      <c r="O331" s="7"/>
      <c r="P331" s="7" t="s">
        <v>506</v>
      </c>
      <c r="Q331" s="7" t="s">
        <v>49</v>
      </c>
      <c r="R331" s="14">
        <f>INDEX(Hypothèses!$B$14:$B$22,MATCH(Q331,Hypothèses!$A$14:$A$22,0))</f>
        <v>1</v>
      </c>
      <c r="S331" s="17">
        <f t="shared" si="15"/>
        <v>3.2239</v>
      </c>
      <c r="T331" s="17">
        <f t="shared" si="16"/>
        <v>4.1715</v>
      </c>
      <c r="U331" s="17">
        <f t="shared" si="17"/>
        <v>5.1191000000000004</v>
      </c>
      <c r="V331" s="7" t="s">
        <v>373</v>
      </c>
      <c r="W331" s="7" t="s">
        <v>84</v>
      </c>
      <c r="X331" s="7" t="s">
        <v>250</v>
      </c>
      <c r="Y331" s="7"/>
      <c r="Z331" s="7"/>
      <c r="AA331" s="7">
        <f>IF(AND(Hypothèses!$B$12=1,Z331="Secondary_Source"),0,1)</f>
        <v>1</v>
      </c>
    </row>
    <row r="332" spans="1:27" x14ac:dyDescent="0.3">
      <c r="A332" s="7" t="s">
        <v>603</v>
      </c>
      <c r="B332" s="7" t="s">
        <v>78</v>
      </c>
      <c r="C332" s="7" t="s">
        <v>104</v>
      </c>
      <c r="D332" s="7" t="s">
        <v>465</v>
      </c>
      <c r="E332" s="7" t="s">
        <v>372</v>
      </c>
      <c r="F332" s="7" t="s">
        <v>258</v>
      </c>
      <c r="G332" s="17">
        <v>2.1732999999999998</v>
      </c>
      <c r="H332" s="17">
        <v>2.9097499999999998</v>
      </c>
      <c r="I332" s="17">
        <v>3.6461999999999999</v>
      </c>
      <c r="J332" s="7" t="s">
        <v>373</v>
      </c>
      <c r="K332" s="7">
        <v>2025</v>
      </c>
      <c r="L332" s="7" t="str">
        <f>IF(Y332&lt;&gt;"",Y332,IF(AND(K332&gt;=Hypothèses!$B$9,K332&lt;=Hypothèses!$B$10),"actuel",IF(K332=2030,"2030",IF(K332=2050,"2050","autre"))))</f>
        <v>actuel</v>
      </c>
      <c r="M332" s="7"/>
      <c r="N332" s="7" t="s">
        <v>248</v>
      </c>
      <c r="O332" s="7"/>
      <c r="P332" s="7" t="s">
        <v>506</v>
      </c>
      <c r="Q332" s="7" t="s">
        <v>49</v>
      </c>
      <c r="R332" s="14">
        <f>INDEX(Hypothèses!$B$14:$B$22,MATCH(Q332,Hypothèses!$A$14:$A$22,0))</f>
        <v>1</v>
      </c>
      <c r="S332" s="17">
        <f t="shared" si="15"/>
        <v>2.1732999999999998</v>
      </c>
      <c r="T332" s="17">
        <f t="shared" si="16"/>
        <v>2.9097499999999998</v>
      </c>
      <c r="U332" s="17">
        <f t="shared" si="17"/>
        <v>3.6461999999999999</v>
      </c>
      <c r="V332" s="7" t="s">
        <v>373</v>
      </c>
      <c r="W332" s="7" t="s">
        <v>84</v>
      </c>
      <c r="X332" s="7" t="s">
        <v>250</v>
      </c>
      <c r="Y332" s="7"/>
      <c r="Z332" s="7"/>
      <c r="AA332" s="7">
        <f>IF(AND(Hypothèses!$B$12=1,Z332="Secondary_Source"),0,1)</f>
        <v>1</v>
      </c>
    </row>
    <row r="333" spans="1:27" x14ac:dyDescent="0.3">
      <c r="A333" s="7" t="s">
        <v>604</v>
      </c>
      <c r="B333" s="7" t="s">
        <v>78</v>
      </c>
      <c r="C333" s="7" t="s">
        <v>106</v>
      </c>
      <c r="D333" s="7" t="s">
        <v>465</v>
      </c>
      <c r="E333" s="7" t="s">
        <v>372</v>
      </c>
      <c r="F333" s="7" t="s">
        <v>258</v>
      </c>
      <c r="G333" s="17"/>
      <c r="H333" s="17">
        <v>5.7391673574345399</v>
      </c>
      <c r="I333" s="17"/>
      <c r="J333" s="7" t="s">
        <v>373</v>
      </c>
      <c r="K333" s="7">
        <v>2020</v>
      </c>
      <c r="L333" s="7" t="str">
        <f>IF(Y333&lt;&gt;"",Y333,IF(AND(K333&gt;=Hypothèses!$B$9,K333&lt;=Hypothèses!$B$10),"actuel",IF(K333=2030,"2030",IF(K333=2050,"2050","autre"))))</f>
        <v>actuel</v>
      </c>
      <c r="M333" s="7"/>
      <c r="N333" s="7" t="s">
        <v>248</v>
      </c>
      <c r="O333" s="7"/>
      <c r="P333" s="7" t="s">
        <v>290</v>
      </c>
      <c r="Q333" s="7" t="s">
        <v>49</v>
      </c>
      <c r="R333" s="14">
        <f>INDEX(Hypothèses!$B$14:$B$22,MATCH(Q333,Hypothèses!$A$14:$A$22,0))</f>
        <v>1</v>
      </c>
      <c r="S333" s="17" t="str">
        <f t="shared" si="15"/>
        <v/>
      </c>
      <c r="T333" s="17">
        <f t="shared" si="16"/>
        <v>5.7391673574345399</v>
      </c>
      <c r="U333" s="17" t="str">
        <f t="shared" si="17"/>
        <v/>
      </c>
      <c r="V333" s="7" t="s">
        <v>373</v>
      </c>
      <c r="W333" s="7" t="s">
        <v>84</v>
      </c>
      <c r="X333" s="7" t="s">
        <v>250</v>
      </c>
      <c r="Y333" s="7"/>
      <c r="Z333" s="7"/>
      <c r="AA333" s="7">
        <f>IF(AND(Hypothèses!$B$12=1,Z333="Secondary_Source"),0,1)</f>
        <v>1</v>
      </c>
    </row>
    <row r="334" spans="1:27" x14ac:dyDescent="0.3">
      <c r="A334" s="7" t="s">
        <v>605</v>
      </c>
      <c r="B334" s="7" t="s">
        <v>78</v>
      </c>
      <c r="C334" s="7" t="s">
        <v>106</v>
      </c>
      <c r="D334" s="7" t="s">
        <v>465</v>
      </c>
      <c r="E334" s="7" t="s">
        <v>372</v>
      </c>
      <c r="F334" s="7" t="s">
        <v>258</v>
      </c>
      <c r="G334" s="17"/>
      <c r="H334" s="17">
        <v>2.91319642711291</v>
      </c>
      <c r="I334" s="17"/>
      <c r="J334" s="7" t="s">
        <v>373</v>
      </c>
      <c r="K334" s="7">
        <v>2025</v>
      </c>
      <c r="L334" s="7" t="str">
        <f>IF(Y334&lt;&gt;"",Y334,IF(AND(K334&gt;=Hypothèses!$B$9,K334&lt;=Hypothèses!$B$10),"actuel",IF(K334=2030,"2030",IF(K334=2050,"2050","autre"))))</f>
        <v>actuel</v>
      </c>
      <c r="M334" s="7"/>
      <c r="N334" s="7" t="s">
        <v>248</v>
      </c>
      <c r="O334" s="7"/>
      <c r="P334" s="7" t="s">
        <v>290</v>
      </c>
      <c r="Q334" s="7" t="s">
        <v>49</v>
      </c>
      <c r="R334" s="14">
        <f>INDEX(Hypothèses!$B$14:$B$22,MATCH(Q334,Hypothèses!$A$14:$A$22,0))</f>
        <v>1</v>
      </c>
      <c r="S334" s="17" t="str">
        <f t="shared" si="15"/>
        <v/>
      </c>
      <c r="T334" s="17">
        <f t="shared" si="16"/>
        <v>2.91319642711291</v>
      </c>
      <c r="U334" s="17" t="str">
        <f t="shared" si="17"/>
        <v/>
      </c>
      <c r="V334" s="7" t="s">
        <v>373</v>
      </c>
      <c r="W334" s="7" t="s">
        <v>84</v>
      </c>
      <c r="X334" s="7" t="s">
        <v>250</v>
      </c>
      <c r="Y334" s="7"/>
      <c r="Z334" s="7"/>
      <c r="AA334" s="7">
        <f>IF(AND(Hypothèses!$B$12=1,Z334="Secondary_Source"),0,1)</f>
        <v>1</v>
      </c>
    </row>
    <row r="335" spans="1:27" x14ac:dyDescent="0.3">
      <c r="A335" s="7" t="s">
        <v>606</v>
      </c>
      <c r="B335" s="7" t="s">
        <v>78</v>
      </c>
      <c r="C335" s="7" t="s">
        <v>106</v>
      </c>
      <c r="D335" s="7" t="s">
        <v>465</v>
      </c>
      <c r="E335" s="7" t="s">
        <v>372</v>
      </c>
      <c r="F335" s="7" t="s">
        <v>258</v>
      </c>
      <c r="G335" s="17"/>
      <c r="H335" s="17">
        <v>1.9655644030464601</v>
      </c>
      <c r="I335" s="17"/>
      <c r="J335" s="7" t="s">
        <v>373</v>
      </c>
      <c r="K335" s="7">
        <v>2030</v>
      </c>
      <c r="L335" s="7" t="str">
        <f>IF(Y335&lt;&gt;"",Y335,IF(AND(K335&gt;=Hypothèses!$B$9,K335&lt;=Hypothèses!$B$10),"actuel",IF(K335=2030,"2030",IF(K335=2050,"2050","autre"))))</f>
        <v>2030</v>
      </c>
      <c r="M335" s="7"/>
      <c r="N335" s="7" t="s">
        <v>248</v>
      </c>
      <c r="O335" s="7"/>
      <c r="P335" s="7" t="s">
        <v>290</v>
      </c>
      <c r="Q335" s="7" t="s">
        <v>49</v>
      </c>
      <c r="R335" s="14">
        <f>INDEX(Hypothèses!$B$14:$B$22,MATCH(Q335,Hypothèses!$A$14:$A$22,0))</f>
        <v>1</v>
      </c>
      <c r="S335" s="17" t="str">
        <f t="shared" si="15"/>
        <v/>
      </c>
      <c r="T335" s="17">
        <f t="shared" si="16"/>
        <v>1.9655644030464601</v>
      </c>
      <c r="U335" s="17" t="str">
        <f t="shared" si="17"/>
        <v/>
      </c>
      <c r="V335" s="7" t="s">
        <v>373</v>
      </c>
      <c r="W335" s="7" t="s">
        <v>84</v>
      </c>
      <c r="X335" s="7" t="s">
        <v>250</v>
      </c>
      <c r="Y335" s="7"/>
      <c r="Z335" s="7"/>
      <c r="AA335" s="7">
        <f>IF(AND(Hypothèses!$B$12=1,Z335="Secondary_Source"),0,1)</f>
        <v>1</v>
      </c>
    </row>
    <row r="336" spans="1:27" x14ac:dyDescent="0.3">
      <c r="A336" s="7" t="s">
        <v>607</v>
      </c>
      <c r="B336" s="7" t="s">
        <v>78</v>
      </c>
      <c r="C336" s="7" t="s">
        <v>106</v>
      </c>
      <c r="D336" s="7" t="s">
        <v>465</v>
      </c>
      <c r="E336" s="7" t="s">
        <v>372</v>
      </c>
      <c r="F336" s="7" t="s">
        <v>258</v>
      </c>
      <c r="G336" s="17"/>
      <c r="H336" s="17">
        <v>1.1498134468166299</v>
      </c>
      <c r="I336" s="17"/>
      <c r="J336" s="7" t="s">
        <v>373</v>
      </c>
      <c r="K336" s="7">
        <v>2050</v>
      </c>
      <c r="L336" s="7" t="str">
        <f>IF(Y336&lt;&gt;"",Y336,IF(AND(K336&gt;=Hypothèses!$B$9,K336&lt;=Hypothèses!$B$10),"actuel",IF(K336=2030,"2030",IF(K336=2050,"2050","autre"))))</f>
        <v>2050</v>
      </c>
      <c r="M336" s="7"/>
      <c r="N336" s="7" t="s">
        <v>248</v>
      </c>
      <c r="O336" s="7"/>
      <c r="P336" s="7" t="s">
        <v>290</v>
      </c>
      <c r="Q336" s="7" t="s">
        <v>49</v>
      </c>
      <c r="R336" s="14">
        <f>INDEX(Hypothèses!$B$14:$B$22,MATCH(Q336,Hypothèses!$A$14:$A$22,0))</f>
        <v>1</v>
      </c>
      <c r="S336" s="17" t="str">
        <f t="shared" si="15"/>
        <v/>
      </c>
      <c r="T336" s="17">
        <f t="shared" si="16"/>
        <v>1.1498134468166299</v>
      </c>
      <c r="U336" s="17" t="str">
        <f t="shared" si="17"/>
        <v/>
      </c>
      <c r="V336" s="7" t="s">
        <v>373</v>
      </c>
      <c r="W336" s="7" t="s">
        <v>84</v>
      </c>
      <c r="X336" s="7" t="s">
        <v>250</v>
      </c>
      <c r="Y336" s="7"/>
      <c r="Z336" s="7"/>
      <c r="AA336" s="7">
        <f>IF(AND(Hypothèses!$B$12=1,Z336="Secondary_Source"),0,1)</f>
        <v>1</v>
      </c>
    </row>
    <row r="337" spans="1:27" x14ac:dyDescent="0.3">
      <c r="A337" s="7" t="s">
        <v>608</v>
      </c>
      <c r="B337" s="7" t="s">
        <v>78</v>
      </c>
      <c r="C337" s="7" t="s">
        <v>108</v>
      </c>
      <c r="D337" s="7" t="s">
        <v>465</v>
      </c>
      <c r="E337" s="7" t="s">
        <v>372</v>
      </c>
      <c r="F337" s="7" t="s">
        <v>258</v>
      </c>
      <c r="G337" s="17">
        <v>9.97921442307692</v>
      </c>
      <c r="H337" s="17"/>
      <c r="I337" s="17"/>
      <c r="J337" s="7" t="s">
        <v>373</v>
      </c>
      <c r="K337" s="7">
        <v>2020</v>
      </c>
      <c r="L337" s="7" t="str">
        <f>IF(Y337&lt;&gt;"",Y337,IF(AND(K337&gt;=Hypothèses!$B$9,K337&lt;=Hypothèses!$B$10),"actuel",IF(K337=2030,"2030",IF(K337=2050,"2050","autre"))))</f>
        <v>actuel</v>
      </c>
      <c r="M337" s="7"/>
      <c r="N337" s="7" t="s">
        <v>248</v>
      </c>
      <c r="O337" s="7"/>
      <c r="P337" s="7" t="s">
        <v>295</v>
      </c>
      <c r="Q337" s="7" t="s">
        <v>49</v>
      </c>
      <c r="R337" s="14">
        <f>INDEX(Hypothèses!$B$14:$B$22,MATCH(Q337,Hypothèses!$A$14:$A$22,0))</f>
        <v>1</v>
      </c>
      <c r="S337" s="17">
        <f t="shared" si="15"/>
        <v>9.97921442307692</v>
      </c>
      <c r="T337" s="17" t="str">
        <f t="shared" si="16"/>
        <v/>
      </c>
      <c r="U337" s="17" t="str">
        <f t="shared" si="17"/>
        <v/>
      </c>
      <c r="V337" s="7" t="s">
        <v>373</v>
      </c>
      <c r="W337" s="7" t="s">
        <v>84</v>
      </c>
      <c r="X337" s="7" t="s">
        <v>250</v>
      </c>
      <c r="Y337" s="7"/>
      <c r="Z337" s="7"/>
      <c r="AA337" s="7">
        <f>IF(AND(Hypothèses!$B$12=1,Z337="Secondary_Source"),0,1)</f>
        <v>1</v>
      </c>
    </row>
    <row r="338" spans="1:27" x14ac:dyDescent="0.3">
      <c r="A338" s="7" t="s">
        <v>609</v>
      </c>
      <c r="B338" s="7" t="s">
        <v>78</v>
      </c>
      <c r="C338" s="7" t="s">
        <v>108</v>
      </c>
      <c r="D338" s="7" t="s">
        <v>465</v>
      </c>
      <c r="E338" s="7" t="s">
        <v>372</v>
      </c>
      <c r="F338" s="7" t="s">
        <v>258</v>
      </c>
      <c r="G338" s="17">
        <v>10.269000961538501</v>
      </c>
      <c r="H338" s="17"/>
      <c r="I338" s="17"/>
      <c r="J338" s="7" t="s">
        <v>373</v>
      </c>
      <c r="K338" s="7">
        <v>2025</v>
      </c>
      <c r="L338" s="7" t="str">
        <f>IF(Y338&lt;&gt;"",Y338,IF(AND(K338&gt;=Hypothèses!$B$9,K338&lt;=Hypothèses!$B$10),"actuel",IF(K338=2030,"2030",IF(K338=2050,"2050","autre"))))</f>
        <v>actuel</v>
      </c>
      <c r="M338" s="7"/>
      <c r="N338" s="7" t="s">
        <v>248</v>
      </c>
      <c r="O338" s="7"/>
      <c r="P338" s="7" t="s">
        <v>295</v>
      </c>
      <c r="Q338" s="7" t="s">
        <v>49</v>
      </c>
      <c r="R338" s="14">
        <f>INDEX(Hypothèses!$B$14:$B$22,MATCH(Q338,Hypothèses!$A$14:$A$22,0))</f>
        <v>1</v>
      </c>
      <c r="S338" s="17">
        <f t="shared" si="15"/>
        <v>10.269000961538501</v>
      </c>
      <c r="T338" s="17" t="str">
        <f t="shared" si="16"/>
        <v/>
      </c>
      <c r="U338" s="17" t="str">
        <f t="shared" si="17"/>
        <v/>
      </c>
      <c r="V338" s="7" t="s">
        <v>373</v>
      </c>
      <c r="W338" s="7" t="s">
        <v>84</v>
      </c>
      <c r="X338" s="7" t="s">
        <v>250</v>
      </c>
      <c r="Y338" s="7"/>
      <c r="Z338" s="7"/>
      <c r="AA338" s="7">
        <f>IF(AND(Hypothèses!$B$12=1,Z338="Secondary_Source"),0,1)</f>
        <v>1</v>
      </c>
    </row>
    <row r="339" spans="1:27" x14ac:dyDescent="0.3">
      <c r="A339" s="7" t="s">
        <v>610</v>
      </c>
      <c r="B339" s="7" t="s">
        <v>78</v>
      </c>
      <c r="C339" s="7" t="s">
        <v>108</v>
      </c>
      <c r="D339" s="7" t="s">
        <v>465</v>
      </c>
      <c r="E339" s="7" t="s">
        <v>372</v>
      </c>
      <c r="F339" s="7" t="s">
        <v>258</v>
      </c>
      <c r="G339" s="17">
        <v>10.2796971153846</v>
      </c>
      <c r="H339" s="17"/>
      <c r="I339" s="17"/>
      <c r="J339" s="7" t="s">
        <v>373</v>
      </c>
      <c r="K339" s="7">
        <v>2030</v>
      </c>
      <c r="L339" s="7" t="str">
        <f>IF(Y339&lt;&gt;"",Y339,IF(AND(K339&gt;=Hypothèses!$B$9,K339&lt;=Hypothèses!$B$10),"actuel",IF(K339=2030,"2030",IF(K339=2050,"2050","autre"))))</f>
        <v>2030</v>
      </c>
      <c r="M339" s="7"/>
      <c r="N339" s="7" t="s">
        <v>248</v>
      </c>
      <c r="O339" s="7"/>
      <c r="P339" s="7" t="s">
        <v>295</v>
      </c>
      <c r="Q339" s="7" t="s">
        <v>49</v>
      </c>
      <c r="R339" s="14">
        <f>INDEX(Hypothèses!$B$14:$B$22,MATCH(Q339,Hypothèses!$A$14:$A$22,0))</f>
        <v>1</v>
      </c>
      <c r="S339" s="17">
        <f t="shared" si="15"/>
        <v>10.2796971153846</v>
      </c>
      <c r="T339" s="17" t="str">
        <f t="shared" si="16"/>
        <v/>
      </c>
      <c r="U339" s="17" t="str">
        <f t="shared" si="17"/>
        <v/>
      </c>
      <c r="V339" s="7" t="s">
        <v>373</v>
      </c>
      <c r="W339" s="7" t="s">
        <v>84</v>
      </c>
      <c r="X339" s="7" t="s">
        <v>250</v>
      </c>
      <c r="Y339" s="7"/>
      <c r="Z339" s="7"/>
      <c r="AA339" s="7">
        <f>IF(AND(Hypothèses!$B$12=1,Z339="Secondary_Source"),0,1)</f>
        <v>1</v>
      </c>
    </row>
    <row r="340" spans="1:27" x14ac:dyDescent="0.3">
      <c r="A340" s="7" t="s">
        <v>611</v>
      </c>
      <c r="B340" s="7" t="s">
        <v>78</v>
      </c>
      <c r="C340" s="7" t="s">
        <v>108</v>
      </c>
      <c r="D340" s="7" t="s">
        <v>465</v>
      </c>
      <c r="E340" s="7" t="s">
        <v>372</v>
      </c>
      <c r="F340" s="7" t="s">
        <v>258</v>
      </c>
      <c r="G340" s="17">
        <v>10.1938307692308</v>
      </c>
      <c r="H340" s="17"/>
      <c r="I340" s="17"/>
      <c r="J340" s="7" t="s">
        <v>373</v>
      </c>
      <c r="K340" s="7">
        <v>2035</v>
      </c>
      <c r="L340" s="7" t="str">
        <f>IF(Y340&lt;&gt;"",Y340,IF(AND(K340&gt;=Hypothèses!$B$9,K340&lt;=Hypothèses!$B$10),"actuel",IF(K340=2030,"2030",IF(K340=2050,"2050","autre"))))</f>
        <v>autre</v>
      </c>
      <c r="M340" s="7"/>
      <c r="N340" s="7" t="s">
        <v>248</v>
      </c>
      <c r="O340" s="7"/>
      <c r="P340" s="7" t="s">
        <v>295</v>
      </c>
      <c r="Q340" s="7" t="s">
        <v>49</v>
      </c>
      <c r="R340" s="14">
        <f>INDEX(Hypothèses!$B$14:$B$22,MATCH(Q340,Hypothèses!$A$14:$A$22,0))</f>
        <v>1</v>
      </c>
      <c r="S340" s="17">
        <f t="shared" si="15"/>
        <v>10.1938307692308</v>
      </c>
      <c r="T340" s="17" t="str">
        <f t="shared" si="16"/>
        <v/>
      </c>
      <c r="U340" s="17" t="str">
        <f t="shared" si="17"/>
        <v/>
      </c>
      <c r="V340" s="7" t="s">
        <v>373</v>
      </c>
      <c r="W340" s="7" t="s">
        <v>84</v>
      </c>
      <c r="X340" s="7" t="s">
        <v>250</v>
      </c>
      <c r="Y340" s="7"/>
      <c r="Z340" s="7"/>
      <c r="AA340" s="7">
        <f>IF(AND(Hypothèses!$B$12=1,Z340="Secondary_Source"),0,1)</f>
        <v>1</v>
      </c>
    </row>
    <row r="341" spans="1:27" x14ac:dyDescent="0.3">
      <c r="A341" s="7" t="s">
        <v>612</v>
      </c>
      <c r="B341" s="7" t="s">
        <v>78</v>
      </c>
      <c r="C341" s="7" t="s">
        <v>108</v>
      </c>
      <c r="D341" s="7" t="s">
        <v>465</v>
      </c>
      <c r="E341" s="7" t="s">
        <v>372</v>
      </c>
      <c r="F341" s="7" t="s">
        <v>258</v>
      </c>
      <c r="G341" s="17">
        <v>9.9363307692307696</v>
      </c>
      <c r="H341" s="17"/>
      <c r="I341" s="17"/>
      <c r="J341" s="7" t="s">
        <v>373</v>
      </c>
      <c r="K341" s="7">
        <v>2040</v>
      </c>
      <c r="L341" s="7" t="str">
        <f>IF(Y341&lt;&gt;"",Y341,IF(AND(K341&gt;=Hypothèses!$B$9,K341&lt;=Hypothèses!$B$10),"actuel",IF(K341=2030,"2030",IF(K341=2050,"2050","autre"))))</f>
        <v>autre</v>
      </c>
      <c r="M341" s="7"/>
      <c r="N341" s="7" t="s">
        <v>248</v>
      </c>
      <c r="O341" s="7"/>
      <c r="P341" s="7" t="s">
        <v>295</v>
      </c>
      <c r="Q341" s="7" t="s">
        <v>49</v>
      </c>
      <c r="R341" s="14">
        <f>INDEX(Hypothèses!$B$14:$B$22,MATCH(Q341,Hypothèses!$A$14:$A$22,0))</f>
        <v>1</v>
      </c>
      <c r="S341" s="17">
        <f t="shared" si="15"/>
        <v>9.9363307692307696</v>
      </c>
      <c r="T341" s="17" t="str">
        <f t="shared" si="16"/>
        <v/>
      </c>
      <c r="U341" s="17" t="str">
        <f t="shared" si="17"/>
        <v/>
      </c>
      <c r="V341" s="7" t="s">
        <v>373</v>
      </c>
      <c r="W341" s="7" t="s">
        <v>84</v>
      </c>
      <c r="X341" s="7" t="s">
        <v>250</v>
      </c>
      <c r="Y341" s="7"/>
      <c r="Z341" s="7"/>
      <c r="AA341" s="7">
        <f>IF(AND(Hypothèses!$B$12=1,Z341="Secondary_Source"),0,1)</f>
        <v>1</v>
      </c>
    </row>
    <row r="342" spans="1:27" x14ac:dyDescent="0.3">
      <c r="A342" s="7" t="s">
        <v>613</v>
      </c>
      <c r="B342" s="7" t="s">
        <v>78</v>
      </c>
      <c r="C342" s="7" t="s">
        <v>108</v>
      </c>
      <c r="D342" s="7" t="s">
        <v>465</v>
      </c>
      <c r="E342" s="7" t="s">
        <v>372</v>
      </c>
      <c r="F342" s="7" t="s">
        <v>258</v>
      </c>
      <c r="G342" s="17">
        <v>9.6144161538461592</v>
      </c>
      <c r="H342" s="17"/>
      <c r="I342" s="17"/>
      <c r="J342" s="7" t="s">
        <v>373</v>
      </c>
      <c r="K342" s="7">
        <v>2045</v>
      </c>
      <c r="L342" s="7" t="str">
        <f>IF(Y342&lt;&gt;"",Y342,IF(AND(K342&gt;=Hypothèses!$B$9,K342&lt;=Hypothèses!$B$10),"actuel",IF(K342=2030,"2030",IF(K342=2050,"2050","autre"))))</f>
        <v>autre</v>
      </c>
      <c r="M342" s="7"/>
      <c r="N342" s="7" t="s">
        <v>248</v>
      </c>
      <c r="O342" s="7"/>
      <c r="P342" s="7" t="s">
        <v>295</v>
      </c>
      <c r="Q342" s="7" t="s">
        <v>49</v>
      </c>
      <c r="R342" s="14">
        <f>INDEX(Hypothèses!$B$14:$B$22,MATCH(Q342,Hypothèses!$A$14:$A$22,0))</f>
        <v>1</v>
      </c>
      <c r="S342" s="17">
        <f t="shared" si="15"/>
        <v>9.6144161538461592</v>
      </c>
      <c r="T342" s="17" t="str">
        <f t="shared" si="16"/>
        <v/>
      </c>
      <c r="U342" s="17" t="str">
        <f t="shared" si="17"/>
        <v/>
      </c>
      <c r="V342" s="7" t="s">
        <v>373</v>
      </c>
      <c r="W342" s="7" t="s">
        <v>84</v>
      </c>
      <c r="X342" s="7" t="s">
        <v>250</v>
      </c>
      <c r="Y342" s="7"/>
      <c r="Z342" s="7"/>
      <c r="AA342" s="7">
        <f>IF(AND(Hypothèses!$B$12=1,Z342="Secondary_Source"),0,1)</f>
        <v>1</v>
      </c>
    </row>
    <row r="343" spans="1:27" x14ac:dyDescent="0.3">
      <c r="A343" s="7" t="s">
        <v>614</v>
      </c>
      <c r="B343" s="7" t="s">
        <v>78</v>
      </c>
      <c r="C343" s="7" t="s">
        <v>108</v>
      </c>
      <c r="D343" s="7" t="s">
        <v>465</v>
      </c>
      <c r="E343" s="7" t="s">
        <v>372</v>
      </c>
      <c r="F343" s="7" t="s">
        <v>258</v>
      </c>
      <c r="G343" s="17">
        <v>9.3354248076923092</v>
      </c>
      <c r="H343" s="17"/>
      <c r="I343" s="17"/>
      <c r="J343" s="7" t="s">
        <v>373</v>
      </c>
      <c r="K343" s="7">
        <v>2050</v>
      </c>
      <c r="L343" s="7" t="str">
        <f>IF(Y343&lt;&gt;"",Y343,IF(AND(K343&gt;=Hypothèses!$B$9,K343&lt;=Hypothèses!$B$10),"actuel",IF(K343=2030,"2030",IF(K343=2050,"2050","autre"))))</f>
        <v>2050</v>
      </c>
      <c r="M343" s="7"/>
      <c r="N343" s="7" t="s">
        <v>248</v>
      </c>
      <c r="O343" s="7"/>
      <c r="P343" s="7" t="s">
        <v>295</v>
      </c>
      <c r="Q343" s="7" t="s">
        <v>49</v>
      </c>
      <c r="R343" s="14">
        <f>INDEX(Hypothèses!$B$14:$B$22,MATCH(Q343,Hypothèses!$A$14:$A$22,0))</f>
        <v>1</v>
      </c>
      <c r="S343" s="17">
        <f t="shared" si="15"/>
        <v>9.3354248076923092</v>
      </c>
      <c r="T343" s="17" t="str">
        <f t="shared" si="16"/>
        <v/>
      </c>
      <c r="U343" s="17" t="str">
        <f t="shared" si="17"/>
        <v/>
      </c>
      <c r="V343" s="7" t="s">
        <v>373</v>
      </c>
      <c r="W343" s="7" t="s">
        <v>84</v>
      </c>
      <c r="X343" s="7" t="s">
        <v>250</v>
      </c>
      <c r="Y343" s="7"/>
      <c r="Z343" s="7"/>
      <c r="AA343" s="7">
        <f>IF(AND(Hypothèses!$B$12=1,Z343="Secondary_Source"),0,1)</f>
        <v>1</v>
      </c>
    </row>
    <row r="344" spans="1:27" x14ac:dyDescent="0.3">
      <c r="A344" s="7" t="s">
        <v>615</v>
      </c>
      <c r="B344" s="7" t="s">
        <v>78</v>
      </c>
      <c r="C344" s="7" t="s">
        <v>110</v>
      </c>
      <c r="D344" s="7" t="s">
        <v>465</v>
      </c>
      <c r="E344" s="7" t="s">
        <v>372</v>
      </c>
      <c r="F344" s="7" t="s">
        <v>258</v>
      </c>
      <c r="G344" s="17">
        <v>31.896774193548399</v>
      </c>
      <c r="H344" s="17">
        <v>35.551612903225802</v>
      </c>
      <c r="I344" s="17">
        <v>39.206451612903201</v>
      </c>
      <c r="J344" s="7" t="s">
        <v>373</v>
      </c>
      <c r="K344" s="7">
        <v>2020</v>
      </c>
      <c r="L344" s="7" t="str">
        <f>IF(Y344&lt;&gt;"",Y344,IF(AND(K344&gt;=Hypothèses!$B$9,K344&lt;=Hypothèses!$B$10),"actuel",IF(K344=2030,"2030",IF(K344=2050,"2050","autre"))))</f>
        <v>actuel</v>
      </c>
      <c r="M344" s="7"/>
      <c r="N344" s="7" t="s">
        <v>248</v>
      </c>
      <c r="O344" s="7"/>
      <c r="P344" s="7" t="s">
        <v>303</v>
      </c>
      <c r="Q344" s="7" t="s">
        <v>49</v>
      </c>
      <c r="R344" s="14">
        <f>INDEX(Hypothèses!$B$14:$B$22,MATCH(Q344,Hypothèses!$A$14:$A$22,0))</f>
        <v>1</v>
      </c>
      <c r="S344" s="17">
        <f t="shared" si="15"/>
        <v>31.896774193548399</v>
      </c>
      <c r="T344" s="17">
        <f t="shared" si="16"/>
        <v>35.551612903225802</v>
      </c>
      <c r="U344" s="17">
        <f t="shared" si="17"/>
        <v>39.206451612903201</v>
      </c>
      <c r="V344" s="7" t="s">
        <v>373</v>
      </c>
      <c r="W344" s="7" t="s">
        <v>84</v>
      </c>
      <c r="X344" s="7" t="s">
        <v>250</v>
      </c>
      <c r="Y344" s="7"/>
      <c r="Z344" s="7"/>
      <c r="AA344" s="7">
        <f>IF(AND(Hypothèses!$B$12=1,Z344="Secondary_Source"),0,1)</f>
        <v>1</v>
      </c>
    </row>
    <row r="345" spans="1:27" x14ac:dyDescent="0.3">
      <c r="A345" s="7" t="s">
        <v>616</v>
      </c>
      <c r="B345" s="7" t="s">
        <v>78</v>
      </c>
      <c r="C345" s="7" t="s">
        <v>110</v>
      </c>
      <c r="D345" s="7" t="s">
        <v>465</v>
      </c>
      <c r="E345" s="7" t="s">
        <v>372</v>
      </c>
      <c r="F345" s="7" t="s">
        <v>258</v>
      </c>
      <c r="G345" s="17">
        <v>12.625806451612901</v>
      </c>
      <c r="H345" s="17">
        <v>13.290322580645199</v>
      </c>
      <c r="I345" s="17">
        <v>13.9548387096774</v>
      </c>
      <c r="J345" s="7" t="s">
        <v>373</v>
      </c>
      <c r="K345" s="7">
        <v>2030</v>
      </c>
      <c r="L345" s="7" t="str">
        <f>IF(Y345&lt;&gt;"",Y345,IF(AND(K345&gt;=Hypothèses!$B$9,K345&lt;=Hypothèses!$B$10),"actuel",IF(K345=2030,"2030",IF(K345=2050,"2050","autre"))))</f>
        <v>2030</v>
      </c>
      <c r="M345" s="7"/>
      <c r="N345" s="7" t="s">
        <v>248</v>
      </c>
      <c r="O345" s="7"/>
      <c r="P345" s="7" t="s">
        <v>303</v>
      </c>
      <c r="Q345" s="7" t="s">
        <v>49</v>
      </c>
      <c r="R345" s="14">
        <f>INDEX(Hypothèses!$B$14:$B$22,MATCH(Q345,Hypothèses!$A$14:$A$22,0))</f>
        <v>1</v>
      </c>
      <c r="S345" s="17">
        <f t="shared" si="15"/>
        <v>12.625806451612901</v>
      </c>
      <c r="T345" s="17">
        <f t="shared" si="16"/>
        <v>13.290322580645199</v>
      </c>
      <c r="U345" s="17">
        <f t="shared" si="17"/>
        <v>13.9548387096774</v>
      </c>
      <c r="V345" s="7" t="s">
        <v>373</v>
      </c>
      <c r="W345" s="7" t="s">
        <v>84</v>
      </c>
      <c r="X345" s="7" t="s">
        <v>250</v>
      </c>
      <c r="Y345" s="7"/>
      <c r="Z345" s="7"/>
      <c r="AA345" s="7">
        <f>IF(AND(Hypothèses!$B$12=1,Z345="Secondary_Source"),0,1)</f>
        <v>1</v>
      </c>
    </row>
    <row r="346" spans="1:27" x14ac:dyDescent="0.3">
      <c r="A346" s="7" t="s">
        <v>617</v>
      </c>
      <c r="B346" s="7" t="s">
        <v>78</v>
      </c>
      <c r="C346" s="7" t="s">
        <v>110</v>
      </c>
      <c r="D346" s="7" t="s">
        <v>465</v>
      </c>
      <c r="E346" s="7" t="s">
        <v>372</v>
      </c>
      <c r="F346" s="7" t="s">
        <v>258</v>
      </c>
      <c r="G346" s="17">
        <v>7.9741935483870998</v>
      </c>
      <c r="H346" s="17">
        <v>9.3032258064516107</v>
      </c>
      <c r="I346" s="17">
        <v>10.632258064516099</v>
      </c>
      <c r="J346" s="7" t="s">
        <v>373</v>
      </c>
      <c r="K346" s="7">
        <v>2040</v>
      </c>
      <c r="L346" s="7" t="str">
        <f>IF(Y346&lt;&gt;"",Y346,IF(AND(K346&gt;=Hypothèses!$B$9,K346&lt;=Hypothèses!$B$10),"actuel",IF(K346=2030,"2030",IF(K346=2050,"2050","autre"))))</f>
        <v>autre</v>
      </c>
      <c r="M346" s="7"/>
      <c r="N346" s="7" t="s">
        <v>248</v>
      </c>
      <c r="O346" s="7"/>
      <c r="P346" s="7" t="s">
        <v>303</v>
      </c>
      <c r="Q346" s="7" t="s">
        <v>49</v>
      </c>
      <c r="R346" s="14">
        <f>INDEX(Hypothèses!$B$14:$B$22,MATCH(Q346,Hypothèses!$A$14:$A$22,0))</f>
        <v>1</v>
      </c>
      <c r="S346" s="17">
        <f t="shared" si="15"/>
        <v>7.9741935483870998</v>
      </c>
      <c r="T346" s="17">
        <f t="shared" si="16"/>
        <v>9.3032258064516107</v>
      </c>
      <c r="U346" s="17">
        <f t="shared" si="17"/>
        <v>10.632258064516099</v>
      </c>
      <c r="V346" s="7" t="s">
        <v>373</v>
      </c>
      <c r="W346" s="7" t="s">
        <v>84</v>
      </c>
      <c r="X346" s="7" t="s">
        <v>250</v>
      </c>
      <c r="Y346" s="7"/>
      <c r="Z346" s="7"/>
      <c r="AA346" s="7">
        <f>IF(AND(Hypothèses!$B$12=1,Z346="Secondary_Source"),0,1)</f>
        <v>1</v>
      </c>
    </row>
    <row r="347" spans="1:27" x14ac:dyDescent="0.3">
      <c r="A347" s="7" t="s">
        <v>618</v>
      </c>
      <c r="B347" s="7" t="s">
        <v>78</v>
      </c>
      <c r="C347" s="7" t="s">
        <v>110</v>
      </c>
      <c r="D347" s="7" t="s">
        <v>465</v>
      </c>
      <c r="E347" s="7" t="s">
        <v>372</v>
      </c>
      <c r="F347" s="7" t="s">
        <v>258</v>
      </c>
      <c r="G347" s="17">
        <v>6.6451612903225801</v>
      </c>
      <c r="H347" s="17">
        <v>7.9741935483870998</v>
      </c>
      <c r="I347" s="17">
        <v>9.3032258064516107</v>
      </c>
      <c r="J347" s="7" t="s">
        <v>373</v>
      </c>
      <c r="K347" s="7">
        <v>2050</v>
      </c>
      <c r="L347" s="7" t="str">
        <f>IF(Y347&lt;&gt;"",Y347,IF(AND(K347&gt;=Hypothèses!$B$9,K347&lt;=Hypothèses!$B$10),"actuel",IF(K347=2030,"2030",IF(K347=2050,"2050","autre"))))</f>
        <v>2050</v>
      </c>
      <c r="M347" s="7"/>
      <c r="N347" s="7" t="s">
        <v>248</v>
      </c>
      <c r="O347" s="7"/>
      <c r="P347" s="7" t="s">
        <v>303</v>
      </c>
      <c r="Q347" s="7" t="s">
        <v>49</v>
      </c>
      <c r="R347" s="14">
        <f>INDEX(Hypothèses!$B$14:$B$22,MATCH(Q347,Hypothèses!$A$14:$A$22,0))</f>
        <v>1</v>
      </c>
      <c r="S347" s="17">
        <f t="shared" si="15"/>
        <v>6.6451612903225801</v>
      </c>
      <c r="T347" s="17">
        <f t="shared" si="16"/>
        <v>7.9741935483870998</v>
      </c>
      <c r="U347" s="17">
        <f t="shared" si="17"/>
        <v>9.3032258064516107</v>
      </c>
      <c r="V347" s="7" t="s">
        <v>373</v>
      </c>
      <c r="W347" s="7" t="s">
        <v>84</v>
      </c>
      <c r="X347" s="7" t="s">
        <v>250</v>
      </c>
      <c r="Y347" s="7"/>
      <c r="Z347" s="7"/>
      <c r="AA347" s="7">
        <f>IF(AND(Hypothèses!$B$12=1,Z347="Secondary_Source"),0,1)</f>
        <v>1</v>
      </c>
    </row>
    <row r="348" spans="1:27" x14ac:dyDescent="0.3">
      <c r="A348" s="7" t="s">
        <v>619</v>
      </c>
      <c r="B348" s="7" t="s">
        <v>78</v>
      </c>
      <c r="C348" s="7" t="s">
        <v>114</v>
      </c>
      <c r="D348" s="7" t="s">
        <v>465</v>
      </c>
      <c r="E348" s="7" t="s">
        <v>372</v>
      </c>
      <c r="F348" s="7" t="s">
        <v>258</v>
      </c>
      <c r="G348" s="17"/>
      <c r="H348" s="17">
        <v>5.2186700999999998</v>
      </c>
      <c r="I348" s="17"/>
      <c r="J348" s="7" t="s">
        <v>373</v>
      </c>
      <c r="K348" s="7">
        <v>2020</v>
      </c>
      <c r="L348" s="7" t="str">
        <f>IF(Y348&lt;&gt;"",Y348,IF(AND(K348&gt;=Hypothèses!$B$9,K348&lt;=Hypothèses!$B$10),"actuel",IF(K348=2030,"2030",IF(K348=2050,"2050","autre"))))</f>
        <v>actuel</v>
      </c>
      <c r="M348" s="7"/>
      <c r="N348" s="7" t="s">
        <v>248</v>
      </c>
      <c r="O348" s="7"/>
      <c r="P348" s="7" t="s">
        <v>335</v>
      </c>
      <c r="Q348" s="7" t="s">
        <v>49</v>
      </c>
      <c r="R348" s="14">
        <f>INDEX(Hypothèses!$B$14:$B$22,MATCH(Q348,Hypothèses!$A$14:$A$22,0))</f>
        <v>1</v>
      </c>
      <c r="S348" s="17" t="str">
        <f t="shared" si="15"/>
        <v/>
      </c>
      <c r="T348" s="17">
        <f t="shared" si="16"/>
        <v>5.2186700999999998</v>
      </c>
      <c r="U348" s="17" t="str">
        <f t="shared" si="17"/>
        <v/>
      </c>
      <c r="V348" s="7" t="s">
        <v>373</v>
      </c>
      <c r="W348" s="7" t="s">
        <v>84</v>
      </c>
      <c r="X348" s="7" t="s">
        <v>250</v>
      </c>
      <c r="Y348" s="7"/>
      <c r="Z348" s="7"/>
      <c r="AA348" s="7">
        <f>IF(AND(Hypothèses!$B$12=1,Z348="Secondary_Source"),0,1)</f>
        <v>1</v>
      </c>
    </row>
    <row r="349" spans="1:27" x14ac:dyDescent="0.3">
      <c r="A349" s="7" t="s">
        <v>620</v>
      </c>
      <c r="B349" s="7" t="s">
        <v>78</v>
      </c>
      <c r="C349" s="7" t="s">
        <v>114</v>
      </c>
      <c r="D349" s="7" t="s">
        <v>465</v>
      </c>
      <c r="E349" s="7" t="s">
        <v>372</v>
      </c>
      <c r="F349" s="7" t="s">
        <v>258</v>
      </c>
      <c r="G349" s="17"/>
      <c r="H349" s="17">
        <v>2.8290701</v>
      </c>
      <c r="I349" s="17"/>
      <c r="J349" s="7" t="s">
        <v>373</v>
      </c>
      <c r="K349" s="7">
        <v>2030</v>
      </c>
      <c r="L349" s="7" t="str">
        <f>IF(Y349&lt;&gt;"",Y349,IF(AND(K349&gt;=Hypothèses!$B$9,K349&lt;=Hypothèses!$B$10),"actuel",IF(K349=2030,"2030",IF(K349=2050,"2050","autre"))))</f>
        <v>2030</v>
      </c>
      <c r="M349" s="7"/>
      <c r="N349" s="7" t="s">
        <v>248</v>
      </c>
      <c r="O349" s="7"/>
      <c r="P349" s="7" t="s">
        <v>335</v>
      </c>
      <c r="Q349" s="7" t="s">
        <v>49</v>
      </c>
      <c r="R349" s="14">
        <f>INDEX(Hypothèses!$B$14:$B$22,MATCH(Q349,Hypothèses!$A$14:$A$22,0))</f>
        <v>1</v>
      </c>
      <c r="S349" s="17" t="str">
        <f t="shared" si="15"/>
        <v/>
      </c>
      <c r="T349" s="17">
        <f t="shared" si="16"/>
        <v>2.8290701</v>
      </c>
      <c r="U349" s="17" t="str">
        <f t="shared" si="17"/>
        <v/>
      </c>
      <c r="V349" s="7" t="s">
        <v>373</v>
      </c>
      <c r="W349" s="7" t="s">
        <v>84</v>
      </c>
      <c r="X349" s="7" t="s">
        <v>250</v>
      </c>
      <c r="Y349" s="7"/>
      <c r="Z349" s="7"/>
      <c r="AA349" s="7">
        <f>IF(AND(Hypothèses!$B$12=1,Z349="Secondary_Source"),0,1)</f>
        <v>1</v>
      </c>
    </row>
    <row r="350" spans="1:27" x14ac:dyDescent="0.3">
      <c r="A350" s="7" t="s">
        <v>621</v>
      </c>
      <c r="B350" s="7" t="s">
        <v>78</v>
      </c>
      <c r="C350" s="7" t="s">
        <v>114</v>
      </c>
      <c r="D350" s="7" t="s">
        <v>465</v>
      </c>
      <c r="E350" s="7" t="s">
        <v>372</v>
      </c>
      <c r="F350" s="7" t="s">
        <v>258</v>
      </c>
      <c r="G350" s="17"/>
      <c r="H350" s="17">
        <v>1.2909299000000001</v>
      </c>
      <c r="I350" s="17"/>
      <c r="J350" s="7" t="s">
        <v>373</v>
      </c>
      <c r="K350" s="7">
        <v>2050</v>
      </c>
      <c r="L350" s="7" t="str">
        <f>IF(Y350&lt;&gt;"",Y350,IF(AND(K350&gt;=Hypothèses!$B$9,K350&lt;=Hypothèses!$B$10),"actuel",IF(K350=2030,"2030",IF(K350=2050,"2050","autre"))))</f>
        <v>2050</v>
      </c>
      <c r="M350" s="7"/>
      <c r="N350" s="7" t="s">
        <v>248</v>
      </c>
      <c r="O350" s="7"/>
      <c r="P350" s="7" t="s">
        <v>335</v>
      </c>
      <c r="Q350" s="7" t="s">
        <v>49</v>
      </c>
      <c r="R350" s="14">
        <f>INDEX(Hypothèses!$B$14:$B$22,MATCH(Q350,Hypothèses!$A$14:$A$22,0))</f>
        <v>1</v>
      </c>
      <c r="S350" s="17" t="str">
        <f t="shared" si="15"/>
        <v/>
      </c>
      <c r="T350" s="17">
        <f t="shared" si="16"/>
        <v>1.2909299000000001</v>
      </c>
      <c r="U350" s="17" t="str">
        <f t="shared" si="17"/>
        <v/>
      </c>
      <c r="V350" s="7" t="s">
        <v>373</v>
      </c>
      <c r="W350" s="7" t="s">
        <v>84</v>
      </c>
      <c r="X350" s="7" t="s">
        <v>250</v>
      </c>
      <c r="Y350" s="7"/>
      <c r="Z350" s="7"/>
      <c r="AA350" s="7">
        <f>IF(AND(Hypothèses!$B$12=1,Z350="Secondary_Source"),0,1)</f>
        <v>1</v>
      </c>
    </row>
    <row r="351" spans="1:27" x14ac:dyDescent="0.3">
      <c r="A351" s="7" t="s">
        <v>622</v>
      </c>
      <c r="B351" s="7" t="s">
        <v>78</v>
      </c>
      <c r="C351" s="7" t="s">
        <v>116</v>
      </c>
      <c r="D351" s="7" t="s">
        <v>465</v>
      </c>
      <c r="E351" s="7" t="s">
        <v>372</v>
      </c>
      <c r="F351" s="7" t="s">
        <v>258</v>
      </c>
      <c r="G351" s="17">
        <v>2.3690000000000002</v>
      </c>
      <c r="H351" s="17">
        <v>3.1415000000000002</v>
      </c>
      <c r="I351" s="17">
        <v>3.9140000000000001</v>
      </c>
      <c r="J351" s="7" t="s">
        <v>373</v>
      </c>
      <c r="K351" s="7">
        <v>2020</v>
      </c>
      <c r="L351" s="7" t="str">
        <f>IF(Y351&lt;&gt;"",Y351,IF(AND(K351&gt;=Hypothèses!$B$9,K351&lt;=Hypothèses!$B$10),"actuel",IF(K351=2030,"2030",IF(K351=2050,"2050","autre"))))</f>
        <v>actuel</v>
      </c>
      <c r="M351" s="7"/>
      <c r="N351" s="7" t="s">
        <v>248</v>
      </c>
      <c r="O351" s="7"/>
      <c r="P351" s="7" t="s">
        <v>282</v>
      </c>
      <c r="Q351" s="7" t="s">
        <v>49</v>
      </c>
      <c r="R351" s="14">
        <f>INDEX(Hypothèses!$B$14:$B$22,MATCH(Q351,Hypothèses!$A$14:$A$22,0))</f>
        <v>1</v>
      </c>
      <c r="S351" s="17">
        <f t="shared" si="15"/>
        <v>2.3690000000000002</v>
      </c>
      <c r="T351" s="17">
        <f t="shared" si="16"/>
        <v>3.1415000000000002</v>
      </c>
      <c r="U351" s="17">
        <f t="shared" si="17"/>
        <v>3.9140000000000001</v>
      </c>
      <c r="V351" s="7" t="s">
        <v>373</v>
      </c>
      <c r="W351" s="7" t="s">
        <v>84</v>
      </c>
      <c r="X351" s="7" t="s">
        <v>250</v>
      </c>
      <c r="Y351" s="7"/>
      <c r="Z351" s="7"/>
      <c r="AA351" s="7">
        <f>IF(AND(Hypothèses!$B$12=1,Z351="Secondary_Source"),0,1)</f>
        <v>1</v>
      </c>
    </row>
    <row r="352" spans="1:27" x14ac:dyDescent="0.3">
      <c r="A352" s="7" t="s">
        <v>623</v>
      </c>
      <c r="B352" s="7" t="s">
        <v>78</v>
      </c>
      <c r="C352" s="7" t="s">
        <v>116</v>
      </c>
      <c r="D352" s="7" t="s">
        <v>465</v>
      </c>
      <c r="E352" s="7" t="s">
        <v>372</v>
      </c>
      <c r="F352" s="7" t="s">
        <v>258</v>
      </c>
      <c r="G352" s="17">
        <v>1.4419999999999999</v>
      </c>
      <c r="H352" s="17">
        <v>1.6479999999999999</v>
      </c>
      <c r="I352" s="17">
        <v>1.8540000000000001</v>
      </c>
      <c r="J352" s="7" t="s">
        <v>373</v>
      </c>
      <c r="K352" s="7">
        <v>2030</v>
      </c>
      <c r="L352" s="7" t="str">
        <f>IF(Y352&lt;&gt;"",Y352,IF(AND(K352&gt;=Hypothèses!$B$9,K352&lt;=Hypothèses!$B$10),"actuel",IF(K352=2030,"2030",IF(K352=2050,"2050","autre"))))</f>
        <v>2030</v>
      </c>
      <c r="M352" s="7"/>
      <c r="N352" s="7" t="s">
        <v>248</v>
      </c>
      <c r="O352" s="7"/>
      <c r="P352" s="7" t="s">
        <v>282</v>
      </c>
      <c r="Q352" s="7" t="s">
        <v>49</v>
      </c>
      <c r="R352" s="14">
        <f>INDEX(Hypothèses!$B$14:$B$22,MATCH(Q352,Hypothèses!$A$14:$A$22,0))</f>
        <v>1</v>
      </c>
      <c r="S352" s="17">
        <f t="shared" si="15"/>
        <v>1.4419999999999999</v>
      </c>
      <c r="T352" s="17">
        <f t="shared" si="16"/>
        <v>1.6479999999999999</v>
      </c>
      <c r="U352" s="17">
        <f t="shared" si="17"/>
        <v>1.8540000000000001</v>
      </c>
      <c r="V352" s="7" t="s">
        <v>373</v>
      </c>
      <c r="W352" s="7" t="s">
        <v>84</v>
      </c>
      <c r="X352" s="7" t="s">
        <v>250</v>
      </c>
      <c r="Y352" s="7"/>
      <c r="Z352" s="7"/>
      <c r="AA352" s="7">
        <f>IF(AND(Hypothèses!$B$12=1,Z352="Secondary_Source"),0,1)</f>
        <v>1</v>
      </c>
    </row>
    <row r="353" spans="1:27" x14ac:dyDescent="0.3">
      <c r="A353" s="7" t="s">
        <v>624</v>
      </c>
      <c r="B353" s="7" t="s">
        <v>78</v>
      </c>
      <c r="C353" s="7" t="s">
        <v>116</v>
      </c>
      <c r="D353" s="7" t="s">
        <v>465</v>
      </c>
      <c r="E353" s="7" t="s">
        <v>372</v>
      </c>
      <c r="F353" s="7" t="s">
        <v>258</v>
      </c>
      <c r="G353" s="17">
        <v>0.72099999999999997</v>
      </c>
      <c r="H353" s="17">
        <v>0.82399999999999995</v>
      </c>
      <c r="I353" s="17">
        <v>0.92700000000000005</v>
      </c>
      <c r="J353" s="7" t="s">
        <v>373</v>
      </c>
      <c r="K353" s="7">
        <v>2050</v>
      </c>
      <c r="L353" s="7" t="str">
        <f>IF(Y353&lt;&gt;"",Y353,IF(AND(K353&gt;=Hypothèses!$B$9,K353&lt;=Hypothèses!$B$10),"actuel",IF(K353=2030,"2030",IF(K353=2050,"2050","autre"))))</f>
        <v>2050</v>
      </c>
      <c r="M353" s="7"/>
      <c r="N353" s="7" t="s">
        <v>248</v>
      </c>
      <c r="O353" s="7"/>
      <c r="P353" s="7" t="s">
        <v>282</v>
      </c>
      <c r="Q353" s="7" t="s">
        <v>49</v>
      </c>
      <c r="R353" s="14">
        <f>INDEX(Hypothèses!$B$14:$B$22,MATCH(Q353,Hypothèses!$A$14:$A$22,0))</f>
        <v>1</v>
      </c>
      <c r="S353" s="17">
        <f t="shared" si="15"/>
        <v>0.72099999999999997</v>
      </c>
      <c r="T353" s="17">
        <f t="shared" si="16"/>
        <v>0.82399999999999995</v>
      </c>
      <c r="U353" s="17">
        <f t="shared" si="17"/>
        <v>0.92700000000000005</v>
      </c>
      <c r="V353" s="7" t="s">
        <v>373</v>
      </c>
      <c r="W353" s="7" t="s">
        <v>84</v>
      </c>
      <c r="X353" s="7" t="s">
        <v>250</v>
      </c>
      <c r="Y353" s="7"/>
      <c r="Z353" s="7"/>
      <c r="AA353" s="7">
        <f>IF(AND(Hypothèses!$B$12=1,Z353="Secondary_Source"),0,1)</f>
        <v>1</v>
      </c>
    </row>
    <row r="354" spans="1:27" x14ac:dyDescent="0.3">
      <c r="A354" s="7" t="s">
        <v>625</v>
      </c>
      <c r="B354" s="7" t="s">
        <v>78</v>
      </c>
      <c r="C354" s="7" t="s">
        <v>134</v>
      </c>
      <c r="D354" s="7" t="s">
        <v>465</v>
      </c>
      <c r="E354" s="7" t="s">
        <v>372</v>
      </c>
      <c r="F354" s="7" t="s">
        <v>258</v>
      </c>
      <c r="G354" s="17">
        <v>2.7501000000000002</v>
      </c>
      <c r="H354" s="17">
        <v>5.0521500000000001</v>
      </c>
      <c r="I354" s="17">
        <v>7.4366000000000003</v>
      </c>
      <c r="J354" s="7" t="s">
        <v>373</v>
      </c>
      <c r="K354" s="7">
        <v>2019</v>
      </c>
      <c r="L354" s="7" t="str">
        <f>IF(Y354&lt;&gt;"",Y354,IF(AND(K354&gt;=Hypothèses!$B$9,K354&lt;=Hypothèses!$B$10),"actuel",IF(K354=2030,"2030",IF(K354=2050,"2050","autre"))))</f>
        <v>autre</v>
      </c>
      <c r="M354" s="7"/>
      <c r="N354" s="7" t="s">
        <v>248</v>
      </c>
      <c r="O354" s="7"/>
      <c r="P354" s="7" t="s">
        <v>558</v>
      </c>
      <c r="Q354" s="7" t="s">
        <v>49</v>
      </c>
      <c r="R354" s="14">
        <f>INDEX(Hypothèses!$B$14:$B$22,MATCH(Q354,Hypothèses!$A$14:$A$22,0))</f>
        <v>1</v>
      </c>
      <c r="S354" s="17">
        <f t="shared" si="15"/>
        <v>2.7501000000000002</v>
      </c>
      <c r="T354" s="17">
        <f t="shared" si="16"/>
        <v>5.0521500000000001</v>
      </c>
      <c r="U354" s="17">
        <f t="shared" si="17"/>
        <v>7.4366000000000003</v>
      </c>
      <c r="V354" s="7" t="s">
        <v>373</v>
      </c>
      <c r="W354" s="7" t="s">
        <v>84</v>
      </c>
      <c r="X354" s="7" t="s">
        <v>250</v>
      </c>
      <c r="Y354" s="7"/>
      <c r="Z354" s="7"/>
      <c r="AA354" s="7">
        <f>IF(AND(Hypothèses!$B$12=1,Z354="Secondary_Source"),0,1)</f>
        <v>1</v>
      </c>
    </row>
    <row r="355" spans="1:27" x14ac:dyDescent="0.3">
      <c r="A355" s="7" t="s">
        <v>626</v>
      </c>
      <c r="B355" s="7" t="s">
        <v>78</v>
      </c>
      <c r="C355" s="7" t="s">
        <v>134</v>
      </c>
      <c r="D355" s="7" t="s">
        <v>465</v>
      </c>
      <c r="E355" s="7" t="s">
        <v>372</v>
      </c>
      <c r="F355" s="7" t="s">
        <v>258</v>
      </c>
      <c r="G355" s="17">
        <v>2.2248000000000001</v>
      </c>
      <c r="H355" s="17">
        <v>4.6143999999999998</v>
      </c>
      <c r="I355" s="17">
        <v>6.3242000000000003</v>
      </c>
      <c r="J355" s="7" t="s">
        <v>373</v>
      </c>
      <c r="K355" s="7">
        <v>2035</v>
      </c>
      <c r="L355" s="7" t="str">
        <f>IF(Y355&lt;&gt;"",Y355,IF(AND(K355&gt;=Hypothèses!$B$9,K355&lt;=Hypothèses!$B$10),"actuel",IF(K355=2030,"2030",IF(K355=2050,"2050","autre"))))</f>
        <v>autre</v>
      </c>
      <c r="M355" s="7"/>
      <c r="N355" s="7" t="s">
        <v>248</v>
      </c>
      <c r="O355" s="7"/>
      <c r="P355" s="7" t="s">
        <v>558</v>
      </c>
      <c r="Q355" s="7" t="s">
        <v>49</v>
      </c>
      <c r="R355" s="14">
        <f>INDEX(Hypothèses!$B$14:$B$22,MATCH(Q355,Hypothèses!$A$14:$A$22,0))</f>
        <v>1</v>
      </c>
      <c r="S355" s="17">
        <f t="shared" si="15"/>
        <v>2.2248000000000001</v>
      </c>
      <c r="T355" s="17">
        <f t="shared" si="16"/>
        <v>4.6143999999999998</v>
      </c>
      <c r="U355" s="17">
        <f t="shared" si="17"/>
        <v>6.3242000000000003</v>
      </c>
      <c r="V355" s="7" t="s">
        <v>373</v>
      </c>
      <c r="W355" s="7" t="s">
        <v>84</v>
      </c>
      <c r="X355" s="7" t="s">
        <v>250</v>
      </c>
      <c r="Y355" s="7"/>
      <c r="Z355" s="7"/>
      <c r="AA355" s="7">
        <f>IF(AND(Hypothèses!$B$12=1,Z355="Secondary_Source"),0,1)</f>
        <v>1</v>
      </c>
    </row>
    <row r="356" spans="1:27" x14ac:dyDescent="0.3">
      <c r="A356" s="7" t="s">
        <v>627</v>
      </c>
      <c r="B356" s="7" t="s">
        <v>78</v>
      </c>
      <c r="C356" s="7" t="s">
        <v>138</v>
      </c>
      <c r="D356" s="7" t="s">
        <v>465</v>
      </c>
      <c r="E356" s="7" t="s">
        <v>372</v>
      </c>
      <c r="F356" s="7" t="s">
        <v>258</v>
      </c>
      <c r="G356" s="17"/>
      <c r="H356" s="17">
        <v>10.698404</v>
      </c>
      <c r="I356" s="17"/>
      <c r="J356" s="7" t="s">
        <v>373</v>
      </c>
      <c r="K356" s="7">
        <v>2020</v>
      </c>
      <c r="L356" s="7" t="str">
        <f>IF(Y356&lt;&gt;"",Y356,IF(AND(K356&gt;=Hypothèses!$B$9,K356&lt;=Hypothèses!$B$10),"actuel",IF(K356=2030,"2030",IF(K356=2050,"2050","autre"))))</f>
        <v>actuel</v>
      </c>
      <c r="M356" s="7"/>
      <c r="N356" s="7" t="s">
        <v>248</v>
      </c>
      <c r="O356" s="7"/>
      <c r="P356" s="7" t="s">
        <v>259</v>
      </c>
      <c r="Q356" s="7" t="s">
        <v>49</v>
      </c>
      <c r="R356" s="14">
        <f>INDEX(Hypothèses!$B$14:$B$22,MATCH(Q356,Hypothèses!$A$14:$A$22,0))</f>
        <v>1</v>
      </c>
      <c r="S356" s="17" t="str">
        <f t="shared" si="15"/>
        <v/>
      </c>
      <c r="T356" s="17">
        <f t="shared" si="16"/>
        <v>10.698404</v>
      </c>
      <c r="U356" s="17" t="str">
        <f t="shared" si="17"/>
        <v/>
      </c>
      <c r="V356" s="7" t="s">
        <v>373</v>
      </c>
      <c r="W356" s="7" t="s">
        <v>84</v>
      </c>
      <c r="X356" s="7" t="s">
        <v>250</v>
      </c>
      <c r="Y356" s="7"/>
      <c r="Z356" s="7"/>
      <c r="AA356" s="7">
        <f>IF(AND(Hypothèses!$B$12=1,Z356="Secondary_Source"),0,1)</f>
        <v>1</v>
      </c>
    </row>
    <row r="357" spans="1:27" x14ac:dyDescent="0.3">
      <c r="A357" s="7" t="s">
        <v>628</v>
      </c>
      <c r="B357" s="7" t="s">
        <v>78</v>
      </c>
      <c r="C357" s="7" t="s">
        <v>138</v>
      </c>
      <c r="D357" s="7" t="s">
        <v>465</v>
      </c>
      <c r="E357" s="7" t="s">
        <v>372</v>
      </c>
      <c r="F357" s="7" t="s">
        <v>258</v>
      </c>
      <c r="G357" s="17"/>
      <c r="H357" s="17">
        <v>9.2117020000000007</v>
      </c>
      <c r="I357" s="17"/>
      <c r="J357" s="7" t="s">
        <v>373</v>
      </c>
      <c r="K357" s="7">
        <v>2025</v>
      </c>
      <c r="L357" s="7" t="str">
        <f>IF(Y357&lt;&gt;"",Y357,IF(AND(K357&gt;=Hypothèses!$B$9,K357&lt;=Hypothèses!$B$10),"actuel",IF(K357=2030,"2030",IF(K357=2050,"2050","autre"))))</f>
        <v>actuel</v>
      </c>
      <c r="M357" s="7"/>
      <c r="N357" s="7" t="s">
        <v>248</v>
      </c>
      <c r="O357" s="7"/>
      <c r="P357" s="7" t="s">
        <v>259</v>
      </c>
      <c r="Q357" s="7" t="s">
        <v>49</v>
      </c>
      <c r="R357" s="14">
        <f>INDEX(Hypothèses!$B$14:$B$22,MATCH(Q357,Hypothèses!$A$14:$A$22,0))</f>
        <v>1</v>
      </c>
      <c r="S357" s="17" t="str">
        <f t="shared" si="15"/>
        <v/>
      </c>
      <c r="T357" s="17">
        <f t="shared" si="16"/>
        <v>9.2117020000000007</v>
      </c>
      <c r="U357" s="17" t="str">
        <f t="shared" si="17"/>
        <v/>
      </c>
      <c r="V357" s="7" t="s">
        <v>373</v>
      </c>
      <c r="W357" s="7" t="s">
        <v>84</v>
      </c>
      <c r="X357" s="7" t="s">
        <v>250</v>
      </c>
      <c r="Y357" s="7"/>
      <c r="Z357" s="7"/>
      <c r="AA357" s="7">
        <f>IF(AND(Hypothèses!$B$12=1,Z357="Secondary_Source"),0,1)</f>
        <v>1</v>
      </c>
    </row>
    <row r="358" spans="1:27" x14ac:dyDescent="0.3">
      <c r="A358" s="7" t="s">
        <v>629</v>
      </c>
      <c r="B358" s="7" t="s">
        <v>78</v>
      </c>
      <c r="C358" s="7" t="s">
        <v>138</v>
      </c>
      <c r="D358" s="7" t="s">
        <v>465</v>
      </c>
      <c r="E358" s="7" t="s">
        <v>372</v>
      </c>
      <c r="F358" s="7" t="s">
        <v>258</v>
      </c>
      <c r="G358" s="17"/>
      <c r="H358" s="17">
        <v>7.8999043000000002</v>
      </c>
      <c r="I358" s="17"/>
      <c r="J358" s="7" t="s">
        <v>373</v>
      </c>
      <c r="K358" s="7">
        <v>2030</v>
      </c>
      <c r="L358" s="7" t="str">
        <f>IF(Y358&lt;&gt;"",Y358,IF(AND(K358&gt;=Hypothèses!$B$9,K358&lt;=Hypothèses!$B$10),"actuel",IF(K358=2030,"2030",IF(K358=2050,"2050","autre"))))</f>
        <v>2030</v>
      </c>
      <c r="M358" s="7"/>
      <c r="N358" s="7" t="s">
        <v>248</v>
      </c>
      <c r="O358" s="7"/>
      <c r="P358" s="7" t="s">
        <v>259</v>
      </c>
      <c r="Q358" s="7" t="s">
        <v>49</v>
      </c>
      <c r="R358" s="14">
        <f>INDEX(Hypothèses!$B$14:$B$22,MATCH(Q358,Hypothèses!$A$14:$A$22,0))</f>
        <v>1</v>
      </c>
      <c r="S358" s="17" t="str">
        <f t="shared" si="15"/>
        <v/>
      </c>
      <c r="T358" s="17">
        <f t="shared" si="16"/>
        <v>7.8999043000000002</v>
      </c>
      <c r="U358" s="17" t="str">
        <f t="shared" si="17"/>
        <v/>
      </c>
      <c r="V358" s="7" t="s">
        <v>373</v>
      </c>
      <c r="W358" s="7" t="s">
        <v>84</v>
      </c>
      <c r="X358" s="7" t="s">
        <v>250</v>
      </c>
      <c r="Y358" s="7"/>
      <c r="Z358" s="7"/>
      <c r="AA358" s="7">
        <f>IF(AND(Hypothèses!$B$12=1,Z358="Secondary_Source"),0,1)</f>
        <v>1</v>
      </c>
    </row>
    <row r="359" spans="1:27" x14ac:dyDescent="0.3">
      <c r="A359" s="7" t="s">
        <v>630</v>
      </c>
      <c r="B359" s="7" t="s">
        <v>78</v>
      </c>
      <c r="C359" s="7" t="s">
        <v>138</v>
      </c>
      <c r="D359" s="7" t="s">
        <v>465</v>
      </c>
      <c r="E359" s="7" t="s">
        <v>372</v>
      </c>
      <c r="F359" s="7" t="s">
        <v>258</v>
      </c>
      <c r="G359" s="17"/>
      <c r="H359" s="17">
        <v>7.4334894</v>
      </c>
      <c r="I359" s="17"/>
      <c r="J359" s="7" t="s">
        <v>373</v>
      </c>
      <c r="K359" s="7">
        <v>2035</v>
      </c>
      <c r="L359" s="7" t="str">
        <f>IF(Y359&lt;&gt;"",Y359,IF(AND(K359&gt;=Hypothèses!$B$9,K359&lt;=Hypothèses!$B$10),"actuel",IF(K359=2030,"2030",IF(K359=2050,"2050","autre"))))</f>
        <v>autre</v>
      </c>
      <c r="M359" s="7"/>
      <c r="N359" s="7" t="s">
        <v>248</v>
      </c>
      <c r="O359" s="7"/>
      <c r="P359" s="7" t="s">
        <v>259</v>
      </c>
      <c r="Q359" s="7" t="s">
        <v>49</v>
      </c>
      <c r="R359" s="14">
        <f>INDEX(Hypothèses!$B$14:$B$22,MATCH(Q359,Hypothèses!$A$14:$A$22,0))</f>
        <v>1</v>
      </c>
      <c r="S359" s="17" t="str">
        <f t="shared" si="15"/>
        <v/>
      </c>
      <c r="T359" s="17">
        <f t="shared" si="16"/>
        <v>7.4334894</v>
      </c>
      <c r="U359" s="17" t="str">
        <f t="shared" si="17"/>
        <v/>
      </c>
      <c r="V359" s="7" t="s">
        <v>373</v>
      </c>
      <c r="W359" s="7" t="s">
        <v>84</v>
      </c>
      <c r="X359" s="7" t="s">
        <v>250</v>
      </c>
      <c r="Y359" s="7"/>
      <c r="Z359" s="7"/>
      <c r="AA359" s="7">
        <f>IF(AND(Hypothèses!$B$12=1,Z359="Secondary_Source"),0,1)</f>
        <v>1</v>
      </c>
    </row>
    <row r="360" spans="1:27" x14ac:dyDescent="0.3">
      <c r="A360" s="7" t="s">
        <v>631</v>
      </c>
      <c r="B360" s="7" t="s">
        <v>78</v>
      </c>
      <c r="C360" s="7" t="s">
        <v>138</v>
      </c>
      <c r="D360" s="7" t="s">
        <v>465</v>
      </c>
      <c r="E360" s="7" t="s">
        <v>372</v>
      </c>
      <c r="F360" s="7" t="s">
        <v>258</v>
      </c>
      <c r="G360" s="17"/>
      <c r="H360" s="17">
        <v>6.9379255000000004</v>
      </c>
      <c r="I360" s="17"/>
      <c r="J360" s="7" t="s">
        <v>373</v>
      </c>
      <c r="K360" s="7">
        <v>2040</v>
      </c>
      <c r="L360" s="7" t="str">
        <f>IF(Y360&lt;&gt;"",Y360,IF(AND(K360&gt;=Hypothèses!$B$9,K360&lt;=Hypothèses!$B$10),"actuel",IF(K360=2030,"2030",IF(K360=2050,"2050","autre"))))</f>
        <v>autre</v>
      </c>
      <c r="M360" s="7"/>
      <c r="N360" s="7" t="s">
        <v>248</v>
      </c>
      <c r="O360" s="7"/>
      <c r="P360" s="7" t="s">
        <v>259</v>
      </c>
      <c r="Q360" s="7" t="s">
        <v>49</v>
      </c>
      <c r="R360" s="14">
        <f>INDEX(Hypothèses!$B$14:$B$22,MATCH(Q360,Hypothèses!$A$14:$A$22,0))</f>
        <v>1</v>
      </c>
      <c r="S360" s="17" t="str">
        <f t="shared" si="15"/>
        <v/>
      </c>
      <c r="T360" s="17">
        <f t="shared" si="16"/>
        <v>6.9379255000000004</v>
      </c>
      <c r="U360" s="17" t="str">
        <f t="shared" si="17"/>
        <v/>
      </c>
      <c r="V360" s="7" t="s">
        <v>373</v>
      </c>
      <c r="W360" s="7" t="s">
        <v>84</v>
      </c>
      <c r="X360" s="7" t="s">
        <v>250</v>
      </c>
      <c r="Y360" s="7"/>
      <c r="Z360" s="7"/>
      <c r="AA360" s="7">
        <f>IF(AND(Hypothèses!$B$12=1,Z360="Secondary_Source"),0,1)</f>
        <v>1</v>
      </c>
    </row>
    <row r="361" spans="1:27" x14ac:dyDescent="0.3">
      <c r="A361" s="7" t="s">
        <v>632</v>
      </c>
      <c r="B361" s="7" t="s">
        <v>78</v>
      </c>
      <c r="C361" s="7" t="s">
        <v>140</v>
      </c>
      <c r="D361" s="7" t="s">
        <v>465</v>
      </c>
      <c r="E361" s="7" t="s">
        <v>372</v>
      </c>
      <c r="F361" s="7" t="s">
        <v>258</v>
      </c>
      <c r="G361" s="17"/>
      <c r="H361" s="17">
        <v>10.931596000000001</v>
      </c>
      <c r="I361" s="17"/>
      <c r="J361" s="7" t="s">
        <v>373</v>
      </c>
      <c r="K361" s="7">
        <v>2020</v>
      </c>
      <c r="L361" s="7" t="str">
        <f>IF(Y361&lt;&gt;"",Y361,IF(AND(K361&gt;=Hypothèses!$B$9,K361&lt;=Hypothèses!$B$10),"actuel",IF(K361=2030,"2030",IF(K361=2050,"2050","autre"))))</f>
        <v>actuel</v>
      </c>
      <c r="M361" s="7"/>
      <c r="N361" s="7" t="s">
        <v>248</v>
      </c>
      <c r="O361" s="7"/>
      <c r="P361" s="7" t="s">
        <v>368</v>
      </c>
      <c r="Q361" s="7" t="s">
        <v>49</v>
      </c>
      <c r="R361" s="14">
        <f>INDEX(Hypothèses!$B$14:$B$22,MATCH(Q361,Hypothèses!$A$14:$A$22,0))</f>
        <v>1</v>
      </c>
      <c r="S361" s="17" t="str">
        <f t="shared" si="15"/>
        <v/>
      </c>
      <c r="T361" s="17">
        <f t="shared" si="16"/>
        <v>10.931596000000001</v>
      </c>
      <c r="U361" s="17" t="str">
        <f t="shared" si="17"/>
        <v/>
      </c>
      <c r="V361" s="7" t="s">
        <v>373</v>
      </c>
      <c r="W361" s="7" t="s">
        <v>84</v>
      </c>
      <c r="X361" s="7" t="s">
        <v>250</v>
      </c>
      <c r="Y361" s="7"/>
      <c r="Z361" s="7"/>
      <c r="AA361" s="7">
        <f>IF(AND(Hypothèses!$B$12=1,Z361="Secondary_Source"),0,1)</f>
        <v>1</v>
      </c>
    </row>
    <row r="362" spans="1:27" x14ac:dyDescent="0.3">
      <c r="A362" s="7" t="s">
        <v>633</v>
      </c>
      <c r="B362" s="7" t="s">
        <v>78</v>
      </c>
      <c r="C362" s="7" t="s">
        <v>140</v>
      </c>
      <c r="D362" s="7" t="s">
        <v>465</v>
      </c>
      <c r="E362" s="7" t="s">
        <v>372</v>
      </c>
      <c r="F362" s="7" t="s">
        <v>258</v>
      </c>
      <c r="G362" s="17"/>
      <c r="H362" s="17">
        <v>9.5323615999999998</v>
      </c>
      <c r="I362" s="17"/>
      <c r="J362" s="7" t="s">
        <v>373</v>
      </c>
      <c r="K362" s="7">
        <v>2025</v>
      </c>
      <c r="L362" s="7" t="str">
        <f>IF(Y362&lt;&gt;"",Y362,IF(AND(K362&gt;=Hypothèses!$B$9,K362&lt;=Hypothèses!$B$10),"actuel",IF(K362=2030,"2030",IF(K362=2050,"2050","autre"))))</f>
        <v>actuel</v>
      </c>
      <c r="M362" s="7"/>
      <c r="N362" s="7" t="s">
        <v>248</v>
      </c>
      <c r="O362" s="7"/>
      <c r="P362" s="7" t="s">
        <v>368</v>
      </c>
      <c r="Q362" s="7" t="s">
        <v>49</v>
      </c>
      <c r="R362" s="14">
        <f>INDEX(Hypothèses!$B$14:$B$22,MATCH(Q362,Hypothèses!$A$14:$A$22,0))</f>
        <v>1</v>
      </c>
      <c r="S362" s="17" t="str">
        <f t="shared" si="15"/>
        <v/>
      </c>
      <c r="T362" s="17">
        <f t="shared" si="16"/>
        <v>9.5323615999999998</v>
      </c>
      <c r="U362" s="17" t="str">
        <f t="shared" si="17"/>
        <v/>
      </c>
      <c r="V362" s="7" t="s">
        <v>373</v>
      </c>
      <c r="W362" s="7" t="s">
        <v>84</v>
      </c>
      <c r="X362" s="7" t="s">
        <v>250</v>
      </c>
      <c r="Y362" s="7"/>
      <c r="Z362" s="7"/>
      <c r="AA362" s="7">
        <f>IF(AND(Hypothèses!$B$12=1,Z362="Secondary_Source"),0,1)</f>
        <v>1</v>
      </c>
    </row>
    <row r="363" spans="1:27" x14ac:dyDescent="0.3">
      <c r="A363" s="7" t="s">
        <v>634</v>
      </c>
      <c r="B363" s="7" t="s">
        <v>78</v>
      </c>
      <c r="C363" s="7" t="s">
        <v>140</v>
      </c>
      <c r="D363" s="7" t="s">
        <v>465</v>
      </c>
      <c r="E363" s="7" t="s">
        <v>372</v>
      </c>
      <c r="F363" s="7" t="s">
        <v>258</v>
      </c>
      <c r="G363" s="17"/>
      <c r="H363" s="17">
        <v>8.1331168999999992</v>
      </c>
      <c r="I363" s="17"/>
      <c r="J363" s="7" t="s">
        <v>373</v>
      </c>
      <c r="K363" s="7">
        <v>2030</v>
      </c>
      <c r="L363" s="7" t="str">
        <f>IF(Y363&lt;&gt;"",Y363,IF(AND(K363&gt;=Hypothèses!$B$9,K363&lt;=Hypothèses!$B$10),"actuel",IF(K363=2030,"2030",IF(K363=2050,"2050","autre"))))</f>
        <v>2030</v>
      </c>
      <c r="M363" s="7"/>
      <c r="N363" s="7" t="s">
        <v>248</v>
      </c>
      <c r="O363" s="7"/>
      <c r="P363" s="7" t="s">
        <v>368</v>
      </c>
      <c r="Q363" s="7" t="s">
        <v>49</v>
      </c>
      <c r="R363" s="14">
        <f>INDEX(Hypothèses!$B$14:$B$22,MATCH(Q363,Hypothèses!$A$14:$A$22,0))</f>
        <v>1</v>
      </c>
      <c r="S363" s="17" t="str">
        <f t="shared" si="15"/>
        <v/>
      </c>
      <c r="T363" s="17">
        <f t="shared" si="16"/>
        <v>8.1331168999999992</v>
      </c>
      <c r="U363" s="17" t="str">
        <f t="shared" si="17"/>
        <v/>
      </c>
      <c r="V363" s="7" t="s">
        <v>373</v>
      </c>
      <c r="W363" s="7" t="s">
        <v>84</v>
      </c>
      <c r="X363" s="7" t="s">
        <v>250</v>
      </c>
      <c r="Y363" s="7"/>
      <c r="Z363" s="7"/>
      <c r="AA363" s="7">
        <f>IF(AND(Hypothèses!$B$12=1,Z363="Secondary_Source"),0,1)</f>
        <v>1</v>
      </c>
    </row>
    <row r="364" spans="1:27" x14ac:dyDescent="0.3">
      <c r="A364" s="7" t="s">
        <v>635</v>
      </c>
      <c r="B364" s="7" t="s">
        <v>78</v>
      </c>
      <c r="C364" s="7" t="s">
        <v>140</v>
      </c>
      <c r="D364" s="7" t="s">
        <v>465</v>
      </c>
      <c r="E364" s="7" t="s">
        <v>372</v>
      </c>
      <c r="F364" s="7" t="s">
        <v>258</v>
      </c>
      <c r="G364" s="17"/>
      <c r="H364" s="17">
        <v>7.6667019999999999</v>
      </c>
      <c r="I364" s="17"/>
      <c r="J364" s="7" t="s">
        <v>373</v>
      </c>
      <c r="K364" s="7">
        <v>2035</v>
      </c>
      <c r="L364" s="7" t="str">
        <f>IF(Y364&lt;&gt;"",Y364,IF(AND(K364&gt;=Hypothèses!$B$9,K364&lt;=Hypothèses!$B$10),"actuel",IF(K364=2030,"2030",IF(K364=2050,"2050","autre"))))</f>
        <v>autre</v>
      </c>
      <c r="M364" s="7"/>
      <c r="N364" s="7" t="s">
        <v>248</v>
      </c>
      <c r="O364" s="7"/>
      <c r="P364" s="7" t="s">
        <v>368</v>
      </c>
      <c r="Q364" s="7" t="s">
        <v>49</v>
      </c>
      <c r="R364" s="14">
        <f>INDEX(Hypothèses!$B$14:$B$22,MATCH(Q364,Hypothèses!$A$14:$A$22,0))</f>
        <v>1</v>
      </c>
      <c r="S364" s="17" t="str">
        <f t="shared" si="15"/>
        <v/>
      </c>
      <c r="T364" s="17">
        <f t="shared" si="16"/>
        <v>7.6667019999999999</v>
      </c>
      <c r="U364" s="17" t="str">
        <f t="shared" si="17"/>
        <v/>
      </c>
      <c r="V364" s="7" t="s">
        <v>373</v>
      </c>
      <c r="W364" s="7" t="s">
        <v>84</v>
      </c>
      <c r="X364" s="7" t="s">
        <v>250</v>
      </c>
      <c r="Y364" s="7"/>
      <c r="Z364" s="7"/>
      <c r="AA364" s="7">
        <f>IF(AND(Hypothèses!$B$12=1,Z364="Secondary_Source"),0,1)</f>
        <v>1</v>
      </c>
    </row>
    <row r="365" spans="1:27" x14ac:dyDescent="0.3">
      <c r="A365" s="7" t="s">
        <v>636</v>
      </c>
      <c r="B365" s="7" t="s">
        <v>78</v>
      </c>
      <c r="C365" s="7" t="s">
        <v>140</v>
      </c>
      <c r="D365" s="7" t="s">
        <v>465</v>
      </c>
      <c r="E365" s="7" t="s">
        <v>372</v>
      </c>
      <c r="F365" s="7" t="s">
        <v>258</v>
      </c>
      <c r="G365" s="17"/>
      <c r="H365" s="17">
        <v>7.1419788000000004</v>
      </c>
      <c r="I365" s="17"/>
      <c r="J365" s="7" t="s">
        <v>373</v>
      </c>
      <c r="K365" s="7">
        <v>2040</v>
      </c>
      <c r="L365" s="7" t="str">
        <f>IF(Y365&lt;&gt;"",Y365,IF(AND(K365&gt;=Hypothèses!$B$9,K365&lt;=Hypothèses!$B$10),"actuel",IF(K365=2030,"2030",IF(K365=2050,"2050","autre"))))</f>
        <v>autre</v>
      </c>
      <c r="M365" s="7"/>
      <c r="N365" s="7" t="s">
        <v>248</v>
      </c>
      <c r="O365" s="7"/>
      <c r="P365" s="7" t="s">
        <v>368</v>
      </c>
      <c r="Q365" s="7" t="s">
        <v>49</v>
      </c>
      <c r="R365" s="14">
        <f>INDEX(Hypothèses!$B$14:$B$22,MATCH(Q365,Hypothèses!$A$14:$A$22,0))</f>
        <v>1</v>
      </c>
      <c r="S365" s="17" t="str">
        <f t="shared" si="15"/>
        <v/>
      </c>
      <c r="T365" s="17">
        <f t="shared" si="16"/>
        <v>7.1419788000000004</v>
      </c>
      <c r="U365" s="17" t="str">
        <f t="shared" si="17"/>
        <v/>
      </c>
      <c r="V365" s="7" t="s">
        <v>373</v>
      </c>
      <c r="W365" s="7" t="s">
        <v>84</v>
      </c>
      <c r="X365" s="7" t="s">
        <v>250</v>
      </c>
      <c r="Y365" s="7"/>
      <c r="Z365" s="7"/>
      <c r="AA365" s="7">
        <f>IF(AND(Hypothèses!$B$12=1,Z365="Secondary_Source"),0,1)</f>
        <v>1</v>
      </c>
    </row>
    <row r="366" spans="1:27" x14ac:dyDescent="0.3">
      <c r="A366" s="7" t="s">
        <v>637</v>
      </c>
      <c r="B366" s="7" t="s">
        <v>78</v>
      </c>
      <c r="C366" s="7" t="s">
        <v>142</v>
      </c>
      <c r="D366" s="7" t="s">
        <v>465</v>
      </c>
      <c r="E366" s="7" t="s">
        <v>372</v>
      </c>
      <c r="F366" s="7" t="s">
        <v>258</v>
      </c>
      <c r="G366" s="17"/>
      <c r="H366" s="17">
        <v>11.3781319</v>
      </c>
      <c r="I366" s="17"/>
      <c r="J366" s="7" t="s">
        <v>373</v>
      </c>
      <c r="K366" s="7">
        <v>2020</v>
      </c>
      <c r="L366" s="7" t="str">
        <f>IF(Y366&lt;&gt;"",Y366,IF(AND(K366&gt;=Hypothèses!$B$9,K366&lt;=Hypothèses!$B$10),"actuel",IF(K366=2030,"2030",IF(K366=2050,"2050","autre"))))</f>
        <v>actuel</v>
      </c>
      <c r="M366" s="7"/>
      <c r="N366" s="7" t="s">
        <v>248</v>
      </c>
      <c r="O366" s="7"/>
      <c r="P366" s="7" t="s">
        <v>638</v>
      </c>
      <c r="Q366" s="7" t="s">
        <v>49</v>
      </c>
      <c r="R366" s="14">
        <f>INDEX(Hypothèses!$B$14:$B$22,MATCH(Q366,Hypothèses!$A$14:$A$22,0))</f>
        <v>1</v>
      </c>
      <c r="S366" s="17" t="str">
        <f t="shared" si="15"/>
        <v/>
      </c>
      <c r="T366" s="17">
        <f t="shared" si="16"/>
        <v>11.3781319</v>
      </c>
      <c r="U366" s="17" t="str">
        <f t="shared" si="17"/>
        <v/>
      </c>
      <c r="V366" s="7" t="s">
        <v>373</v>
      </c>
      <c r="W366" s="7" t="s">
        <v>84</v>
      </c>
      <c r="X366" s="7" t="s">
        <v>250</v>
      </c>
      <c r="Y366" s="7"/>
      <c r="Z366" s="7"/>
      <c r="AA366" s="7">
        <f>IF(AND(Hypothèses!$B$12=1,Z366="Secondary_Source"),0,1)</f>
        <v>1</v>
      </c>
    </row>
    <row r="367" spans="1:27" x14ac:dyDescent="0.3">
      <c r="A367" s="7" t="s">
        <v>639</v>
      </c>
      <c r="B367" s="7" t="s">
        <v>78</v>
      </c>
      <c r="C367" s="7" t="s">
        <v>142</v>
      </c>
      <c r="D367" s="7" t="s">
        <v>465</v>
      </c>
      <c r="E367" s="7" t="s">
        <v>372</v>
      </c>
      <c r="F367" s="7" t="s">
        <v>258</v>
      </c>
      <c r="G367" s="17"/>
      <c r="H367" s="17">
        <v>9.5299101999999998</v>
      </c>
      <c r="I367" s="17"/>
      <c r="J367" s="7" t="s">
        <v>373</v>
      </c>
      <c r="K367" s="7">
        <v>2025</v>
      </c>
      <c r="L367" s="7" t="str">
        <f>IF(Y367&lt;&gt;"",Y367,IF(AND(K367&gt;=Hypothèses!$B$9,K367&lt;=Hypothèses!$B$10),"actuel",IF(K367=2030,"2030",IF(K367=2050,"2050","autre"))))</f>
        <v>actuel</v>
      </c>
      <c r="M367" s="7"/>
      <c r="N367" s="7" t="s">
        <v>248</v>
      </c>
      <c r="O367" s="7"/>
      <c r="P367" s="7" t="s">
        <v>638</v>
      </c>
      <c r="Q367" s="7" t="s">
        <v>49</v>
      </c>
      <c r="R367" s="14">
        <f>INDEX(Hypothèses!$B$14:$B$22,MATCH(Q367,Hypothèses!$A$14:$A$22,0))</f>
        <v>1</v>
      </c>
      <c r="S367" s="17" t="str">
        <f t="shared" si="15"/>
        <v/>
      </c>
      <c r="T367" s="17">
        <f t="shared" si="16"/>
        <v>9.5299101999999998</v>
      </c>
      <c r="U367" s="17" t="str">
        <f t="shared" si="17"/>
        <v/>
      </c>
      <c r="V367" s="7" t="s">
        <v>373</v>
      </c>
      <c r="W367" s="7" t="s">
        <v>84</v>
      </c>
      <c r="X367" s="7" t="s">
        <v>250</v>
      </c>
      <c r="Y367" s="7"/>
      <c r="Z367" s="7"/>
      <c r="AA367" s="7">
        <f>IF(AND(Hypothèses!$B$12=1,Z367="Secondary_Source"),0,1)</f>
        <v>1</v>
      </c>
    </row>
    <row r="368" spans="1:27" x14ac:dyDescent="0.3">
      <c r="A368" s="7" t="s">
        <v>640</v>
      </c>
      <c r="B368" s="7" t="s">
        <v>78</v>
      </c>
      <c r="C368" s="7" t="s">
        <v>142</v>
      </c>
      <c r="D368" s="7" t="s">
        <v>465</v>
      </c>
      <c r="E368" s="7" t="s">
        <v>372</v>
      </c>
      <c r="F368" s="7" t="s">
        <v>258</v>
      </c>
      <c r="G368" s="17"/>
      <c r="H368" s="17">
        <v>7.5950449000000004</v>
      </c>
      <c r="I368" s="17"/>
      <c r="J368" s="7" t="s">
        <v>373</v>
      </c>
      <c r="K368" s="7">
        <v>2030</v>
      </c>
      <c r="L368" s="7" t="str">
        <f>IF(Y368&lt;&gt;"",Y368,IF(AND(K368&gt;=Hypothèses!$B$9,K368&lt;=Hypothèses!$B$10),"actuel",IF(K368=2030,"2030",IF(K368=2050,"2050","autre"))))</f>
        <v>2030</v>
      </c>
      <c r="M368" s="7"/>
      <c r="N368" s="7" t="s">
        <v>248</v>
      </c>
      <c r="O368" s="7"/>
      <c r="P368" s="7" t="s">
        <v>638</v>
      </c>
      <c r="Q368" s="7" t="s">
        <v>49</v>
      </c>
      <c r="R368" s="14">
        <f>INDEX(Hypothèses!$B$14:$B$22,MATCH(Q368,Hypothèses!$A$14:$A$22,0))</f>
        <v>1</v>
      </c>
      <c r="S368" s="17" t="str">
        <f t="shared" si="15"/>
        <v/>
      </c>
      <c r="T368" s="17">
        <f t="shared" si="16"/>
        <v>7.5950449000000004</v>
      </c>
      <c r="U368" s="17" t="str">
        <f t="shared" si="17"/>
        <v/>
      </c>
      <c r="V368" s="7" t="s">
        <v>373</v>
      </c>
      <c r="W368" s="7" t="s">
        <v>84</v>
      </c>
      <c r="X368" s="7" t="s">
        <v>250</v>
      </c>
      <c r="Y368" s="7"/>
      <c r="Z368" s="7"/>
      <c r="AA368" s="7">
        <f>IF(AND(Hypothèses!$B$12=1,Z368="Secondary_Source"),0,1)</f>
        <v>1</v>
      </c>
    </row>
    <row r="369" spans="1:27" x14ac:dyDescent="0.3">
      <c r="A369" s="7" t="s">
        <v>641</v>
      </c>
      <c r="B369" s="7" t="s">
        <v>78</v>
      </c>
      <c r="C369" s="7" t="s">
        <v>142</v>
      </c>
      <c r="D369" s="7" t="s">
        <v>465</v>
      </c>
      <c r="E369" s="7" t="s">
        <v>372</v>
      </c>
      <c r="F369" s="7" t="s">
        <v>258</v>
      </c>
      <c r="G369" s="17"/>
      <c r="H369" s="17">
        <v>6.9009999999999998</v>
      </c>
      <c r="I369" s="17"/>
      <c r="J369" s="7" t="s">
        <v>373</v>
      </c>
      <c r="K369" s="7">
        <v>2035</v>
      </c>
      <c r="L369" s="7" t="str">
        <f>IF(Y369&lt;&gt;"",Y369,IF(AND(K369&gt;=Hypothèses!$B$9,K369&lt;=Hypothèses!$B$10),"actuel",IF(K369=2030,"2030",IF(K369=2050,"2050","autre"))))</f>
        <v>autre</v>
      </c>
      <c r="M369" s="7"/>
      <c r="N369" s="7" t="s">
        <v>248</v>
      </c>
      <c r="O369" s="7"/>
      <c r="P369" s="7" t="s">
        <v>638</v>
      </c>
      <c r="Q369" s="7" t="s">
        <v>49</v>
      </c>
      <c r="R369" s="14">
        <f>INDEX(Hypothèses!$B$14:$B$22,MATCH(Q369,Hypothèses!$A$14:$A$22,0))</f>
        <v>1</v>
      </c>
      <c r="S369" s="17" t="str">
        <f t="shared" si="15"/>
        <v/>
      </c>
      <c r="T369" s="17">
        <f t="shared" si="16"/>
        <v>6.9009999999999998</v>
      </c>
      <c r="U369" s="17" t="str">
        <f t="shared" si="17"/>
        <v/>
      </c>
      <c r="V369" s="7" t="s">
        <v>373</v>
      </c>
      <c r="W369" s="7" t="s">
        <v>84</v>
      </c>
      <c r="X369" s="7" t="s">
        <v>250</v>
      </c>
      <c r="Y369" s="7"/>
      <c r="Z369" s="7"/>
      <c r="AA369" s="7">
        <f>IF(AND(Hypothèses!$B$12=1,Z369="Secondary_Source"),0,1)</f>
        <v>1</v>
      </c>
    </row>
    <row r="370" spans="1:27" x14ac:dyDescent="0.3">
      <c r="A370" s="7" t="s">
        <v>642</v>
      </c>
      <c r="B370" s="7" t="s">
        <v>78</v>
      </c>
      <c r="C370" s="7" t="s">
        <v>142</v>
      </c>
      <c r="D370" s="7" t="s">
        <v>465</v>
      </c>
      <c r="E370" s="7" t="s">
        <v>372</v>
      </c>
      <c r="F370" s="7" t="s">
        <v>258</v>
      </c>
      <c r="G370" s="17"/>
      <c r="H370" s="17">
        <v>6.18</v>
      </c>
      <c r="I370" s="17"/>
      <c r="J370" s="7" t="s">
        <v>373</v>
      </c>
      <c r="K370" s="7">
        <v>2040</v>
      </c>
      <c r="L370" s="7" t="str">
        <f>IF(Y370&lt;&gt;"",Y370,IF(AND(K370&gt;=Hypothèses!$B$9,K370&lt;=Hypothèses!$B$10),"actuel",IF(K370=2030,"2030",IF(K370=2050,"2050","autre"))))</f>
        <v>autre</v>
      </c>
      <c r="M370" s="7"/>
      <c r="N370" s="7" t="s">
        <v>248</v>
      </c>
      <c r="O370" s="7"/>
      <c r="P370" s="7" t="s">
        <v>638</v>
      </c>
      <c r="Q370" s="7" t="s">
        <v>49</v>
      </c>
      <c r="R370" s="14">
        <f>INDEX(Hypothèses!$B$14:$B$22,MATCH(Q370,Hypothèses!$A$14:$A$22,0))</f>
        <v>1</v>
      </c>
      <c r="S370" s="17" t="str">
        <f t="shared" si="15"/>
        <v/>
      </c>
      <c r="T370" s="17">
        <f t="shared" si="16"/>
        <v>6.18</v>
      </c>
      <c r="U370" s="17" t="str">
        <f t="shared" si="17"/>
        <v/>
      </c>
      <c r="V370" s="7" t="s">
        <v>373</v>
      </c>
      <c r="W370" s="7" t="s">
        <v>84</v>
      </c>
      <c r="X370" s="7" t="s">
        <v>250</v>
      </c>
      <c r="Y370" s="7"/>
      <c r="Z370" s="7"/>
      <c r="AA370" s="7">
        <f>IF(AND(Hypothèses!$B$12=1,Z370="Secondary_Source"),0,1)</f>
        <v>1</v>
      </c>
    </row>
    <row r="371" spans="1:27" x14ac:dyDescent="0.3">
      <c r="A371" s="7" t="s">
        <v>643</v>
      </c>
      <c r="B371" s="7" t="s">
        <v>78</v>
      </c>
      <c r="C371" s="7" t="s">
        <v>144</v>
      </c>
      <c r="D371" s="7" t="s">
        <v>465</v>
      </c>
      <c r="E371" s="7" t="s">
        <v>372</v>
      </c>
      <c r="F371" s="7" t="s">
        <v>258</v>
      </c>
      <c r="G371" s="17"/>
      <c r="H371" s="17">
        <v>4.5351539218000001</v>
      </c>
      <c r="I371" s="17"/>
      <c r="J371" s="7" t="s">
        <v>373</v>
      </c>
      <c r="K371" s="7">
        <v>2025</v>
      </c>
      <c r="L371" s="7" t="str">
        <f>IF(Y371&lt;&gt;"",Y371,IF(AND(K371&gt;=Hypothèses!$B$9,K371&lt;=Hypothèses!$B$10),"actuel",IF(K371=2030,"2030",IF(K371=2050,"2050","autre"))))</f>
        <v>actuel</v>
      </c>
      <c r="M371" s="7"/>
      <c r="N371" s="7" t="s">
        <v>248</v>
      </c>
      <c r="O371" s="7"/>
      <c r="P371" s="7" t="s">
        <v>360</v>
      </c>
      <c r="Q371" s="7" t="s">
        <v>49</v>
      </c>
      <c r="R371" s="14">
        <f>INDEX(Hypothèses!$B$14:$B$22,MATCH(Q371,Hypothèses!$A$14:$A$22,0))</f>
        <v>1</v>
      </c>
      <c r="S371" s="17" t="str">
        <f t="shared" si="15"/>
        <v/>
      </c>
      <c r="T371" s="17">
        <f t="shared" si="16"/>
        <v>4.5351539218000001</v>
      </c>
      <c r="U371" s="17" t="str">
        <f t="shared" si="17"/>
        <v/>
      </c>
      <c r="V371" s="7" t="s">
        <v>373</v>
      </c>
      <c r="W371" s="7" t="s">
        <v>84</v>
      </c>
      <c r="X371" s="7" t="s">
        <v>250</v>
      </c>
      <c r="Y371" s="7"/>
      <c r="Z371" s="7"/>
      <c r="AA371" s="7">
        <f>IF(AND(Hypothèses!$B$12=1,Z371="Secondary_Source"),0,1)</f>
        <v>1</v>
      </c>
    </row>
    <row r="372" spans="1:27" x14ac:dyDescent="0.3">
      <c r="A372" s="7" t="s">
        <v>644</v>
      </c>
      <c r="B372" s="7" t="s">
        <v>78</v>
      </c>
      <c r="C372" s="7" t="s">
        <v>144</v>
      </c>
      <c r="D372" s="7" t="s">
        <v>465</v>
      </c>
      <c r="E372" s="7" t="s">
        <v>372</v>
      </c>
      <c r="F372" s="7" t="s">
        <v>258</v>
      </c>
      <c r="G372" s="17"/>
      <c r="H372" s="17">
        <v>3.5516721486099998</v>
      </c>
      <c r="I372" s="17"/>
      <c r="J372" s="7" t="s">
        <v>373</v>
      </c>
      <c r="K372" s="7">
        <v>2030</v>
      </c>
      <c r="L372" s="7" t="str">
        <f>IF(Y372&lt;&gt;"",Y372,IF(AND(K372&gt;=Hypothèses!$B$9,K372&lt;=Hypothèses!$B$10),"actuel",IF(K372=2030,"2030",IF(K372=2050,"2050","autre"))))</f>
        <v>2030</v>
      </c>
      <c r="M372" s="7"/>
      <c r="N372" s="7" t="s">
        <v>248</v>
      </c>
      <c r="O372" s="7"/>
      <c r="P372" s="7" t="s">
        <v>360</v>
      </c>
      <c r="Q372" s="7" t="s">
        <v>49</v>
      </c>
      <c r="R372" s="14">
        <f>INDEX(Hypothèses!$B$14:$B$22,MATCH(Q372,Hypothèses!$A$14:$A$22,0))</f>
        <v>1</v>
      </c>
      <c r="S372" s="17" t="str">
        <f t="shared" si="15"/>
        <v/>
      </c>
      <c r="T372" s="17">
        <f t="shared" si="16"/>
        <v>3.5516721486099998</v>
      </c>
      <c r="U372" s="17" t="str">
        <f t="shared" si="17"/>
        <v/>
      </c>
      <c r="V372" s="7" t="s">
        <v>373</v>
      </c>
      <c r="W372" s="7" t="s">
        <v>84</v>
      </c>
      <c r="X372" s="7" t="s">
        <v>250</v>
      </c>
      <c r="Y372" s="7"/>
      <c r="Z372" s="7"/>
      <c r="AA372" s="7">
        <f>IF(AND(Hypothèses!$B$12=1,Z372="Secondary_Source"),0,1)</f>
        <v>1</v>
      </c>
    </row>
    <row r="373" spans="1:27" x14ac:dyDescent="0.3">
      <c r="A373" s="7" t="s">
        <v>645</v>
      </c>
      <c r="B373" s="7" t="s">
        <v>78</v>
      </c>
      <c r="C373" s="7" t="s">
        <v>144</v>
      </c>
      <c r="D373" s="7" t="s">
        <v>465</v>
      </c>
      <c r="E373" s="7" t="s">
        <v>372</v>
      </c>
      <c r="F373" s="7" t="s">
        <v>258</v>
      </c>
      <c r="G373" s="17"/>
      <c r="H373" s="17">
        <v>3.2111483414699999</v>
      </c>
      <c r="I373" s="17"/>
      <c r="J373" s="7" t="s">
        <v>373</v>
      </c>
      <c r="K373" s="7">
        <v>2035</v>
      </c>
      <c r="L373" s="7" t="str">
        <f>IF(Y373&lt;&gt;"",Y373,IF(AND(K373&gt;=Hypothèses!$B$9,K373&lt;=Hypothèses!$B$10),"actuel",IF(K373=2030,"2030",IF(K373=2050,"2050","autre"))))</f>
        <v>autre</v>
      </c>
      <c r="M373" s="7"/>
      <c r="N373" s="7" t="s">
        <v>248</v>
      </c>
      <c r="O373" s="7"/>
      <c r="P373" s="7" t="s">
        <v>360</v>
      </c>
      <c r="Q373" s="7" t="s">
        <v>49</v>
      </c>
      <c r="R373" s="14">
        <f>INDEX(Hypothèses!$B$14:$B$22,MATCH(Q373,Hypothèses!$A$14:$A$22,0))</f>
        <v>1</v>
      </c>
      <c r="S373" s="17" t="str">
        <f t="shared" si="15"/>
        <v/>
      </c>
      <c r="T373" s="17">
        <f t="shared" si="16"/>
        <v>3.2111483414699999</v>
      </c>
      <c r="U373" s="17" t="str">
        <f t="shared" si="17"/>
        <v/>
      </c>
      <c r="V373" s="7" t="s">
        <v>373</v>
      </c>
      <c r="W373" s="7" t="s">
        <v>84</v>
      </c>
      <c r="X373" s="7" t="s">
        <v>250</v>
      </c>
      <c r="Y373" s="7"/>
      <c r="Z373" s="7"/>
      <c r="AA373" s="7">
        <f>IF(AND(Hypothèses!$B$12=1,Z373="Secondary_Source"),0,1)</f>
        <v>1</v>
      </c>
    </row>
    <row r="374" spans="1:27" x14ac:dyDescent="0.3">
      <c r="A374" s="7" t="s">
        <v>646</v>
      </c>
      <c r="B374" s="7" t="s">
        <v>78</v>
      </c>
      <c r="C374" s="7" t="s">
        <v>144</v>
      </c>
      <c r="D374" s="7" t="s">
        <v>465</v>
      </c>
      <c r="E374" s="7" t="s">
        <v>372</v>
      </c>
      <c r="F374" s="7" t="s">
        <v>258</v>
      </c>
      <c r="G374" s="17"/>
      <c r="H374" s="17">
        <v>2.9318526402199998</v>
      </c>
      <c r="I374" s="17"/>
      <c r="J374" s="7" t="s">
        <v>373</v>
      </c>
      <c r="K374" s="7">
        <v>2040</v>
      </c>
      <c r="L374" s="7" t="str">
        <f>IF(Y374&lt;&gt;"",Y374,IF(AND(K374&gt;=Hypothèses!$B$9,K374&lt;=Hypothèses!$B$10),"actuel",IF(K374=2030,"2030",IF(K374=2050,"2050","autre"))))</f>
        <v>autre</v>
      </c>
      <c r="M374" s="7"/>
      <c r="N374" s="7" t="s">
        <v>248</v>
      </c>
      <c r="O374" s="7"/>
      <c r="P374" s="7" t="s">
        <v>360</v>
      </c>
      <c r="Q374" s="7" t="s">
        <v>49</v>
      </c>
      <c r="R374" s="14">
        <f>INDEX(Hypothèses!$B$14:$B$22,MATCH(Q374,Hypothèses!$A$14:$A$22,0))</f>
        <v>1</v>
      </c>
      <c r="S374" s="17" t="str">
        <f t="shared" si="15"/>
        <v/>
      </c>
      <c r="T374" s="17">
        <f t="shared" si="16"/>
        <v>2.9318526402199998</v>
      </c>
      <c r="U374" s="17" t="str">
        <f t="shared" si="17"/>
        <v/>
      </c>
      <c r="V374" s="7" t="s">
        <v>373</v>
      </c>
      <c r="W374" s="7" t="s">
        <v>84</v>
      </c>
      <c r="X374" s="7" t="s">
        <v>250</v>
      </c>
      <c r="Y374" s="7"/>
      <c r="Z374" s="7"/>
      <c r="AA374" s="7">
        <f>IF(AND(Hypothèses!$B$12=1,Z374="Secondary_Source"),0,1)</f>
        <v>1</v>
      </c>
    </row>
    <row r="375" spans="1:27" x14ac:dyDescent="0.3">
      <c r="A375" s="7" t="s">
        <v>647</v>
      </c>
      <c r="B375" s="7" t="s">
        <v>78</v>
      </c>
      <c r="C375" s="7" t="s">
        <v>144</v>
      </c>
      <c r="D375" s="7" t="s">
        <v>465</v>
      </c>
      <c r="E375" s="7" t="s">
        <v>372</v>
      </c>
      <c r="F375" s="7" t="s">
        <v>258</v>
      </c>
      <c r="G375" s="17"/>
      <c r="H375" s="17">
        <v>2.9089737096000001</v>
      </c>
      <c r="I375" s="17"/>
      <c r="J375" s="7" t="s">
        <v>373</v>
      </c>
      <c r="K375" s="7">
        <v>2045</v>
      </c>
      <c r="L375" s="7" t="str">
        <f>IF(Y375&lt;&gt;"",Y375,IF(AND(K375&gt;=Hypothèses!$B$9,K375&lt;=Hypothèses!$B$10),"actuel",IF(K375=2030,"2030",IF(K375=2050,"2050","autre"))))</f>
        <v>autre</v>
      </c>
      <c r="M375" s="7"/>
      <c r="N375" s="7" t="s">
        <v>248</v>
      </c>
      <c r="O375" s="7"/>
      <c r="P375" s="7" t="s">
        <v>360</v>
      </c>
      <c r="Q375" s="7" t="s">
        <v>49</v>
      </c>
      <c r="R375" s="14">
        <f>INDEX(Hypothèses!$B$14:$B$22,MATCH(Q375,Hypothèses!$A$14:$A$22,0))</f>
        <v>1</v>
      </c>
      <c r="S375" s="17" t="str">
        <f t="shared" si="15"/>
        <v/>
      </c>
      <c r="T375" s="17">
        <f t="shared" si="16"/>
        <v>2.9089737096000001</v>
      </c>
      <c r="U375" s="17" t="str">
        <f t="shared" si="17"/>
        <v/>
      </c>
      <c r="V375" s="7" t="s">
        <v>373</v>
      </c>
      <c r="W375" s="7" t="s">
        <v>84</v>
      </c>
      <c r="X375" s="7" t="s">
        <v>250</v>
      </c>
      <c r="Y375" s="7"/>
      <c r="Z375" s="7"/>
      <c r="AA375" s="7">
        <f>IF(AND(Hypothèses!$B$12=1,Z375="Secondary_Source"),0,1)</f>
        <v>1</v>
      </c>
    </row>
    <row r="376" spans="1:27" x14ac:dyDescent="0.3">
      <c r="A376" s="7" t="s">
        <v>648</v>
      </c>
      <c r="B376" s="7" t="s">
        <v>78</v>
      </c>
      <c r="C376" s="7" t="s">
        <v>144</v>
      </c>
      <c r="D376" s="7" t="s">
        <v>465</v>
      </c>
      <c r="E376" s="7" t="s">
        <v>372</v>
      </c>
      <c r="F376" s="7" t="s">
        <v>258</v>
      </c>
      <c r="G376" s="17"/>
      <c r="H376" s="17">
        <v>2.8860907238700002</v>
      </c>
      <c r="I376" s="17"/>
      <c r="J376" s="7" t="s">
        <v>373</v>
      </c>
      <c r="K376" s="7">
        <v>2050</v>
      </c>
      <c r="L376" s="7" t="str">
        <f>IF(Y376&lt;&gt;"",Y376,IF(AND(K376&gt;=Hypothèses!$B$9,K376&lt;=Hypothèses!$B$10),"actuel",IF(K376=2030,"2030",IF(K376=2050,"2050","autre"))))</f>
        <v>2050</v>
      </c>
      <c r="M376" s="7"/>
      <c r="N376" s="7" t="s">
        <v>248</v>
      </c>
      <c r="O376" s="7"/>
      <c r="P376" s="7" t="s">
        <v>360</v>
      </c>
      <c r="Q376" s="7" t="s">
        <v>49</v>
      </c>
      <c r="R376" s="14">
        <f>INDEX(Hypothèses!$B$14:$B$22,MATCH(Q376,Hypothèses!$A$14:$A$22,0))</f>
        <v>1</v>
      </c>
      <c r="S376" s="17" t="str">
        <f t="shared" si="15"/>
        <v/>
      </c>
      <c r="T376" s="17">
        <f t="shared" si="16"/>
        <v>2.8860907238700002</v>
      </c>
      <c r="U376" s="17" t="str">
        <f t="shared" si="17"/>
        <v/>
      </c>
      <c r="V376" s="7" t="s">
        <v>373</v>
      </c>
      <c r="W376" s="7" t="s">
        <v>84</v>
      </c>
      <c r="X376" s="7" t="s">
        <v>250</v>
      </c>
      <c r="Y376" s="7"/>
      <c r="Z376" s="7"/>
      <c r="AA376" s="7">
        <f>IF(AND(Hypothèses!$B$12=1,Z376="Secondary_Source"),0,1)</f>
        <v>1</v>
      </c>
    </row>
    <row r="377" spans="1:27" x14ac:dyDescent="0.3">
      <c r="A377" s="7" t="s">
        <v>649</v>
      </c>
      <c r="B377" s="7" t="s">
        <v>178</v>
      </c>
      <c r="C377" s="7" t="s">
        <v>215</v>
      </c>
      <c r="D377" s="7" t="s">
        <v>244</v>
      </c>
      <c r="E377" s="7" t="s">
        <v>245</v>
      </c>
      <c r="F377" s="7" t="s">
        <v>650</v>
      </c>
      <c r="G377" s="17"/>
      <c r="H377" s="17">
        <v>1020</v>
      </c>
      <c r="I377" s="17"/>
      <c r="J377" s="7" t="s">
        <v>651</v>
      </c>
      <c r="K377" s="7">
        <v>2019</v>
      </c>
      <c r="L377" s="7" t="str">
        <f>IF(Y377&lt;&gt;"",Y377,IF(AND(K377&gt;=Hypothèses!$B$9,K377&lt;=Hypothèses!$B$10),"actuel",IF(K377=2030,"2030",IF(K377=2050,"2050","autre"))))</f>
        <v>actuel</v>
      </c>
      <c r="M377" s="7"/>
      <c r="N377" s="7" t="s">
        <v>652</v>
      </c>
      <c r="O377" s="7"/>
      <c r="P377" s="7"/>
      <c r="Q377" s="7" t="s">
        <v>65</v>
      </c>
      <c r="R377" s="14">
        <f>INDEX(Hypothèses!$B$14:$B$22,MATCH(Q377,Hypothèses!$A$14:$A$22,0))</f>
        <v>1.3308600000000002</v>
      </c>
      <c r="S377" s="17" t="str">
        <f t="shared" si="15"/>
        <v/>
      </c>
      <c r="T377" s="17">
        <f t="shared" si="16"/>
        <v>1357.4772000000003</v>
      </c>
      <c r="U377" s="17" t="str">
        <f t="shared" si="17"/>
        <v/>
      </c>
      <c r="V377" s="7" t="s">
        <v>247</v>
      </c>
      <c r="W377" s="7" t="s">
        <v>84</v>
      </c>
      <c r="X377" s="7" t="s">
        <v>653</v>
      </c>
      <c r="Y377" s="7" t="s">
        <v>654</v>
      </c>
      <c r="Z377" s="7" t="s">
        <v>655</v>
      </c>
      <c r="AA377" s="7">
        <f>IF(AND(Hypothèses!$B$12=1,Z377="Secondary_Source"),0,1)</f>
        <v>1</v>
      </c>
    </row>
    <row r="378" spans="1:27" x14ac:dyDescent="0.3">
      <c r="A378" s="7" t="s">
        <v>656</v>
      </c>
      <c r="B378" s="7" t="s">
        <v>178</v>
      </c>
      <c r="C378" s="7" t="s">
        <v>215</v>
      </c>
      <c r="D378" s="7" t="s">
        <v>244</v>
      </c>
      <c r="E378" s="7" t="s">
        <v>245</v>
      </c>
      <c r="F378" s="7" t="s">
        <v>650</v>
      </c>
      <c r="G378" s="17"/>
      <c r="H378" s="17">
        <v>722.5</v>
      </c>
      <c r="I378" s="17"/>
      <c r="J378" s="7" t="s">
        <v>651</v>
      </c>
      <c r="K378" s="7">
        <v>2022</v>
      </c>
      <c r="L378" s="7" t="str">
        <f>IF(Y378&lt;&gt;"",Y378,IF(AND(K378&gt;=Hypothèses!$B$9,K378&lt;=Hypothèses!$B$10),"actuel",IF(K378=2030,"2030",IF(K378=2050,"2050","autre"))))</f>
        <v>actuel</v>
      </c>
      <c r="M378" s="7"/>
      <c r="N378" s="7" t="s">
        <v>652</v>
      </c>
      <c r="O378" s="7"/>
      <c r="P378" s="7"/>
      <c r="Q378" s="7" t="s">
        <v>65</v>
      </c>
      <c r="R378" s="14">
        <f>INDEX(Hypothèses!$B$14:$B$22,MATCH(Q378,Hypothèses!$A$14:$A$22,0))</f>
        <v>1.3308600000000002</v>
      </c>
      <c r="S378" s="17" t="str">
        <f t="shared" si="15"/>
        <v/>
      </c>
      <c r="T378" s="17">
        <f t="shared" si="16"/>
        <v>961.54635000000007</v>
      </c>
      <c r="U378" s="17" t="str">
        <f t="shared" si="17"/>
        <v/>
      </c>
      <c r="V378" s="7" t="s">
        <v>247</v>
      </c>
      <c r="W378" s="7" t="s">
        <v>84</v>
      </c>
      <c r="X378" s="7" t="s">
        <v>653</v>
      </c>
      <c r="Y378" s="7"/>
      <c r="Z378" s="7" t="s">
        <v>655</v>
      </c>
      <c r="AA378" s="7">
        <f>IF(AND(Hypothèses!$B$12=1,Z378="Secondary_Source"),0,1)</f>
        <v>1</v>
      </c>
    </row>
    <row r="379" spans="1:27" x14ac:dyDescent="0.3">
      <c r="A379" s="7" t="s">
        <v>657</v>
      </c>
      <c r="B379" s="7" t="s">
        <v>178</v>
      </c>
      <c r="C379" s="7" t="s">
        <v>215</v>
      </c>
      <c r="D379" s="7" t="s">
        <v>244</v>
      </c>
      <c r="E379" s="7" t="s">
        <v>245</v>
      </c>
      <c r="F379" s="7" t="s">
        <v>650</v>
      </c>
      <c r="G379" s="17"/>
      <c r="H379" s="17">
        <v>595</v>
      </c>
      <c r="I379" s="17"/>
      <c r="J379" s="7" t="s">
        <v>651</v>
      </c>
      <c r="K379" s="7">
        <v>2025</v>
      </c>
      <c r="L379" s="7" t="str">
        <f>IF(Y379&lt;&gt;"",Y379,IF(AND(K379&gt;=Hypothèses!$B$9,K379&lt;=Hypothèses!$B$10),"actuel",IF(K379=2030,"2030",IF(K379=2050,"2050","autre"))))</f>
        <v>actuel</v>
      </c>
      <c r="M379" s="7"/>
      <c r="N379" s="7" t="s">
        <v>652</v>
      </c>
      <c r="O379" s="7"/>
      <c r="P379" s="7"/>
      <c r="Q379" s="7" t="s">
        <v>65</v>
      </c>
      <c r="R379" s="14">
        <f>INDEX(Hypothèses!$B$14:$B$22,MATCH(Q379,Hypothèses!$A$14:$A$22,0))</f>
        <v>1.3308600000000002</v>
      </c>
      <c r="S379" s="17" t="str">
        <f t="shared" si="15"/>
        <v/>
      </c>
      <c r="T379" s="17">
        <f t="shared" si="16"/>
        <v>791.86170000000004</v>
      </c>
      <c r="U379" s="17" t="str">
        <f t="shared" si="17"/>
        <v/>
      </c>
      <c r="V379" s="7" t="s">
        <v>247</v>
      </c>
      <c r="W379" s="7" t="s">
        <v>84</v>
      </c>
      <c r="X379" s="7" t="s">
        <v>653</v>
      </c>
      <c r="Y379" s="7"/>
      <c r="Z379" s="7" t="s">
        <v>655</v>
      </c>
      <c r="AA379" s="7">
        <f>IF(AND(Hypothèses!$B$12=1,Z379="Secondary_Source"),0,1)</f>
        <v>1</v>
      </c>
    </row>
    <row r="380" spans="1:27" x14ac:dyDescent="0.3">
      <c r="A380" s="7" t="s">
        <v>658</v>
      </c>
      <c r="B380" s="7" t="s">
        <v>178</v>
      </c>
      <c r="C380" s="7" t="s">
        <v>215</v>
      </c>
      <c r="D380" s="7" t="s">
        <v>244</v>
      </c>
      <c r="E380" s="7" t="s">
        <v>245</v>
      </c>
      <c r="F380" s="7" t="s">
        <v>650</v>
      </c>
      <c r="G380" s="17"/>
      <c r="H380" s="17">
        <v>106</v>
      </c>
      <c r="I380" s="17"/>
      <c r="J380" s="7" t="s">
        <v>651</v>
      </c>
      <c r="K380" s="7">
        <v>2030</v>
      </c>
      <c r="L380" s="7" t="str">
        <f>IF(Y380&lt;&gt;"",Y380,IF(AND(K380&gt;=Hypothèses!$B$9,K380&lt;=Hypothèses!$B$10),"actuel",IF(K380=2030,"2030",IF(K380=2050,"2050","autre"))))</f>
        <v>2030</v>
      </c>
      <c r="M380" s="7"/>
      <c r="N380" s="7" t="s">
        <v>652</v>
      </c>
      <c r="O380" s="7"/>
      <c r="P380" s="7"/>
      <c r="Q380" s="7" t="s">
        <v>65</v>
      </c>
      <c r="R380" s="14">
        <f>INDEX(Hypothèses!$B$14:$B$22,MATCH(Q380,Hypothèses!$A$14:$A$22,0))</f>
        <v>1.3308600000000002</v>
      </c>
      <c r="S380" s="17" t="str">
        <f t="shared" si="15"/>
        <v/>
      </c>
      <c r="T380" s="17">
        <f t="shared" si="16"/>
        <v>141.07116000000002</v>
      </c>
      <c r="U380" s="17" t="str">
        <f t="shared" si="17"/>
        <v/>
      </c>
      <c r="V380" s="7" t="s">
        <v>247</v>
      </c>
      <c r="W380" s="7" t="s">
        <v>84</v>
      </c>
      <c r="X380" s="7" t="s">
        <v>653</v>
      </c>
      <c r="Y380" s="7"/>
      <c r="Z380" s="7" t="s">
        <v>655</v>
      </c>
      <c r="AA380" s="7">
        <f>IF(AND(Hypothèses!$B$12=1,Z380="Secondary_Source"),0,1)</f>
        <v>1</v>
      </c>
    </row>
    <row r="381" spans="1:27" x14ac:dyDescent="0.3">
      <c r="A381" s="7" t="s">
        <v>659</v>
      </c>
      <c r="B381" s="7" t="s">
        <v>178</v>
      </c>
      <c r="C381" s="7" t="s">
        <v>215</v>
      </c>
      <c r="D381" s="7" t="s">
        <v>244</v>
      </c>
      <c r="E381" s="7" t="s">
        <v>245</v>
      </c>
      <c r="F381" s="7" t="s">
        <v>650</v>
      </c>
      <c r="G381" s="17"/>
      <c r="H381" s="17">
        <v>76</v>
      </c>
      <c r="I381" s="17"/>
      <c r="J381" s="7" t="s">
        <v>651</v>
      </c>
      <c r="K381" s="7">
        <v>2050</v>
      </c>
      <c r="L381" s="7" t="str">
        <f>IF(Y381&lt;&gt;"",Y381,IF(AND(K381&gt;=Hypothèses!$B$9,K381&lt;=Hypothèses!$B$10),"actuel",IF(K381=2030,"2030",IF(K381=2050,"2050","autre"))))</f>
        <v>2050</v>
      </c>
      <c r="M381" s="7"/>
      <c r="N381" s="7" t="s">
        <v>652</v>
      </c>
      <c r="O381" s="7"/>
      <c r="P381" s="7"/>
      <c r="Q381" s="7" t="s">
        <v>65</v>
      </c>
      <c r="R381" s="14">
        <f>INDEX(Hypothèses!$B$14:$B$22,MATCH(Q381,Hypothèses!$A$14:$A$22,0))</f>
        <v>1.3308600000000002</v>
      </c>
      <c r="S381" s="17" t="str">
        <f t="shared" si="15"/>
        <v/>
      </c>
      <c r="T381" s="17">
        <f t="shared" si="16"/>
        <v>101.14536000000001</v>
      </c>
      <c r="U381" s="17" t="str">
        <f t="shared" si="17"/>
        <v/>
      </c>
      <c r="V381" s="7" t="s">
        <v>247</v>
      </c>
      <c r="W381" s="7" t="s">
        <v>84</v>
      </c>
      <c r="X381" s="7" t="s">
        <v>653</v>
      </c>
      <c r="Y381" s="7"/>
      <c r="Z381" s="7" t="s">
        <v>655</v>
      </c>
      <c r="AA381" s="7">
        <f>IF(AND(Hypothèses!$B$12=1,Z381="Secondary_Source"),0,1)</f>
        <v>1</v>
      </c>
    </row>
    <row r="382" spans="1:27" x14ac:dyDescent="0.3">
      <c r="A382" s="7" t="s">
        <v>660</v>
      </c>
      <c r="B382" s="7" t="s">
        <v>178</v>
      </c>
      <c r="C382" s="7" t="s">
        <v>184</v>
      </c>
      <c r="D382" s="7" t="s">
        <v>244</v>
      </c>
      <c r="E382" s="7" t="s">
        <v>245</v>
      </c>
      <c r="F382" s="7" t="s">
        <v>650</v>
      </c>
      <c r="G382" s="17"/>
      <c r="H382" s="17">
        <v>1100</v>
      </c>
      <c r="I382" s="17"/>
      <c r="J382" s="7" t="s">
        <v>651</v>
      </c>
      <c r="K382" s="7">
        <v>2017</v>
      </c>
      <c r="L382" s="7" t="str">
        <f>IF(Y382&lt;&gt;"",Y382,IF(AND(K382&gt;=Hypothèses!$B$9,K382&lt;=Hypothèses!$B$10),"actuel",IF(K382=2030,"2030",IF(K382=2050,"2050","autre"))))</f>
        <v>actuel</v>
      </c>
      <c r="M382" s="7" t="s">
        <v>661</v>
      </c>
      <c r="N382" s="7" t="s">
        <v>652</v>
      </c>
      <c r="O382" s="7"/>
      <c r="P382" s="7"/>
      <c r="Q382" s="7" t="s">
        <v>57</v>
      </c>
      <c r="R382" s="14">
        <f>INDEX(Hypothèses!$B$14:$B$22,MATCH(Q382,Hypothèses!$A$14:$A$22,0))</f>
        <v>1.4282400000000002</v>
      </c>
      <c r="S382" s="17" t="str">
        <f t="shared" si="15"/>
        <v/>
      </c>
      <c r="T382" s="17">
        <f t="shared" si="16"/>
        <v>1571.0640000000003</v>
      </c>
      <c r="U382" s="17" t="str">
        <f t="shared" si="17"/>
        <v/>
      </c>
      <c r="V382" s="7" t="s">
        <v>247</v>
      </c>
      <c r="W382" s="7" t="s">
        <v>84</v>
      </c>
      <c r="X382" s="7" t="s">
        <v>662</v>
      </c>
      <c r="Y382" s="7" t="s">
        <v>654</v>
      </c>
      <c r="Z382" s="7" t="s">
        <v>663</v>
      </c>
      <c r="AA382" s="7">
        <f>IF(AND(Hypothèses!$B$12=1,Z382="Secondary_Source"),0,1)</f>
        <v>1</v>
      </c>
    </row>
    <row r="383" spans="1:27" x14ac:dyDescent="0.3">
      <c r="A383" s="7" t="s">
        <v>664</v>
      </c>
      <c r="B383" s="7" t="s">
        <v>178</v>
      </c>
      <c r="C383" s="7" t="s">
        <v>184</v>
      </c>
      <c r="D383" s="7" t="s">
        <v>244</v>
      </c>
      <c r="E383" s="7" t="s">
        <v>245</v>
      </c>
      <c r="F383" s="7" t="s">
        <v>650</v>
      </c>
      <c r="G383" s="17"/>
      <c r="H383" s="17">
        <v>700</v>
      </c>
      <c r="I383" s="17"/>
      <c r="J383" s="7" t="s">
        <v>651</v>
      </c>
      <c r="K383" s="7">
        <v>2030</v>
      </c>
      <c r="L383" s="7" t="str">
        <f>IF(Y383&lt;&gt;"",Y383,IF(AND(K383&gt;=Hypothèses!$B$9,K383&lt;=Hypothèses!$B$10),"actuel",IF(K383=2030,"2030",IF(K383=2050,"2050","autre"))))</f>
        <v>2030</v>
      </c>
      <c r="M383" s="7" t="s">
        <v>665</v>
      </c>
      <c r="N383" s="7" t="s">
        <v>652</v>
      </c>
      <c r="O383" s="7"/>
      <c r="P383" s="7"/>
      <c r="Q383" s="7" t="s">
        <v>57</v>
      </c>
      <c r="R383" s="14">
        <f>INDEX(Hypothèses!$B$14:$B$22,MATCH(Q383,Hypothèses!$A$14:$A$22,0))</f>
        <v>1.4282400000000002</v>
      </c>
      <c r="S383" s="17" t="str">
        <f t="shared" si="15"/>
        <v/>
      </c>
      <c r="T383" s="17">
        <f t="shared" si="16"/>
        <v>999.76800000000014</v>
      </c>
      <c r="U383" s="17" t="str">
        <f t="shared" si="17"/>
        <v/>
      </c>
      <c r="V383" s="7" t="s">
        <v>247</v>
      </c>
      <c r="W383" s="7" t="s">
        <v>84</v>
      </c>
      <c r="X383" s="7" t="s">
        <v>666</v>
      </c>
      <c r="Y383" s="7"/>
      <c r="Z383" s="7" t="s">
        <v>663</v>
      </c>
      <c r="AA383" s="7">
        <f>IF(AND(Hypothèses!$B$12=1,Z383="Secondary_Source"),0,1)</f>
        <v>1</v>
      </c>
    </row>
    <row r="384" spans="1:27" x14ac:dyDescent="0.3">
      <c r="A384" s="7" t="s">
        <v>667</v>
      </c>
      <c r="B384" s="7" t="s">
        <v>178</v>
      </c>
      <c r="C384" s="7" t="s">
        <v>205</v>
      </c>
      <c r="D384" s="7" t="s">
        <v>244</v>
      </c>
      <c r="E384" s="7" t="s">
        <v>245</v>
      </c>
      <c r="F384" s="7" t="s">
        <v>650</v>
      </c>
      <c r="G384" s="17"/>
      <c r="H384" s="17">
        <v>808.2</v>
      </c>
      <c r="I384" s="17"/>
      <c r="J384" s="7" t="s">
        <v>651</v>
      </c>
      <c r="K384" s="7">
        <v>2018</v>
      </c>
      <c r="L384" s="7" t="str">
        <f>IF(Y384&lt;&gt;"",Y384,IF(AND(K384&gt;=Hypothèses!$B$9,K384&lt;=Hypothèses!$B$10),"actuel",IF(K384=2030,"2030",IF(K384=2050,"2050","autre"))))</f>
        <v>actuel</v>
      </c>
      <c r="M384" s="7" t="s">
        <v>668</v>
      </c>
      <c r="N384" s="7" t="s">
        <v>652</v>
      </c>
      <c r="O384" s="7"/>
      <c r="P384" s="7"/>
      <c r="Q384" s="7" t="s">
        <v>63</v>
      </c>
      <c r="R384" s="14">
        <f>INDEX(Hypothèses!$B$14:$B$22,MATCH(Q384,Hypothèses!$A$14:$A$22,0))</f>
        <v>1.3525</v>
      </c>
      <c r="S384" s="17" t="str">
        <f t="shared" si="15"/>
        <v/>
      </c>
      <c r="T384" s="17">
        <f t="shared" si="16"/>
        <v>1093.0905</v>
      </c>
      <c r="U384" s="17" t="str">
        <f t="shared" si="17"/>
        <v/>
      </c>
      <c r="V384" s="7" t="s">
        <v>247</v>
      </c>
      <c r="W384" s="7" t="s">
        <v>84</v>
      </c>
      <c r="X384" s="7" t="s">
        <v>669</v>
      </c>
      <c r="Y384" s="7" t="s">
        <v>654</v>
      </c>
      <c r="Z384" s="7" t="s">
        <v>655</v>
      </c>
      <c r="AA384" s="7">
        <f>IF(AND(Hypothèses!$B$12=1,Z384="Secondary_Source"),0,1)</f>
        <v>1</v>
      </c>
    </row>
    <row r="385" spans="1:27" x14ac:dyDescent="0.3">
      <c r="A385" s="7" t="s">
        <v>670</v>
      </c>
      <c r="B385" s="7" t="s">
        <v>178</v>
      </c>
      <c r="C385" s="7" t="s">
        <v>192</v>
      </c>
      <c r="D385" s="7" t="s">
        <v>244</v>
      </c>
      <c r="E385" s="7" t="s">
        <v>245</v>
      </c>
      <c r="F385" s="7" t="s">
        <v>650</v>
      </c>
      <c r="G385" s="17"/>
      <c r="H385" s="17">
        <v>1200</v>
      </c>
      <c r="I385" s="17"/>
      <c r="J385" s="7" t="s">
        <v>651</v>
      </c>
      <c r="K385" s="7">
        <v>2017</v>
      </c>
      <c r="L385" s="7" t="str">
        <f>IF(Y385&lt;&gt;"",Y385,IF(AND(K385&gt;=Hypothèses!$B$9,K385&lt;=Hypothèses!$B$10),"actuel",IF(K385=2030,"2030",IF(K385=2050,"2050","autre"))))</f>
        <v>actuel</v>
      </c>
      <c r="M385" s="7" t="s">
        <v>661</v>
      </c>
      <c r="N385" s="7" t="s">
        <v>652</v>
      </c>
      <c r="O385" s="7"/>
      <c r="P385" s="7"/>
      <c r="Q385" s="7" t="s">
        <v>61</v>
      </c>
      <c r="R385" s="14">
        <f>INDEX(Hypothèses!$B$14:$B$22,MATCH(Q385,Hypothèses!$A$14:$A$22,0))</f>
        <v>1.3849600000000002</v>
      </c>
      <c r="S385" s="17" t="str">
        <f t="shared" si="15"/>
        <v/>
      </c>
      <c r="T385" s="17">
        <f t="shared" si="16"/>
        <v>1661.9520000000002</v>
      </c>
      <c r="U385" s="17" t="str">
        <f t="shared" si="17"/>
        <v/>
      </c>
      <c r="V385" s="7" t="s">
        <v>247</v>
      </c>
      <c r="W385" s="7" t="s">
        <v>84</v>
      </c>
      <c r="X385" s="7" t="s">
        <v>671</v>
      </c>
      <c r="Y385" s="7" t="s">
        <v>654</v>
      </c>
      <c r="Z385" s="7" t="s">
        <v>655</v>
      </c>
      <c r="AA385" s="7">
        <f>IF(AND(Hypothèses!$B$12=1,Z385="Secondary_Source"),0,1)</f>
        <v>1</v>
      </c>
    </row>
    <row r="386" spans="1:27" x14ac:dyDescent="0.3">
      <c r="A386" s="7" t="s">
        <v>672</v>
      </c>
      <c r="B386" s="7" t="s">
        <v>178</v>
      </c>
      <c r="C386" s="7" t="s">
        <v>192</v>
      </c>
      <c r="D386" s="7" t="s">
        <v>244</v>
      </c>
      <c r="E386" s="7" t="s">
        <v>245</v>
      </c>
      <c r="F386" s="7" t="s">
        <v>650</v>
      </c>
      <c r="G386" s="17"/>
      <c r="H386" s="17">
        <v>830</v>
      </c>
      <c r="I386" s="17"/>
      <c r="J386" s="7" t="s">
        <v>651</v>
      </c>
      <c r="K386" s="7">
        <v>2017</v>
      </c>
      <c r="L386" s="7" t="str">
        <f>IF(Y386&lt;&gt;"",Y386,IF(AND(K386&gt;=Hypothèses!$B$9,K386&lt;=Hypothèses!$B$10),"actuel",IF(K386=2030,"2030",IF(K386=2050,"2050","autre"))))</f>
        <v>actuel</v>
      </c>
      <c r="M386" s="7" t="s">
        <v>665</v>
      </c>
      <c r="N386" s="7" t="s">
        <v>652</v>
      </c>
      <c r="O386" s="7"/>
      <c r="P386" s="7"/>
      <c r="Q386" s="7" t="s">
        <v>61</v>
      </c>
      <c r="R386" s="14">
        <f>INDEX(Hypothèses!$B$14:$B$22,MATCH(Q386,Hypothèses!$A$14:$A$22,0))</f>
        <v>1.3849600000000002</v>
      </c>
      <c r="S386" s="17" t="str">
        <f t="shared" ref="S386:S449" si="18">IF(G386="","",G386*R386)</f>
        <v/>
      </c>
      <c r="T386" s="17">
        <f t="shared" ref="T386:T449" si="19">IF(H386="","",H386*R386)</f>
        <v>1149.5168000000001</v>
      </c>
      <c r="U386" s="17" t="str">
        <f t="shared" ref="U386:U449" si="20">IF(I386="","",I386*R386)</f>
        <v/>
      </c>
      <c r="V386" s="7" t="s">
        <v>247</v>
      </c>
      <c r="W386" s="7" t="s">
        <v>84</v>
      </c>
      <c r="X386" s="7" t="s">
        <v>671</v>
      </c>
      <c r="Y386" s="7" t="s">
        <v>654</v>
      </c>
      <c r="Z386" s="7" t="s">
        <v>655</v>
      </c>
      <c r="AA386" s="7">
        <f>IF(AND(Hypothèses!$B$12=1,Z386="Secondary_Source"),0,1)</f>
        <v>1</v>
      </c>
    </row>
    <row r="387" spans="1:27" x14ac:dyDescent="0.3">
      <c r="A387" s="7" t="s">
        <v>673</v>
      </c>
      <c r="B387" s="7" t="s">
        <v>178</v>
      </c>
      <c r="C387" s="7" t="s">
        <v>192</v>
      </c>
      <c r="D387" s="7" t="s">
        <v>244</v>
      </c>
      <c r="E387" s="7" t="s">
        <v>245</v>
      </c>
      <c r="F387" s="7" t="s">
        <v>650</v>
      </c>
      <c r="G387" s="17"/>
      <c r="H387" s="17">
        <v>750</v>
      </c>
      <c r="I387" s="17"/>
      <c r="J387" s="7" t="s">
        <v>651</v>
      </c>
      <c r="K387" s="7">
        <v>2017</v>
      </c>
      <c r="L387" s="7" t="str">
        <f>IF(Y387&lt;&gt;"",Y387,IF(AND(K387&gt;=Hypothèses!$B$9,K387&lt;=Hypothèses!$B$10),"actuel",IF(K387=2030,"2030",IF(K387=2050,"2050","autre"))))</f>
        <v>actuel</v>
      </c>
      <c r="M387" s="7" t="s">
        <v>668</v>
      </c>
      <c r="N387" s="7" t="s">
        <v>652</v>
      </c>
      <c r="O387" s="7"/>
      <c r="P387" s="7"/>
      <c r="Q387" s="7" t="s">
        <v>61</v>
      </c>
      <c r="R387" s="14">
        <f>INDEX(Hypothèses!$B$14:$B$22,MATCH(Q387,Hypothèses!$A$14:$A$22,0))</f>
        <v>1.3849600000000002</v>
      </c>
      <c r="S387" s="17" t="str">
        <f t="shared" si="18"/>
        <v/>
      </c>
      <c r="T387" s="17">
        <f t="shared" si="19"/>
        <v>1038.7200000000003</v>
      </c>
      <c r="U387" s="17" t="str">
        <f t="shared" si="20"/>
        <v/>
      </c>
      <c r="V387" s="7" t="s">
        <v>247</v>
      </c>
      <c r="W387" s="7" t="s">
        <v>84</v>
      </c>
      <c r="X387" s="7" t="s">
        <v>671</v>
      </c>
      <c r="Y387" s="7" t="s">
        <v>654</v>
      </c>
      <c r="Z387" s="7" t="s">
        <v>655</v>
      </c>
      <c r="AA387" s="7">
        <f>IF(AND(Hypothèses!$B$12=1,Z387="Secondary_Source"),0,1)</f>
        <v>1</v>
      </c>
    </row>
    <row r="388" spans="1:27" x14ac:dyDescent="0.3">
      <c r="A388" s="7" t="s">
        <v>674</v>
      </c>
      <c r="B388" s="7" t="s">
        <v>178</v>
      </c>
      <c r="C388" s="7" t="s">
        <v>192</v>
      </c>
      <c r="D388" s="7" t="s">
        <v>244</v>
      </c>
      <c r="E388" s="7" t="s">
        <v>245</v>
      </c>
      <c r="F388" s="7" t="s">
        <v>650</v>
      </c>
      <c r="G388" s="17"/>
      <c r="H388" s="17">
        <v>900</v>
      </c>
      <c r="I388" s="17"/>
      <c r="J388" s="7" t="s">
        <v>651</v>
      </c>
      <c r="K388" s="7">
        <v>2025</v>
      </c>
      <c r="L388" s="7" t="str">
        <f>IF(Y388&lt;&gt;"",Y388,IF(AND(K388&gt;=Hypothèses!$B$9,K388&lt;=Hypothèses!$B$10),"actuel",IF(K388=2030,"2030",IF(K388=2050,"2050","autre"))))</f>
        <v>actuel</v>
      </c>
      <c r="M388" s="7" t="s">
        <v>661</v>
      </c>
      <c r="N388" s="7" t="s">
        <v>652</v>
      </c>
      <c r="O388" s="7"/>
      <c r="P388" s="7"/>
      <c r="Q388" s="7" t="s">
        <v>61</v>
      </c>
      <c r="R388" s="14">
        <f>INDEX(Hypothèses!$B$14:$B$22,MATCH(Q388,Hypothèses!$A$14:$A$22,0))</f>
        <v>1.3849600000000002</v>
      </c>
      <c r="S388" s="17" t="str">
        <f t="shared" si="18"/>
        <v/>
      </c>
      <c r="T388" s="17">
        <f t="shared" si="19"/>
        <v>1246.4640000000002</v>
      </c>
      <c r="U388" s="17" t="str">
        <f t="shared" si="20"/>
        <v/>
      </c>
      <c r="V388" s="7" t="s">
        <v>247</v>
      </c>
      <c r="W388" s="7" t="s">
        <v>84</v>
      </c>
      <c r="X388" s="7" t="s">
        <v>675</v>
      </c>
      <c r="Y388" s="7"/>
      <c r="Z388" s="7" t="s">
        <v>655</v>
      </c>
      <c r="AA388" s="7">
        <f>IF(AND(Hypothèses!$B$12=1,Z388="Secondary_Source"),0,1)</f>
        <v>1</v>
      </c>
    </row>
    <row r="389" spans="1:27" x14ac:dyDescent="0.3">
      <c r="A389" s="7" t="s">
        <v>676</v>
      </c>
      <c r="B389" s="7" t="s">
        <v>178</v>
      </c>
      <c r="C389" s="7" t="s">
        <v>192</v>
      </c>
      <c r="D389" s="7" t="s">
        <v>244</v>
      </c>
      <c r="E389" s="7" t="s">
        <v>245</v>
      </c>
      <c r="F389" s="7" t="s">
        <v>650</v>
      </c>
      <c r="G389" s="17"/>
      <c r="H389" s="17">
        <v>600</v>
      </c>
      <c r="I389" s="17"/>
      <c r="J389" s="7" t="s">
        <v>651</v>
      </c>
      <c r="K389" s="7">
        <v>2025</v>
      </c>
      <c r="L389" s="7" t="str">
        <f>IF(Y389&lt;&gt;"",Y389,IF(AND(K389&gt;=Hypothèses!$B$9,K389&lt;=Hypothèses!$B$10),"actuel",IF(K389=2030,"2030",IF(K389=2050,"2050","autre"))))</f>
        <v>actuel</v>
      </c>
      <c r="M389" s="7" t="s">
        <v>665</v>
      </c>
      <c r="N389" s="7" t="s">
        <v>652</v>
      </c>
      <c r="O389" s="7"/>
      <c r="P389" s="7"/>
      <c r="Q389" s="7" t="s">
        <v>61</v>
      </c>
      <c r="R389" s="14">
        <f>INDEX(Hypothèses!$B$14:$B$22,MATCH(Q389,Hypothèses!$A$14:$A$22,0))</f>
        <v>1.3849600000000002</v>
      </c>
      <c r="S389" s="17" t="str">
        <f t="shared" si="18"/>
        <v/>
      </c>
      <c r="T389" s="17">
        <f t="shared" si="19"/>
        <v>830.97600000000011</v>
      </c>
      <c r="U389" s="17" t="str">
        <f t="shared" si="20"/>
        <v/>
      </c>
      <c r="V389" s="7" t="s">
        <v>247</v>
      </c>
      <c r="W389" s="7" t="s">
        <v>84</v>
      </c>
      <c r="X389" s="7" t="s">
        <v>675</v>
      </c>
      <c r="Y389" s="7"/>
      <c r="Z389" s="7" t="s">
        <v>655</v>
      </c>
      <c r="AA389" s="7">
        <f>IF(AND(Hypothèses!$B$12=1,Z389="Secondary_Source"),0,1)</f>
        <v>1</v>
      </c>
    </row>
    <row r="390" spans="1:27" x14ac:dyDescent="0.3">
      <c r="A390" s="7" t="s">
        <v>677</v>
      </c>
      <c r="B390" s="7" t="s">
        <v>178</v>
      </c>
      <c r="C390" s="7" t="s">
        <v>192</v>
      </c>
      <c r="D390" s="7" t="s">
        <v>244</v>
      </c>
      <c r="E390" s="7" t="s">
        <v>245</v>
      </c>
      <c r="F390" s="7" t="s">
        <v>650</v>
      </c>
      <c r="G390" s="17"/>
      <c r="H390" s="17">
        <v>480</v>
      </c>
      <c r="I390" s="17"/>
      <c r="J390" s="7" t="s">
        <v>651</v>
      </c>
      <c r="K390" s="7">
        <v>2025</v>
      </c>
      <c r="L390" s="7" t="str">
        <f>IF(Y390&lt;&gt;"",Y390,IF(AND(K390&gt;=Hypothèses!$B$9,K390&lt;=Hypothèses!$B$10),"actuel",IF(K390=2030,"2030",IF(K390=2050,"2050","autre"))))</f>
        <v>actuel</v>
      </c>
      <c r="M390" s="7" t="s">
        <v>668</v>
      </c>
      <c r="N390" s="7" t="s">
        <v>652</v>
      </c>
      <c r="O390" s="7"/>
      <c r="P390" s="7"/>
      <c r="Q390" s="7" t="s">
        <v>61</v>
      </c>
      <c r="R390" s="14">
        <f>INDEX(Hypothèses!$B$14:$B$22,MATCH(Q390,Hypothèses!$A$14:$A$22,0))</f>
        <v>1.3849600000000002</v>
      </c>
      <c r="S390" s="17" t="str">
        <f t="shared" si="18"/>
        <v/>
      </c>
      <c r="T390" s="17">
        <f t="shared" si="19"/>
        <v>664.78080000000011</v>
      </c>
      <c r="U390" s="17" t="str">
        <f t="shared" si="20"/>
        <v/>
      </c>
      <c r="V390" s="7" t="s">
        <v>247</v>
      </c>
      <c r="W390" s="7" t="s">
        <v>84</v>
      </c>
      <c r="X390" s="7" t="s">
        <v>675</v>
      </c>
      <c r="Y390" s="7"/>
      <c r="Z390" s="7" t="s">
        <v>655</v>
      </c>
      <c r="AA390" s="7">
        <f>IF(AND(Hypothèses!$B$12=1,Z390="Secondary_Source"),0,1)</f>
        <v>1</v>
      </c>
    </row>
    <row r="391" spans="1:27" x14ac:dyDescent="0.3">
      <c r="A391" s="7" t="s">
        <v>678</v>
      </c>
      <c r="B391" s="7" t="s">
        <v>178</v>
      </c>
      <c r="C391" s="7" t="s">
        <v>160</v>
      </c>
      <c r="D391" s="7" t="s">
        <v>244</v>
      </c>
      <c r="E391" s="7" t="s">
        <v>245</v>
      </c>
      <c r="F391" s="7" t="s">
        <v>650</v>
      </c>
      <c r="G391" s="17"/>
      <c r="H391" s="17">
        <v>425</v>
      </c>
      <c r="I391" s="17"/>
      <c r="J391" s="7" t="s">
        <v>651</v>
      </c>
      <c r="K391" s="7">
        <v>2020</v>
      </c>
      <c r="L391" s="7" t="str">
        <f>IF(Y391&lt;&gt;"",Y391,IF(AND(K391&gt;=Hypothèses!$B$9,K391&lt;=Hypothèses!$B$10),"actuel",IF(K391=2030,"2030",IF(K391=2050,"2050","autre"))))</f>
        <v>actuel</v>
      </c>
      <c r="M391" s="7"/>
      <c r="N391" s="7" t="s">
        <v>652</v>
      </c>
      <c r="O391" s="7"/>
      <c r="P391" s="7"/>
      <c r="Q391" s="7" t="s">
        <v>65</v>
      </c>
      <c r="R391" s="14">
        <f>INDEX(Hypothèses!$B$14:$B$22,MATCH(Q391,Hypothèses!$A$14:$A$22,0))</f>
        <v>1.3308600000000002</v>
      </c>
      <c r="S391" s="17" t="str">
        <f t="shared" si="18"/>
        <v/>
      </c>
      <c r="T391" s="17">
        <f t="shared" si="19"/>
        <v>565.61550000000011</v>
      </c>
      <c r="U391" s="17" t="str">
        <f t="shared" si="20"/>
        <v/>
      </c>
      <c r="V391" s="7" t="s">
        <v>247</v>
      </c>
      <c r="W391" s="7" t="s">
        <v>84</v>
      </c>
      <c r="X391" s="7" t="s">
        <v>653</v>
      </c>
      <c r="Y391" s="7" t="s">
        <v>654</v>
      </c>
      <c r="Z391" s="7" t="s">
        <v>655</v>
      </c>
      <c r="AA391" s="7">
        <f>IF(AND(Hypothèses!$B$12=1,Z391="Secondary_Source"),0,1)</f>
        <v>1</v>
      </c>
    </row>
    <row r="392" spans="1:27" x14ac:dyDescent="0.3">
      <c r="A392" s="7" t="s">
        <v>679</v>
      </c>
      <c r="B392" s="7" t="s">
        <v>178</v>
      </c>
      <c r="C392" s="7" t="s">
        <v>160</v>
      </c>
      <c r="D392" s="7" t="s">
        <v>244</v>
      </c>
      <c r="E392" s="7" t="s">
        <v>245</v>
      </c>
      <c r="F392" s="7" t="s">
        <v>650</v>
      </c>
      <c r="G392" s="17"/>
      <c r="H392" s="17">
        <v>340</v>
      </c>
      <c r="I392" s="17"/>
      <c r="J392" s="7" t="s">
        <v>651</v>
      </c>
      <c r="K392" s="7">
        <v>2030</v>
      </c>
      <c r="L392" s="7" t="str">
        <f>IF(Y392&lt;&gt;"",Y392,IF(AND(K392&gt;=Hypothèses!$B$9,K392&lt;=Hypothèses!$B$10),"actuel",IF(K392=2030,"2030",IF(K392=2050,"2050","autre"))))</f>
        <v>2030</v>
      </c>
      <c r="M392" s="7"/>
      <c r="N392" s="7" t="s">
        <v>652</v>
      </c>
      <c r="O392" s="7"/>
      <c r="P392" s="7"/>
      <c r="Q392" s="7" t="s">
        <v>65</v>
      </c>
      <c r="R392" s="14">
        <f>INDEX(Hypothèses!$B$14:$B$22,MATCH(Q392,Hypothèses!$A$14:$A$22,0))</f>
        <v>1.3308600000000002</v>
      </c>
      <c r="S392" s="17" t="str">
        <f t="shared" si="18"/>
        <v/>
      </c>
      <c r="T392" s="17">
        <f t="shared" si="19"/>
        <v>452.49240000000003</v>
      </c>
      <c r="U392" s="17" t="str">
        <f t="shared" si="20"/>
        <v/>
      </c>
      <c r="V392" s="7" t="s">
        <v>247</v>
      </c>
      <c r="W392" s="7" t="s">
        <v>84</v>
      </c>
      <c r="X392" s="7" t="s">
        <v>653</v>
      </c>
      <c r="Y392" s="7"/>
      <c r="Z392" s="7" t="s">
        <v>655</v>
      </c>
      <c r="AA392" s="7">
        <f>IF(AND(Hypothèses!$B$12=1,Z392="Secondary_Source"),0,1)</f>
        <v>1</v>
      </c>
    </row>
    <row r="393" spans="1:27" x14ac:dyDescent="0.3">
      <c r="A393" s="7" t="s">
        <v>680</v>
      </c>
      <c r="B393" s="7" t="s">
        <v>178</v>
      </c>
      <c r="C393" s="7" t="s">
        <v>160</v>
      </c>
      <c r="D393" s="7" t="s">
        <v>244</v>
      </c>
      <c r="E393" s="7" t="s">
        <v>245</v>
      </c>
      <c r="F393" s="7" t="s">
        <v>650</v>
      </c>
      <c r="G393" s="17"/>
      <c r="H393" s="17">
        <v>170</v>
      </c>
      <c r="I393" s="17"/>
      <c r="J393" s="7" t="s">
        <v>651</v>
      </c>
      <c r="K393" s="7">
        <v>2050</v>
      </c>
      <c r="L393" s="7" t="str">
        <f>IF(Y393&lt;&gt;"",Y393,IF(AND(K393&gt;=Hypothèses!$B$9,K393&lt;=Hypothèses!$B$10),"actuel",IF(K393=2030,"2030",IF(K393=2050,"2050","autre"))))</f>
        <v>2050</v>
      </c>
      <c r="M393" s="7"/>
      <c r="N393" s="7" t="s">
        <v>652</v>
      </c>
      <c r="O393" s="7"/>
      <c r="P393" s="7"/>
      <c r="Q393" s="7" t="s">
        <v>65</v>
      </c>
      <c r="R393" s="14">
        <f>INDEX(Hypothèses!$B$14:$B$22,MATCH(Q393,Hypothèses!$A$14:$A$22,0))</f>
        <v>1.3308600000000002</v>
      </c>
      <c r="S393" s="17" t="str">
        <f t="shared" si="18"/>
        <v/>
      </c>
      <c r="T393" s="17">
        <f t="shared" si="19"/>
        <v>226.24620000000002</v>
      </c>
      <c r="U393" s="17" t="str">
        <f t="shared" si="20"/>
        <v/>
      </c>
      <c r="V393" s="7" t="s">
        <v>247</v>
      </c>
      <c r="W393" s="7" t="s">
        <v>84</v>
      </c>
      <c r="X393" s="7" t="s">
        <v>653</v>
      </c>
      <c r="Y393" s="7"/>
      <c r="Z393" s="7" t="s">
        <v>655</v>
      </c>
      <c r="AA393" s="7">
        <f>IF(AND(Hypothèses!$B$12=1,Z393="Secondary_Source"),0,1)</f>
        <v>1</v>
      </c>
    </row>
    <row r="394" spans="1:27" x14ac:dyDescent="0.3">
      <c r="A394" s="7" t="s">
        <v>681</v>
      </c>
      <c r="B394" s="7" t="s">
        <v>178</v>
      </c>
      <c r="C394" s="7" t="s">
        <v>189</v>
      </c>
      <c r="D394" s="7" t="s">
        <v>244</v>
      </c>
      <c r="E394" s="7" t="s">
        <v>245</v>
      </c>
      <c r="F394" s="7" t="s">
        <v>650</v>
      </c>
      <c r="G394" s="17"/>
      <c r="H394" s="17">
        <v>700</v>
      </c>
      <c r="I394" s="17"/>
      <c r="J394" s="7" t="s">
        <v>651</v>
      </c>
      <c r="K394" s="7">
        <v>2017</v>
      </c>
      <c r="L394" s="7" t="str">
        <f>IF(Y394&lt;&gt;"",Y394,IF(AND(K394&gt;=Hypothèses!$B$9,K394&lt;=Hypothèses!$B$10),"actuel",IF(K394=2030,"2030",IF(K394=2050,"2050","autre"))))</f>
        <v>actuel</v>
      </c>
      <c r="M394" s="7" t="s">
        <v>668</v>
      </c>
      <c r="N394" s="7" t="s">
        <v>652</v>
      </c>
      <c r="O394" s="7"/>
      <c r="P394" s="7"/>
      <c r="Q394" s="7" t="s">
        <v>63</v>
      </c>
      <c r="R394" s="14">
        <f>INDEX(Hypothèses!$B$14:$B$22,MATCH(Q394,Hypothèses!$A$14:$A$22,0))</f>
        <v>1.3525</v>
      </c>
      <c r="S394" s="17" t="str">
        <f t="shared" si="18"/>
        <v/>
      </c>
      <c r="T394" s="17">
        <f t="shared" si="19"/>
        <v>946.75</v>
      </c>
      <c r="U394" s="17" t="str">
        <f t="shared" si="20"/>
        <v/>
      </c>
      <c r="V394" s="7" t="s">
        <v>247</v>
      </c>
      <c r="W394" s="7" t="s">
        <v>84</v>
      </c>
      <c r="X394" s="7" t="s">
        <v>682</v>
      </c>
      <c r="Y394" s="7" t="s">
        <v>654</v>
      </c>
      <c r="Z394" s="7" t="s">
        <v>655</v>
      </c>
      <c r="AA394" s="7">
        <f>IF(AND(Hypothèses!$B$12=1,Z394="Secondary_Source"),0,1)</f>
        <v>1</v>
      </c>
    </row>
    <row r="395" spans="1:27" x14ac:dyDescent="0.3">
      <c r="A395" s="7" t="s">
        <v>683</v>
      </c>
      <c r="B395" s="7" t="s">
        <v>178</v>
      </c>
      <c r="C395" s="7" t="s">
        <v>189</v>
      </c>
      <c r="D395" s="7" t="s">
        <v>244</v>
      </c>
      <c r="E395" s="7" t="s">
        <v>245</v>
      </c>
      <c r="F395" s="7" t="s">
        <v>650</v>
      </c>
      <c r="G395" s="17"/>
      <c r="H395" s="17">
        <v>450</v>
      </c>
      <c r="I395" s="17"/>
      <c r="J395" s="7" t="s">
        <v>651</v>
      </c>
      <c r="K395" s="7">
        <v>2030</v>
      </c>
      <c r="L395" s="7" t="str">
        <f>IF(Y395&lt;&gt;"",Y395,IF(AND(K395&gt;=Hypothèses!$B$9,K395&lt;=Hypothèses!$B$10),"actuel",IF(K395=2030,"2030",IF(K395=2050,"2050","autre"))))</f>
        <v>2030</v>
      </c>
      <c r="M395" s="7" t="s">
        <v>668</v>
      </c>
      <c r="N395" s="7" t="s">
        <v>652</v>
      </c>
      <c r="O395" s="7"/>
      <c r="P395" s="7"/>
      <c r="Q395" s="7" t="s">
        <v>63</v>
      </c>
      <c r="R395" s="14">
        <f>INDEX(Hypothèses!$B$14:$B$22,MATCH(Q395,Hypothèses!$A$14:$A$22,0))</f>
        <v>1.3525</v>
      </c>
      <c r="S395" s="17" t="str">
        <f t="shared" si="18"/>
        <v/>
      </c>
      <c r="T395" s="17">
        <f t="shared" si="19"/>
        <v>608.625</v>
      </c>
      <c r="U395" s="17" t="str">
        <f t="shared" si="20"/>
        <v/>
      </c>
      <c r="V395" s="7" t="s">
        <v>247</v>
      </c>
      <c r="W395" s="7" t="s">
        <v>84</v>
      </c>
      <c r="X395" s="7" t="s">
        <v>682</v>
      </c>
      <c r="Y395" s="7"/>
      <c r="Z395" s="7" t="s">
        <v>655</v>
      </c>
      <c r="AA395" s="7">
        <f>IF(AND(Hypothèses!$B$12=1,Z395="Secondary_Source"),0,1)</f>
        <v>1</v>
      </c>
    </row>
    <row r="396" spans="1:27" x14ac:dyDescent="0.3">
      <c r="A396" s="7" t="s">
        <v>684</v>
      </c>
      <c r="B396" s="7" t="s">
        <v>178</v>
      </c>
      <c r="C396" s="7" t="s">
        <v>189</v>
      </c>
      <c r="D396" s="7" t="s">
        <v>244</v>
      </c>
      <c r="E396" s="7" t="s">
        <v>245</v>
      </c>
      <c r="F396" s="7" t="s">
        <v>650</v>
      </c>
      <c r="G396" s="17"/>
      <c r="H396" s="17">
        <v>450</v>
      </c>
      <c r="I396" s="17"/>
      <c r="J396" s="7" t="s">
        <v>651</v>
      </c>
      <c r="K396" s="7">
        <v>2050</v>
      </c>
      <c r="L396" s="7" t="str">
        <f>IF(Y396&lt;&gt;"",Y396,IF(AND(K396&gt;=Hypothèses!$B$9,K396&lt;=Hypothèses!$B$10),"actuel",IF(K396=2030,"2030",IF(K396=2050,"2050","autre"))))</f>
        <v>2050</v>
      </c>
      <c r="M396" s="7" t="s">
        <v>668</v>
      </c>
      <c r="N396" s="7" t="s">
        <v>652</v>
      </c>
      <c r="O396" s="7"/>
      <c r="P396" s="7"/>
      <c r="Q396" s="7" t="s">
        <v>63</v>
      </c>
      <c r="R396" s="14">
        <f>INDEX(Hypothèses!$B$14:$B$22,MATCH(Q396,Hypothèses!$A$14:$A$22,0))</f>
        <v>1.3525</v>
      </c>
      <c r="S396" s="17" t="str">
        <f t="shared" si="18"/>
        <v/>
      </c>
      <c r="T396" s="17">
        <f t="shared" si="19"/>
        <v>608.625</v>
      </c>
      <c r="U396" s="17" t="str">
        <f t="shared" si="20"/>
        <v/>
      </c>
      <c r="V396" s="7" t="s">
        <v>247</v>
      </c>
      <c r="W396" s="7" t="s">
        <v>84</v>
      </c>
      <c r="X396" s="7" t="s">
        <v>682</v>
      </c>
      <c r="Y396" s="7"/>
      <c r="Z396" s="7" t="s">
        <v>655</v>
      </c>
      <c r="AA396" s="7">
        <f>IF(AND(Hypothèses!$B$12=1,Z396="Secondary_Source"),0,1)</f>
        <v>1</v>
      </c>
    </row>
    <row r="397" spans="1:27" x14ac:dyDescent="0.3">
      <c r="A397" s="7" t="s">
        <v>685</v>
      </c>
      <c r="B397" s="7" t="s">
        <v>178</v>
      </c>
      <c r="C397" s="7" t="s">
        <v>194</v>
      </c>
      <c r="D397" s="7" t="s">
        <v>244</v>
      </c>
      <c r="E397" s="7" t="s">
        <v>245</v>
      </c>
      <c r="F397" s="7" t="s">
        <v>650</v>
      </c>
      <c r="G397" s="17"/>
      <c r="H397" s="17">
        <v>830</v>
      </c>
      <c r="I397" s="17"/>
      <c r="J397" s="7" t="s">
        <v>651</v>
      </c>
      <c r="K397" s="7">
        <v>2017</v>
      </c>
      <c r="L397" s="7" t="str">
        <f>IF(Y397&lt;&gt;"",Y397,IF(AND(K397&gt;=Hypothèses!$B$9,K397&lt;=Hypothèses!$B$10),"actuel",IF(K397=2030,"2030",IF(K397=2050,"2050","autre"))))</f>
        <v>actuel</v>
      </c>
      <c r="M397" s="7" t="s">
        <v>661</v>
      </c>
      <c r="N397" s="7" t="s">
        <v>652</v>
      </c>
      <c r="O397" s="7"/>
      <c r="P397" s="7"/>
      <c r="Q397" s="7" t="s">
        <v>65</v>
      </c>
      <c r="R397" s="14">
        <f>INDEX(Hypothèses!$B$14:$B$22,MATCH(Q397,Hypothèses!$A$14:$A$22,0))</f>
        <v>1.3308600000000002</v>
      </c>
      <c r="S397" s="17" t="str">
        <f t="shared" si="18"/>
        <v/>
      </c>
      <c r="T397" s="17">
        <f t="shared" si="19"/>
        <v>1104.6138000000001</v>
      </c>
      <c r="U397" s="17" t="str">
        <f t="shared" si="20"/>
        <v/>
      </c>
      <c r="V397" s="7" t="s">
        <v>247</v>
      </c>
      <c r="W397" s="7" t="s">
        <v>84</v>
      </c>
      <c r="X397" s="7" t="s">
        <v>686</v>
      </c>
      <c r="Y397" s="7" t="s">
        <v>654</v>
      </c>
      <c r="Z397" s="7" t="s">
        <v>687</v>
      </c>
      <c r="AA397" s="7">
        <f>IF(AND(Hypothèses!$B$12=1,Z397="Secondary_Source"),0,1)</f>
        <v>0</v>
      </c>
    </row>
    <row r="398" spans="1:27" x14ac:dyDescent="0.3">
      <c r="A398" s="7" t="s">
        <v>688</v>
      </c>
      <c r="B398" s="7" t="s">
        <v>178</v>
      </c>
      <c r="C398" s="7" t="s">
        <v>194</v>
      </c>
      <c r="D398" s="7" t="s">
        <v>244</v>
      </c>
      <c r="E398" s="7" t="s">
        <v>245</v>
      </c>
      <c r="F398" s="7" t="s">
        <v>650</v>
      </c>
      <c r="G398" s="17"/>
      <c r="H398" s="17">
        <v>600</v>
      </c>
      <c r="I398" s="17"/>
      <c r="J398" s="7" t="s">
        <v>651</v>
      </c>
      <c r="K398" s="7">
        <v>2025</v>
      </c>
      <c r="L398" s="7" t="str">
        <f>IF(Y398&lt;&gt;"",Y398,IF(AND(K398&gt;=Hypothèses!$B$9,K398&lt;=Hypothèses!$B$10),"actuel",IF(K398=2030,"2030",IF(K398=2050,"2050","autre"))))</f>
        <v>actuel</v>
      </c>
      <c r="M398" s="7" t="s">
        <v>661</v>
      </c>
      <c r="N398" s="7" t="s">
        <v>652</v>
      </c>
      <c r="O398" s="7"/>
      <c r="P398" s="7"/>
      <c r="Q398" s="7" t="s">
        <v>65</v>
      </c>
      <c r="R398" s="14">
        <f>INDEX(Hypothèses!$B$14:$B$22,MATCH(Q398,Hypothèses!$A$14:$A$22,0))</f>
        <v>1.3308600000000002</v>
      </c>
      <c r="S398" s="17" t="str">
        <f t="shared" si="18"/>
        <v/>
      </c>
      <c r="T398" s="17">
        <f t="shared" si="19"/>
        <v>798.51600000000008</v>
      </c>
      <c r="U398" s="17" t="str">
        <f t="shared" si="20"/>
        <v/>
      </c>
      <c r="V398" s="7" t="s">
        <v>247</v>
      </c>
      <c r="W398" s="7" t="s">
        <v>84</v>
      </c>
      <c r="X398" s="7" t="s">
        <v>689</v>
      </c>
      <c r="Y398" s="7"/>
      <c r="Z398" s="7" t="s">
        <v>687</v>
      </c>
      <c r="AA398" s="7">
        <f>IF(AND(Hypothèses!$B$12=1,Z398="Secondary_Source"),0,1)</f>
        <v>0</v>
      </c>
    </row>
    <row r="399" spans="1:27" x14ac:dyDescent="0.3">
      <c r="A399" s="7" t="s">
        <v>690</v>
      </c>
      <c r="B399" s="7" t="s">
        <v>178</v>
      </c>
      <c r="C399" s="7" t="s">
        <v>209</v>
      </c>
      <c r="D399" s="7" t="s">
        <v>244</v>
      </c>
      <c r="E399" s="7" t="s">
        <v>245</v>
      </c>
      <c r="F399" s="7" t="s">
        <v>650</v>
      </c>
      <c r="G399" s="17"/>
      <c r="H399" s="17">
        <v>935</v>
      </c>
      <c r="I399" s="17"/>
      <c r="J399" s="7" t="s">
        <v>651</v>
      </c>
      <c r="K399" s="7">
        <v>2025</v>
      </c>
      <c r="L399" s="7" t="str">
        <f>IF(Y399&lt;&gt;"",Y399,IF(AND(K399&gt;=Hypothèses!$B$9,K399&lt;=Hypothèses!$B$10),"actuel",IF(K399=2030,"2030",IF(K399=2050,"2050","autre"))))</f>
        <v>actuel</v>
      </c>
      <c r="M399" s="7" t="s">
        <v>665</v>
      </c>
      <c r="N399" s="7" t="s">
        <v>652</v>
      </c>
      <c r="O399" s="7"/>
      <c r="P399" s="7"/>
      <c r="Q399" s="7" t="s">
        <v>59</v>
      </c>
      <c r="R399" s="14">
        <f>INDEX(Hypothèses!$B$14:$B$22,MATCH(Q399,Hypothèses!$A$14:$A$22,0))</f>
        <v>1.4174200000000001</v>
      </c>
      <c r="S399" s="17" t="str">
        <f t="shared" si="18"/>
        <v/>
      </c>
      <c r="T399" s="17">
        <f t="shared" si="19"/>
        <v>1325.2877000000001</v>
      </c>
      <c r="U399" s="17" t="str">
        <f t="shared" si="20"/>
        <v/>
      </c>
      <c r="V399" s="7" t="s">
        <v>247</v>
      </c>
      <c r="W399" s="7" t="s">
        <v>84</v>
      </c>
      <c r="X399" s="7" t="s">
        <v>691</v>
      </c>
      <c r="Y399" s="7"/>
      <c r="Z399" s="7" t="s">
        <v>663</v>
      </c>
      <c r="AA399" s="7">
        <f>IF(AND(Hypothèses!$B$12=1,Z399="Secondary_Source"),0,1)</f>
        <v>1</v>
      </c>
    </row>
    <row r="400" spans="1:27" x14ac:dyDescent="0.3">
      <c r="A400" s="7" t="s">
        <v>692</v>
      </c>
      <c r="B400" s="7" t="s">
        <v>178</v>
      </c>
      <c r="C400" s="7" t="s">
        <v>209</v>
      </c>
      <c r="D400" s="7" t="s">
        <v>244</v>
      </c>
      <c r="E400" s="7" t="s">
        <v>245</v>
      </c>
      <c r="F400" s="7" t="s">
        <v>650</v>
      </c>
      <c r="G400" s="17"/>
      <c r="H400" s="17">
        <v>607</v>
      </c>
      <c r="I400" s="17"/>
      <c r="J400" s="7" t="s">
        <v>651</v>
      </c>
      <c r="K400" s="7">
        <v>2050</v>
      </c>
      <c r="L400" s="7" t="str">
        <f>IF(Y400&lt;&gt;"",Y400,IF(AND(K400&gt;=Hypothèses!$B$9,K400&lt;=Hypothèses!$B$10),"actuel",IF(K400=2030,"2030",IF(K400=2050,"2050","autre"))))</f>
        <v>2050</v>
      </c>
      <c r="M400" s="7" t="s">
        <v>668</v>
      </c>
      <c r="N400" s="7" t="s">
        <v>652</v>
      </c>
      <c r="O400" s="7"/>
      <c r="P400" s="7"/>
      <c r="Q400" s="7" t="s">
        <v>61</v>
      </c>
      <c r="R400" s="14">
        <f>INDEX(Hypothèses!$B$14:$B$22,MATCH(Q400,Hypothèses!$A$14:$A$22,0))</f>
        <v>1.3849600000000002</v>
      </c>
      <c r="S400" s="17" t="str">
        <f t="shared" si="18"/>
        <v/>
      </c>
      <c r="T400" s="17">
        <f t="shared" si="19"/>
        <v>840.67072000000007</v>
      </c>
      <c r="U400" s="17" t="str">
        <f t="shared" si="20"/>
        <v/>
      </c>
      <c r="V400" s="7" t="s">
        <v>247</v>
      </c>
      <c r="W400" s="7" t="s">
        <v>84</v>
      </c>
      <c r="X400" s="7" t="s">
        <v>693</v>
      </c>
      <c r="Y400" s="7"/>
      <c r="Z400" s="7" t="s">
        <v>655</v>
      </c>
      <c r="AA400" s="7">
        <f>IF(AND(Hypothèses!$B$12=1,Z400="Secondary_Source"),0,1)</f>
        <v>1</v>
      </c>
    </row>
    <row r="401" spans="1:27" x14ac:dyDescent="0.3">
      <c r="A401" s="7" t="s">
        <v>694</v>
      </c>
      <c r="B401" s="7" t="s">
        <v>178</v>
      </c>
      <c r="C401" s="7" t="s">
        <v>207</v>
      </c>
      <c r="D401" s="7" t="s">
        <v>244</v>
      </c>
      <c r="E401" s="7" t="s">
        <v>245</v>
      </c>
      <c r="F401" s="7" t="s">
        <v>650</v>
      </c>
      <c r="G401" s="17"/>
      <c r="H401" s="17">
        <v>500</v>
      </c>
      <c r="I401" s="17"/>
      <c r="J401" s="7" t="s">
        <v>651</v>
      </c>
      <c r="K401" s="7">
        <v>2020</v>
      </c>
      <c r="L401" s="7" t="str">
        <f>IF(Y401&lt;&gt;"",Y401,IF(AND(K401&gt;=Hypothèses!$B$9,K401&lt;=Hypothèses!$B$10),"actuel",IF(K401=2030,"2030",IF(K401=2050,"2050","autre"))))</f>
        <v>actuel</v>
      </c>
      <c r="M401" s="7" t="s">
        <v>668</v>
      </c>
      <c r="N401" s="7" t="s">
        <v>652</v>
      </c>
      <c r="O401" s="7"/>
      <c r="P401" s="7"/>
      <c r="Q401" s="7" t="s">
        <v>61</v>
      </c>
      <c r="R401" s="14">
        <f>INDEX(Hypothèses!$B$14:$B$22,MATCH(Q401,Hypothèses!$A$14:$A$22,0))</f>
        <v>1.3849600000000002</v>
      </c>
      <c r="S401" s="17" t="str">
        <f t="shared" si="18"/>
        <v/>
      </c>
      <c r="T401" s="17">
        <f t="shared" si="19"/>
        <v>692.48000000000013</v>
      </c>
      <c r="U401" s="17" t="str">
        <f t="shared" si="20"/>
        <v/>
      </c>
      <c r="V401" s="7" t="s">
        <v>247</v>
      </c>
      <c r="W401" s="7" t="s">
        <v>84</v>
      </c>
      <c r="X401" s="7" t="s">
        <v>695</v>
      </c>
      <c r="Y401" s="7" t="s">
        <v>654</v>
      </c>
      <c r="Z401" s="7" t="s">
        <v>655</v>
      </c>
      <c r="AA401" s="7">
        <f>IF(AND(Hypothèses!$B$12=1,Z401="Secondary_Source"),0,1)</f>
        <v>1</v>
      </c>
    </row>
    <row r="402" spans="1:27" x14ac:dyDescent="0.3">
      <c r="A402" s="7" t="s">
        <v>696</v>
      </c>
      <c r="B402" s="7" t="s">
        <v>178</v>
      </c>
      <c r="C402" s="7" t="s">
        <v>202</v>
      </c>
      <c r="D402" s="7" t="s">
        <v>244</v>
      </c>
      <c r="E402" s="7" t="s">
        <v>245</v>
      </c>
      <c r="F402" s="7" t="s">
        <v>650</v>
      </c>
      <c r="G402" s="17"/>
      <c r="H402" s="17">
        <v>750</v>
      </c>
      <c r="I402" s="17"/>
      <c r="J402" s="7" t="s">
        <v>651</v>
      </c>
      <c r="K402" s="7">
        <v>2018</v>
      </c>
      <c r="L402" s="7" t="str">
        <f>IF(Y402&lt;&gt;"",Y402,IF(AND(K402&gt;=Hypothèses!$B$9,K402&lt;=Hypothèses!$B$10),"actuel",IF(K402=2030,"2030",IF(K402=2050,"2050","autre"))))</f>
        <v>actuel</v>
      </c>
      <c r="M402" s="7" t="s">
        <v>661</v>
      </c>
      <c r="N402" s="7" t="s">
        <v>652</v>
      </c>
      <c r="O402" s="7"/>
      <c r="P402" s="7"/>
      <c r="Q402" s="7" t="s">
        <v>63</v>
      </c>
      <c r="R402" s="14">
        <f>INDEX(Hypothèses!$B$14:$B$22,MATCH(Q402,Hypothèses!$A$14:$A$22,0))</f>
        <v>1.3525</v>
      </c>
      <c r="S402" s="17" t="str">
        <f t="shared" si="18"/>
        <v/>
      </c>
      <c r="T402" s="17">
        <f t="shared" si="19"/>
        <v>1014.375</v>
      </c>
      <c r="U402" s="17" t="str">
        <f t="shared" si="20"/>
        <v/>
      </c>
      <c r="V402" s="7" t="s">
        <v>247</v>
      </c>
      <c r="W402" s="7" t="s">
        <v>84</v>
      </c>
      <c r="X402" s="7" t="s">
        <v>697</v>
      </c>
      <c r="Y402" s="7" t="s">
        <v>654</v>
      </c>
      <c r="Z402" s="7" t="s">
        <v>655</v>
      </c>
      <c r="AA402" s="7">
        <f>IF(AND(Hypothèses!$B$12=1,Z402="Secondary_Source"),0,1)</f>
        <v>1</v>
      </c>
    </row>
    <row r="403" spans="1:27" x14ac:dyDescent="0.3">
      <c r="A403" s="7" t="s">
        <v>698</v>
      </c>
      <c r="B403" s="7" t="s">
        <v>178</v>
      </c>
      <c r="C403" s="7" t="s">
        <v>213</v>
      </c>
      <c r="D403" s="7" t="s">
        <v>244</v>
      </c>
      <c r="E403" s="7" t="s">
        <v>245</v>
      </c>
      <c r="F403" s="7" t="s">
        <v>650</v>
      </c>
      <c r="G403" s="17"/>
      <c r="H403" s="17">
        <v>950</v>
      </c>
      <c r="I403" s="17"/>
      <c r="J403" s="7" t="s">
        <v>651</v>
      </c>
      <c r="K403" s="7">
        <v>2020</v>
      </c>
      <c r="L403" s="7" t="str">
        <f>IF(Y403&lt;&gt;"",Y403,IF(AND(K403&gt;=Hypothèses!$B$9,K403&lt;=Hypothèses!$B$10),"actuel",IF(K403=2030,"2030",IF(K403=2050,"2050","autre"))))</f>
        <v>actuel</v>
      </c>
      <c r="M403" s="7" t="s">
        <v>665</v>
      </c>
      <c r="N403" s="7" t="s">
        <v>652</v>
      </c>
      <c r="O403" s="7"/>
      <c r="P403" s="7"/>
      <c r="Q403" s="7" t="s">
        <v>61</v>
      </c>
      <c r="R403" s="14">
        <f>INDEX(Hypothèses!$B$14:$B$22,MATCH(Q403,Hypothèses!$A$14:$A$22,0))</f>
        <v>1.3849600000000002</v>
      </c>
      <c r="S403" s="17" t="str">
        <f t="shared" si="18"/>
        <v/>
      </c>
      <c r="T403" s="17">
        <f t="shared" si="19"/>
        <v>1315.7120000000002</v>
      </c>
      <c r="U403" s="17" t="str">
        <f t="shared" si="20"/>
        <v/>
      </c>
      <c r="V403" s="7" t="s">
        <v>247</v>
      </c>
      <c r="W403" s="7" t="s">
        <v>84</v>
      </c>
      <c r="X403" s="7" t="s">
        <v>699</v>
      </c>
      <c r="Y403" s="7" t="s">
        <v>654</v>
      </c>
      <c r="Z403" s="7" t="s">
        <v>655</v>
      </c>
      <c r="AA403" s="7">
        <f>IF(AND(Hypothèses!$B$12=1,Z403="Secondary_Source"),0,1)</f>
        <v>1</v>
      </c>
    </row>
    <row r="404" spans="1:27" x14ac:dyDescent="0.3">
      <c r="A404" s="7" t="s">
        <v>700</v>
      </c>
      <c r="B404" s="7" t="s">
        <v>178</v>
      </c>
      <c r="C404" s="7" t="s">
        <v>213</v>
      </c>
      <c r="D404" s="7" t="s">
        <v>244</v>
      </c>
      <c r="E404" s="7" t="s">
        <v>245</v>
      </c>
      <c r="F404" s="7" t="s">
        <v>650</v>
      </c>
      <c r="G404" s="17"/>
      <c r="H404" s="17">
        <v>550</v>
      </c>
      <c r="I404" s="17"/>
      <c r="J404" s="7" t="s">
        <v>651</v>
      </c>
      <c r="K404" s="7">
        <v>2030</v>
      </c>
      <c r="L404" s="7" t="str">
        <f>IF(Y404&lt;&gt;"",Y404,IF(AND(K404&gt;=Hypothèses!$B$9,K404&lt;=Hypothèses!$B$10),"actuel",IF(K404=2030,"2030",IF(K404=2050,"2050","autre"))))</f>
        <v>2030</v>
      </c>
      <c r="M404" s="7" t="s">
        <v>668</v>
      </c>
      <c r="N404" s="7" t="s">
        <v>652</v>
      </c>
      <c r="O404" s="7"/>
      <c r="P404" s="7"/>
      <c r="Q404" s="7" t="s">
        <v>61</v>
      </c>
      <c r="R404" s="14">
        <f>INDEX(Hypothèses!$B$14:$B$22,MATCH(Q404,Hypothèses!$A$14:$A$22,0))</f>
        <v>1.3849600000000002</v>
      </c>
      <c r="S404" s="17" t="str">
        <f t="shared" si="18"/>
        <v/>
      </c>
      <c r="T404" s="17">
        <f t="shared" si="19"/>
        <v>761.72800000000007</v>
      </c>
      <c r="U404" s="17" t="str">
        <f t="shared" si="20"/>
        <v/>
      </c>
      <c r="V404" s="7" t="s">
        <v>247</v>
      </c>
      <c r="W404" s="7" t="s">
        <v>84</v>
      </c>
      <c r="X404" s="7" t="s">
        <v>699</v>
      </c>
      <c r="Y404" s="7"/>
      <c r="Z404" s="7" t="s">
        <v>655</v>
      </c>
      <c r="AA404" s="7">
        <f>IF(AND(Hypothèses!$B$12=1,Z404="Secondary_Source"),0,1)</f>
        <v>1</v>
      </c>
    </row>
    <row r="405" spans="1:27" x14ac:dyDescent="0.3">
      <c r="A405" s="7" t="s">
        <v>701</v>
      </c>
      <c r="B405" s="7" t="s">
        <v>178</v>
      </c>
      <c r="C405" s="7" t="s">
        <v>197</v>
      </c>
      <c r="D405" s="7" t="s">
        <v>244</v>
      </c>
      <c r="E405" s="7" t="s">
        <v>245</v>
      </c>
      <c r="F405" s="7" t="s">
        <v>650</v>
      </c>
      <c r="G405" s="17"/>
      <c r="H405" s="17">
        <v>1000</v>
      </c>
      <c r="I405" s="17"/>
      <c r="J405" s="7" t="s">
        <v>651</v>
      </c>
      <c r="K405" s="7">
        <v>2017</v>
      </c>
      <c r="L405" s="7" t="str">
        <f>IF(Y405&lt;&gt;"",Y405,IF(AND(K405&gt;=Hypothèses!$B$9,K405&lt;=Hypothèses!$B$10),"actuel",IF(K405=2030,"2030",IF(K405=2050,"2050","autre"))))</f>
        <v>actuel</v>
      </c>
      <c r="M405" s="7" t="s">
        <v>661</v>
      </c>
      <c r="N405" s="7" t="s">
        <v>652</v>
      </c>
      <c r="O405" s="7"/>
      <c r="P405" s="7"/>
      <c r="Q405" s="7" t="s">
        <v>59</v>
      </c>
      <c r="R405" s="14">
        <f>INDEX(Hypothèses!$B$14:$B$22,MATCH(Q405,Hypothèses!$A$14:$A$22,0))</f>
        <v>1.4174200000000001</v>
      </c>
      <c r="S405" s="17" t="str">
        <f t="shared" si="18"/>
        <v/>
      </c>
      <c r="T405" s="17">
        <f t="shared" si="19"/>
        <v>1417.42</v>
      </c>
      <c r="U405" s="17" t="str">
        <f t="shared" si="20"/>
        <v/>
      </c>
      <c r="V405" s="7" t="s">
        <v>247</v>
      </c>
      <c r="W405" s="7" t="s">
        <v>84</v>
      </c>
      <c r="X405" s="7" t="s">
        <v>702</v>
      </c>
      <c r="Y405" s="7" t="s">
        <v>654</v>
      </c>
      <c r="Z405" s="7" t="s">
        <v>663</v>
      </c>
      <c r="AA405" s="7">
        <f>IF(AND(Hypothèses!$B$12=1,Z405="Secondary_Source"),0,1)</f>
        <v>1</v>
      </c>
    </row>
    <row r="406" spans="1:27" x14ac:dyDescent="0.3">
      <c r="A406" s="7" t="s">
        <v>703</v>
      </c>
      <c r="B406" s="7" t="s">
        <v>178</v>
      </c>
      <c r="C406" s="7" t="s">
        <v>197</v>
      </c>
      <c r="D406" s="7" t="s">
        <v>244</v>
      </c>
      <c r="E406" s="7" t="s">
        <v>245</v>
      </c>
      <c r="F406" s="7" t="s">
        <v>650</v>
      </c>
      <c r="G406" s="17"/>
      <c r="H406" s="17">
        <v>500</v>
      </c>
      <c r="I406" s="17"/>
      <c r="J406" s="7" t="s">
        <v>651</v>
      </c>
      <c r="K406" s="7">
        <v>2030</v>
      </c>
      <c r="L406" s="7" t="str">
        <f>IF(Y406&lt;&gt;"",Y406,IF(AND(K406&gt;=Hypothèses!$B$9,K406&lt;=Hypothèses!$B$10),"actuel",IF(K406=2030,"2030",IF(K406=2050,"2050","autre"))))</f>
        <v>2030</v>
      </c>
      <c r="M406" s="7" t="s">
        <v>668</v>
      </c>
      <c r="N406" s="7" t="s">
        <v>652</v>
      </c>
      <c r="O406" s="7"/>
      <c r="P406" s="7"/>
      <c r="Q406" s="7" t="s">
        <v>59</v>
      </c>
      <c r="R406" s="14">
        <f>INDEX(Hypothèses!$B$14:$B$22,MATCH(Q406,Hypothèses!$A$14:$A$22,0))</f>
        <v>1.4174200000000001</v>
      </c>
      <c r="S406" s="17" t="str">
        <f t="shared" si="18"/>
        <v/>
      </c>
      <c r="T406" s="17">
        <f t="shared" si="19"/>
        <v>708.71</v>
      </c>
      <c r="U406" s="17" t="str">
        <f t="shared" si="20"/>
        <v/>
      </c>
      <c r="V406" s="7" t="s">
        <v>247</v>
      </c>
      <c r="W406" s="7" t="s">
        <v>84</v>
      </c>
      <c r="X406" s="7" t="s">
        <v>702</v>
      </c>
      <c r="Y406" s="7"/>
      <c r="Z406" s="7" t="s">
        <v>663</v>
      </c>
      <c r="AA406" s="7">
        <f>IF(AND(Hypothèses!$B$12=1,Z406="Secondary_Source"),0,1)</f>
        <v>1</v>
      </c>
    </row>
    <row r="407" spans="1:27" x14ac:dyDescent="0.3">
      <c r="A407" s="7" t="s">
        <v>704</v>
      </c>
      <c r="B407" s="7" t="s">
        <v>178</v>
      </c>
      <c r="C407" s="7" t="s">
        <v>215</v>
      </c>
      <c r="D407" s="7" t="s">
        <v>244</v>
      </c>
      <c r="E407" s="7" t="s">
        <v>705</v>
      </c>
      <c r="F407" s="7" t="s">
        <v>650</v>
      </c>
      <c r="G407" s="17"/>
      <c r="H407" s="17">
        <v>61</v>
      </c>
      <c r="I407" s="17"/>
      <c r="J407" s="7" t="s">
        <v>706</v>
      </c>
      <c r="K407" s="7">
        <v>2019</v>
      </c>
      <c r="L407" s="7" t="str">
        <f>IF(Y407&lt;&gt;"",Y407,IF(AND(K407&gt;=Hypothèses!$B$9,K407&lt;=Hypothèses!$B$10),"actuel",IF(K407=2030,"2030",IF(K407=2050,"2050","autre"))))</f>
        <v>actuel</v>
      </c>
      <c r="M407" s="7"/>
      <c r="N407" s="7" t="s">
        <v>652</v>
      </c>
      <c r="O407" s="7" t="s">
        <v>707</v>
      </c>
      <c r="P407" s="7"/>
      <c r="Q407" s="7" t="s">
        <v>55</v>
      </c>
      <c r="R407" s="14">
        <f>INDEX(Hypothèses!$B$14:$B$22,MATCH(Q407,Hypothèses!$A$14:$A$22,0))</f>
        <v>1</v>
      </c>
      <c r="S407" s="17" t="str">
        <f t="shared" si="18"/>
        <v/>
      </c>
      <c r="T407" s="17">
        <f t="shared" si="19"/>
        <v>61</v>
      </c>
      <c r="U407" s="17" t="str">
        <f t="shared" si="20"/>
        <v/>
      </c>
      <c r="V407" s="7" t="s">
        <v>706</v>
      </c>
      <c r="W407" s="7" t="s">
        <v>84</v>
      </c>
      <c r="X407" s="7" t="s">
        <v>708</v>
      </c>
      <c r="Y407" s="7" t="s">
        <v>654</v>
      </c>
      <c r="Z407" s="7" t="s">
        <v>655</v>
      </c>
      <c r="AA407" s="7">
        <f>IF(AND(Hypothèses!$B$12=1,Z407="Secondary_Source"),0,1)</f>
        <v>1</v>
      </c>
    </row>
    <row r="408" spans="1:27" x14ac:dyDescent="0.3">
      <c r="A408" s="7" t="s">
        <v>709</v>
      </c>
      <c r="B408" s="7" t="s">
        <v>178</v>
      </c>
      <c r="C408" s="7" t="s">
        <v>215</v>
      </c>
      <c r="D408" s="7" t="s">
        <v>244</v>
      </c>
      <c r="E408" s="7" t="s">
        <v>705</v>
      </c>
      <c r="F408" s="7" t="s">
        <v>650</v>
      </c>
      <c r="G408" s="17"/>
      <c r="H408" s="17">
        <v>61</v>
      </c>
      <c r="I408" s="17"/>
      <c r="J408" s="7" t="s">
        <v>706</v>
      </c>
      <c r="K408" s="7">
        <v>2022</v>
      </c>
      <c r="L408" s="7" t="str">
        <f>IF(Y408&lt;&gt;"",Y408,IF(AND(K408&gt;=Hypothèses!$B$9,K408&lt;=Hypothèses!$B$10),"actuel",IF(K408=2030,"2030",IF(K408=2050,"2050","autre"))))</f>
        <v>actuel</v>
      </c>
      <c r="M408" s="7"/>
      <c r="N408" s="7" t="s">
        <v>652</v>
      </c>
      <c r="O408" s="7" t="s">
        <v>707</v>
      </c>
      <c r="P408" s="7"/>
      <c r="Q408" s="7" t="s">
        <v>55</v>
      </c>
      <c r="R408" s="14">
        <f>INDEX(Hypothèses!$B$14:$B$22,MATCH(Q408,Hypothèses!$A$14:$A$22,0))</f>
        <v>1</v>
      </c>
      <c r="S408" s="17" t="str">
        <f t="shared" si="18"/>
        <v/>
      </c>
      <c r="T408" s="17">
        <f t="shared" si="19"/>
        <v>61</v>
      </c>
      <c r="U408" s="17" t="str">
        <f t="shared" si="20"/>
        <v/>
      </c>
      <c r="V408" s="7" t="s">
        <v>706</v>
      </c>
      <c r="W408" s="7" t="s">
        <v>84</v>
      </c>
      <c r="X408" s="7" t="s">
        <v>708</v>
      </c>
      <c r="Y408" s="7"/>
      <c r="Z408" s="7" t="s">
        <v>655</v>
      </c>
      <c r="AA408" s="7">
        <f>IF(AND(Hypothèses!$B$12=1,Z408="Secondary_Source"),0,1)</f>
        <v>1</v>
      </c>
    </row>
    <row r="409" spans="1:27" x14ac:dyDescent="0.3">
      <c r="A409" s="7" t="s">
        <v>710</v>
      </c>
      <c r="B409" s="7" t="s">
        <v>178</v>
      </c>
      <c r="C409" s="7" t="s">
        <v>215</v>
      </c>
      <c r="D409" s="7" t="s">
        <v>244</v>
      </c>
      <c r="E409" s="7" t="s">
        <v>705</v>
      </c>
      <c r="F409" s="7" t="s">
        <v>650</v>
      </c>
      <c r="G409" s="17"/>
      <c r="H409" s="17">
        <v>61</v>
      </c>
      <c r="I409" s="17"/>
      <c r="J409" s="7" t="s">
        <v>706</v>
      </c>
      <c r="K409" s="7">
        <v>2025</v>
      </c>
      <c r="L409" s="7" t="str">
        <f>IF(Y409&lt;&gt;"",Y409,IF(AND(K409&gt;=Hypothèses!$B$9,K409&lt;=Hypothèses!$B$10),"actuel",IF(K409=2030,"2030",IF(K409=2050,"2050","autre"))))</f>
        <v>actuel</v>
      </c>
      <c r="M409" s="7"/>
      <c r="N409" s="7" t="s">
        <v>652</v>
      </c>
      <c r="O409" s="7" t="s">
        <v>707</v>
      </c>
      <c r="P409" s="7"/>
      <c r="Q409" s="7" t="s">
        <v>55</v>
      </c>
      <c r="R409" s="14">
        <f>INDEX(Hypothèses!$B$14:$B$22,MATCH(Q409,Hypothèses!$A$14:$A$22,0))</f>
        <v>1</v>
      </c>
      <c r="S409" s="17" t="str">
        <f t="shared" si="18"/>
        <v/>
      </c>
      <c r="T409" s="17">
        <f t="shared" si="19"/>
        <v>61</v>
      </c>
      <c r="U409" s="17" t="str">
        <f t="shared" si="20"/>
        <v/>
      </c>
      <c r="V409" s="7" t="s">
        <v>706</v>
      </c>
      <c r="W409" s="7" t="s">
        <v>84</v>
      </c>
      <c r="X409" s="7" t="s">
        <v>708</v>
      </c>
      <c r="Y409" s="7"/>
      <c r="Z409" s="7" t="s">
        <v>655</v>
      </c>
      <c r="AA409" s="7">
        <f>IF(AND(Hypothèses!$B$12=1,Z409="Secondary_Source"),0,1)</f>
        <v>1</v>
      </c>
    </row>
    <row r="410" spans="1:27" x14ac:dyDescent="0.3">
      <c r="A410" s="7" t="s">
        <v>711</v>
      </c>
      <c r="B410" s="7" t="s">
        <v>178</v>
      </c>
      <c r="C410" s="7" t="s">
        <v>215</v>
      </c>
      <c r="D410" s="7" t="s">
        <v>244</v>
      </c>
      <c r="E410" s="7" t="s">
        <v>705</v>
      </c>
      <c r="F410" s="7" t="s">
        <v>650</v>
      </c>
      <c r="G410" s="17"/>
      <c r="H410" s="17">
        <v>61</v>
      </c>
      <c r="I410" s="17"/>
      <c r="J410" s="7" t="s">
        <v>706</v>
      </c>
      <c r="K410" s="7">
        <v>2030</v>
      </c>
      <c r="L410" s="7" t="str">
        <f>IF(Y410&lt;&gt;"",Y410,IF(AND(K410&gt;=Hypothèses!$B$9,K410&lt;=Hypothèses!$B$10),"actuel",IF(K410=2030,"2030",IF(K410=2050,"2050","autre"))))</f>
        <v>2030</v>
      </c>
      <c r="M410" s="7"/>
      <c r="N410" s="7" t="s">
        <v>652</v>
      </c>
      <c r="O410" s="7" t="s">
        <v>707</v>
      </c>
      <c r="P410" s="7"/>
      <c r="Q410" s="7" t="s">
        <v>55</v>
      </c>
      <c r="R410" s="14">
        <f>INDEX(Hypothèses!$B$14:$B$22,MATCH(Q410,Hypothèses!$A$14:$A$22,0))</f>
        <v>1</v>
      </c>
      <c r="S410" s="17" t="str">
        <f t="shared" si="18"/>
        <v/>
      </c>
      <c r="T410" s="17">
        <f t="shared" si="19"/>
        <v>61</v>
      </c>
      <c r="U410" s="17" t="str">
        <f t="shared" si="20"/>
        <v/>
      </c>
      <c r="V410" s="7" t="s">
        <v>706</v>
      </c>
      <c r="W410" s="7" t="s">
        <v>84</v>
      </c>
      <c r="X410" s="7" t="s">
        <v>708</v>
      </c>
      <c r="Y410" s="7"/>
      <c r="Z410" s="7" t="s">
        <v>655</v>
      </c>
      <c r="AA410" s="7">
        <f>IF(AND(Hypothèses!$B$12=1,Z410="Secondary_Source"),0,1)</f>
        <v>1</v>
      </c>
    </row>
    <row r="411" spans="1:27" x14ac:dyDescent="0.3">
      <c r="A411" s="7" t="s">
        <v>712</v>
      </c>
      <c r="B411" s="7" t="s">
        <v>178</v>
      </c>
      <c r="C411" s="7" t="s">
        <v>215</v>
      </c>
      <c r="D411" s="7" t="s">
        <v>244</v>
      </c>
      <c r="E411" s="7" t="s">
        <v>705</v>
      </c>
      <c r="F411" s="7" t="s">
        <v>650</v>
      </c>
      <c r="G411" s="17"/>
      <c r="H411" s="17">
        <v>61</v>
      </c>
      <c r="I411" s="17"/>
      <c r="J411" s="7" t="s">
        <v>706</v>
      </c>
      <c r="K411" s="7">
        <v>2050</v>
      </c>
      <c r="L411" s="7" t="str">
        <f>IF(Y411&lt;&gt;"",Y411,IF(AND(K411&gt;=Hypothèses!$B$9,K411&lt;=Hypothèses!$B$10),"actuel",IF(K411=2030,"2030",IF(K411=2050,"2050","autre"))))</f>
        <v>2050</v>
      </c>
      <c r="M411" s="7"/>
      <c r="N411" s="7" t="s">
        <v>652</v>
      </c>
      <c r="O411" s="7" t="s">
        <v>707</v>
      </c>
      <c r="P411" s="7"/>
      <c r="Q411" s="7" t="s">
        <v>55</v>
      </c>
      <c r="R411" s="14">
        <f>INDEX(Hypothèses!$B$14:$B$22,MATCH(Q411,Hypothèses!$A$14:$A$22,0))</f>
        <v>1</v>
      </c>
      <c r="S411" s="17" t="str">
        <f t="shared" si="18"/>
        <v/>
      </c>
      <c r="T411" s="17">
        <f t="shared" si="19"/>
        <v>61</v>
      </c>
      <c r="U411" s="17" t="str">
        <f t="shared" si="20"/>
        <v/>
      </c>
      <c r="V411" s="7" t="s">
        <v>706</v>
      </c>
      <c r="W411" s="7" t="s">
        <v>84</v>
      </c>
      <c r="X411" s="7" t="s">
        <v>708</v>
      </c>
      <c r="Y411" s="7"/>
      <c r="Z411" s="7" t="s">
        <v>655</v>
      </c>
      <c r="AA411" s="7">
        <f>IF(AND(Hypothèses!$B$12=1,Z411="Secondary_Source"),0,1)</f>
        <v>1</v>
      </c>
    </row>
    <row r="412" spans="1:27" x14ac:dyDescent="0.3">
      <c r="A412" s="7" t="s">
        <v>713</v>
      </c>
      <c r="B412" s="7" t="s">
        <v>178</v>
      </c>
      <c r="C412" s="7" t="s">
        <v>184</v>
      </c>
      <c r="D412" s="7" t="s">
        <v>244</v>
      </c>
      <c r="E412" s="7" t="s">
        <v>705</v>
      </c>
      <c r="F412" s="7" t="s">
        <v>650</v>
      </c>
      <c r="G412" s="17"/>
      <c r="H412" s="17">
        <v>65</v>
      </c>
      <c r="I412" s="17"/>
      <c r="J412" s="7" t="s">
        <v>706</v>
      </c>
      <c r="K412" s="7">
        <v>2017</v>
      </c>
      <c r="L412" s="7" t="str">
        <f>IF(Y412&lt;&gt;"",Y412,IF(AND(K412&gt;=Hypothèses!$B$9,K412&lt;=Hypothèses!$B$10),"actuel",IF(K412=2030,"2030",IF(K412=2050,"2050","autre"))))</f>
        <v>actuel</v>
      </c>
      <c r="M412" s="7" t="s">
        <v>661</v>
      </c>
      <c r="N412" s="7" t="s">
        <v>652</v>
      </c>
      <c r="O412" s="7" t="s">
        <v>714</v>
      </c>
      <c r="P412" s="7"/>
      <c r="Q412" s="7" t="s">
        <v>55</v>
      </c>
      <c r="R412" s="14">
        <f>INDEX(Hypothèses!$B$14:$B$22,MATCH(Q412,Hypothèses!$A$14:$A$22,0))</f>
        <v>1</v>
      </c>
      <c r="S412" s="17" t="str">
        <f t="shared" si="18"/>
        <v/>
      </c>
      <c r="T412" s="17">
        <f t="shared" si="19"/>
        <v>65</v>
      </c>
      <c r="U412" s="17" t="str">
        <f t="shared" si="20"/>
        <v/>
      </c>
      <c r="V412" s="7" t="s">
        <v>706</v>
      </c>
      <c r="W412" s="7" t="s">
        <v>84</v>
      </c>
      <c r="X412" s="7" t="s">
        <v>715</v>
      </c>
      <c r="Y412" s="7" t="s">
        <v>654</v>
      </c>
      <c r="Z412" s="7" t="s">
        <v>663</v>
      </c>
      <c r="AA412" s="7">
        <f>IF(AND(Hypothèses!$B$12=1,Z412="Secondary_Source"),0,1)</f>
        <v>1</v>
      </c>
    </row>
    <row r="413" spans="1:27" x14ac:dyDescent="0.3">
      <c r="A413" s="7" t="s">
        <v>716</v>
      </c>
      <c r="B413" s="7" t="s">
        <v>178</v>
      </c>
      <c r="C413" s="7" t="s">
        <v>184</v>
      </c>
      <c r="D413" s="7" t="s">
        <v>244</v>
      </c>
      <c r="E413" s="7" t="s">
        <v>705</v>
      </c>
      <c r="F413" s="7" t="s">
        <v>650</v>
      </c>
      <c r="G413" s="17"/>
      <c r="H413" s="17">
        <v>66</v>
      </c>
      <c r="I413" s="17"/>
      <c r="J413" s="7" t="s">
        <v>706</v>
      </c>
      <c r="K413" s="7">
        <v>2030</v>
      </c>
      <c r="L413" s="7" t="str">
        <f>IF(Y413&lt;&gt;"",Y413,IF(AND(K413&gt;=Hypothèses!$B$9,K413&lt;=Hypothèses!$B$10),"actuel",IF(K413=2030,"2030",IF(K413=2050,"2050","autre"))))</f>
        <v>2030</v>
      </c>
      <c r="M413" s="7" t="s">
        <v>665</v>
      </c>
      <c r="N413" s="7" t="s">
        <v>652</v>
      </c>
      <c r="O413" s="7" t="s">
        <v>714</v>
      </c>
      <c r="P413" s="7"/>
      <c r="Q413" s="7" t="s">
        <v>55</v>
      </c>
      <c r="R413" s="14">
        <f>INDEX(Hypothèses!$B$14:$B$22,MATCH(Q413,Hypothèses!$A$14:$A$22,0))</f>
        <v>1</v>
      </c>
      <c r="S413" s="17" t="str">
        <f t="shared" si="18"/>
        <v/>
      </c>
      <c r="T413" s="17">
        <f t="shared" si="19"/>
        <v>66</v>
      </c>
      <c r="U413" s="17" t="str">
        <f t="shared" si="20"/>
        <v/>
      </c>
      <c r="V413" s="7" t="s">
        <v>706</v>
      </c>
      <c r="W413" s="7" t="s">
        <v>84</v>
      </c>
      <c r="X413" s="7" t="s">
        <v>717</v>
      </c>
      <c r="Y413" s="7"/>
      <c r="Z413" s="7" t="s">
        <v>663</v>
      </c>
      <c r="AA413" s="7">
        <f>IF(AND(Hypothèses!$B$12=1,Z413="Secondary_Source"),0,1)</f>
        <v>1</v>
      </c>
    </row>
    <row r="414" spans="1:27" x14ac:dyDescent="0.3">
      <c r="A414" s="7" t="s">
        <v>718</v>
      </c>
      <c r="B414" s="7" t="s">
        <v>178</v>
      </c>
      <c r="C414" s="7" t="s">
        <v>205</v>
      </c>
      <c r="D414" s="7" t="s">
        <v>244</v>
      </c>
      <c r="E414" s="7" t="s">
        <v>705</v>
      </c>
      <c r="F414" s="7" t="s">
        <v>650</v>
      </c>
      <c r="G414" s="17"/>
      <c r="H414" s="17">
        <v>58</v>
      </c>
      <c r="I414" s="17"/>
      <c r="J414" s="7" t="s">
        <v>706</v>
      </c>
      <c r="K414" s="7">
        <v>2018</v>
      </c>
      <c r="L414" s="7" t="str">
        <f>IF(Y414&lt;&gt;"",Y414,IF(AND(K414&gt;=Hypothèses!$B$9,K414&lt;=Hypothèses!$B$10),"actuel",IF(K414=2030,"2030",IF(K414=2050,"2050","autre"))))</f>
        <v>actuel</v>
      </c>
      <c r="M414" s="7" t="s">
        <v>668</v>
      </c>
      <c r="N414" s="7" t="s">
        <v>652</v>
      </c>
      <c r="O414" s="7" t="s">
        <v>707</v>
      </c>
      <c r="P414" s="7"/>
      <c r="Q414" s="7" t="s">
        <v>55</v>
      </c>
      <c r="R414" s="14">
        <f>INDEX(Hypothèses!$B$14:$B$22,MATCH(Q414,Hypothèses!$A$14:$A$22,0))</f>
        <v>1</v>
      </c>
      <c r="S414" s="17" t="str">
        <f t="shared" si="18"/>
        <v/>
      </c>
      <c r="T414" s="17">
        <f t="shared" si="19"/>
        <v>58</v>
      </c>
      <c r="U414" s="17" t="str">
        <f t="shared" si="20"/>
        <v/>
      </c>
      <c r="V414" s="7" t="s">
        <v>706</v>
      </c>
      <c r="W414" s="7" t="s">
        <v>84</v>
      </c>
      <c r="X414" s="7" t="s">
        <v>719</v>
      </c>
      <c r="Y414" s="7" t="s">
        <v>654</v>
      </c>
      <c r="Z414" s="7" t="s">
        <v>655</v>
      </c>
      <c r="AA414" s="7">
        <f>IF(AND(Hypothèses!$B$12=1,Z414="Secondary_Source"),0,1)</f>
        <v>1</v>
      </c>
    </row>
    <row r="415" spans="1:27" x14ac:dyDescent="0.3">
      <c r="A415" s="7" t="s">
        <v>720</v>
      </c>
      <c r="B415" s="7" t="s">
        <v>178</v>
      </c>
      <c r="C415" s="7" t="s">
        <v>192</v>
      </c>
      <c r="D415" s="7" t="s">
        <v>244</v>
      </c>
      <c r="E415" s="7" t="s">
        <v>705</v>
      </c>
      <c r="F415" s="7" t="s">
        <v>650</v>
      </c>
      <c r="G415" s="17"/>
      <c r="H415" s="17">
        <v>57</v>
      </c>
      <c r="I415" s="17"/>
      <c r="J415" s="7" t="s">
        <v>706</v>
      </c>
      <c r="K415" s="7">
        <v>2017</v>
      </c>
      <c r="L415" s="7" t="str">
        <f>IF(Y415&lt;&gt;"",Y415,IF(AND(K415&gt;=Hypothèses!$B$9,K415&lt;=Hypothèses!$B$10),"actuel",IF(K415=2030,"2030",IF(K415=2050,"2050","autre"))))</f>
        <v>actuel</v>
      </c>
      <c r="M415" s="7" t="s">
        <v>661</v>
      </c>
      <c r="N415" s="7" t="s">
        <v>652</v>
      </c>
      <c r="O415" s="7" t="s">
        <v>714</v>
      </c>
      <c r="P415" s="7"/>
      <c r="Q415" s="7" t="s">
        <v>55</v>
      </c>
      <c r="R415" s="14">
        <f>INDEX(Hypothèses!$B$14:$B$22,MATCH(Q415,Hypothèses!$A$14:$A$22,0))</f>
        <v>1</v>
      </c>
      <c r="S415" s="17" t="str">
        <f t="shared" si="18"/>
        <v/>
      </c>
      <c r="T415" s="17">
        <f t="shared" si="19"/>
        <v>57</v>
      </c>
      <c r="U415" s="17" t="str">
        <f t="shared" si="20"/>
        <v/>
      </c>
      <c r="V415" s="7" t="s">
        <v>706</v>
      </c>
      <c r="W415" s="7" t="s">
        <v>84</v>
      </c>
      <c r="X415" s="7" t="s">
        <v>721</v>
      </c>
      <c r="Y415" s="7" t="s">
        <v>654</v>
      </c>
      <c r="Z415" s="7" t="s">
        <v>655</v>
      </c>
      <c r="AA415" s="7">
        <f>IF(AND(Hypothèses!$B$12=1,Z415="Secondary_Source"),0,1)</f>
        <v>1</v>
      </c>
    </row>
    <row r="416" spans="1:27" x14ac:dyDescent="0.3">
      <c r="A416" s="7" t="s">
        <v>722</v>
      </c>
      <c r="B416" s="7" t="s">
        <v>178</v>
      </c>
      <c r="C416" s="7" t="s">
        <v>192</v>
      </c>
      <c r="D416" s="7" t="s">
        <v>244</v>
      </c>
      <c r="E416" s="7" t="s">
        <v>705</v>
      </c>
      <c r="F416" s="7" t="s">
        <v>650</v>
      </c>
      <c r="G416" s="17"/>
      <c r="H416" s="17">
        <v>57</v>
      </c>
      <c r="I416" s="17"/>
      <c r="J416" s="7" t="s">
        <v>706</v>
      </c>
      <c r="K416" s="7">
        <v>2025</v>
      </c>
      <c r="L416" s="7" t="str">
        <f>IF(Y416&lt;&gt;"",Y416,IF(AND(K416&gt;=Hypothèses!$B$9,K416&lt;=Hypothèses!$B$10),"actuel",IF(K416=2030,"2030",IF(K416=2050,"2050","autre"))))</f>
        <v>actuel</v>
      </c>
      <c r="M416" s="7" t="s">
        <v>661</v>
      </c>
      <c r="N416" s="7" t="s">
        <v>652</v>
      </c>
      <c r="O416" s="7" t="s">
        <v>714</v>
      </c>
      <c r="P416" s="7"/>
      <c r="Q416" s="7" t="s">
        <v>55</v>
      </c>
      <c r="R416" s="14">
        <f>INDEX(Hypothèses!$B$14:$B$22,MATCH(Q416,Hypothèses!$A$14:$A$22,0))</f>
        <v>1</v>
      </c>
      <c r="S416" s="17" t="str">
        <f t="shared" si="18"/>
        <v/>
      </c>
      <c r="T416" s="17">
        <f t="shared" si="19"/>
        <v>57</v>
      </c>
      <c r="U416" s="17" t="str">
        <f t="shared" si="20"/>
        <v/>
      </c>
      <c r="V416" s="7" t="s">
        <v>706</v>
      </c>
      <c r="W416" s="7" t="s">
        <v>84</v>
      </c>
      <c r="X416" s="7" t="s">
        <v>723</v>
      </c>
      <c r="Y416" s="7"/>
      <c r="Z416" s="7" t="s">
        <v>655</v>
      </c>
      <c r="AA416" s="7">
        <f>IF(AND(Hypothèses!$B$12=1,Z416="Secondary_Source"),0,1)</f>
        <v>1</v>
      </c>
    </row>
    <row r="417" spans="1:27" x14ac:dyDescent="0.3">
      <c r="A417" s="7" t="s">
        <v>724</v>
      </c>
      <c r="B417" s="7" t="s">
        <v>178</v>
      </c>
      <c r="C417" s="7" t="s">
        <v>189</v>
      </c>
      <c r="D417" s="7" t="s">
        <v>244</v>
      </c>
      <c r="E417" s="7" t="s">
        <v>705</v>
      </c>
      <c r="F417" s="7" t="s">
        <v>650</v>
      </c>
      <c r="G417" s="17"/>
      <c r="H417" s="17">
        <v>64.3</v>
      </c>
      <c r="I417" s="17"/>
      <c r="J417" s="7" t="s">
        <v>706</v>
      </c>
      <c r="K417" s="7">
        <v>2017</v>
      </c>
      <c r="L417" s="7" t="str">
        <f>IF(Y417&lt;&gt;"",Y417,IF(AND(K417&gt;=Hypothèses!$B$9,K417&lt;=Hypothèses!$B$10),"actuel",IF(K417=2030,"2030",IF(K417=2050,"2050","autre"))))</f>
        <v>actuel</v>
      </c>
      <c r="M417" s="7" t="s">
        <v>668</v>
      </c>
      <c r="N417" s="7" t="s">
        <v>652</v>
      </c>
      <c r="O417" s="7" t="s">
        <v>714</v>
      </c>
      <c r="P417" s="7"/>
      <c r="Q417" s="7" t="s">
        <v>55</v>
      </c>
      <c r="R417" s="14">
        <f>INDEX(Hypothèses!$B$14:$B$22,MATCH(Q417,Hypothèses!$A$14:$A$22,0))</f>
        <v>1</v>
      </c>
      <c r="S417" s="17" t="str">
        <f t="shared" si="18"/>
        <v/>
      </c>
      <c r="T417" s="17">
        <f t="shared" si="19"/>
        <v>64.3</v>
      </c>
      <c r="U417" s="17" t="str">
        <f t="shared" si="20"/>
        <v/>
      </c>
      <c r="V417" s="7" t="s">
        <v>706</v>
      </c>
      <c r="W417" s="7" t="s">
        <v>84</v>
      </c>
      <c r="X417" s="7" t="s">
        <v>725</v>
      </c>
      <c r="Y417" s="7" t="s">
        <v>654</v>
      </c>
      <c r="Z417" s="7" t="s">
        <v>655</v>
      </c>
      <c r="AA417" s="7">
        <f>IF(AND(Hypothèses!$B$12=1,Z417="Secondary_Source"),0,1)</f>
        <v>1</v>
      </c>
    </row>
    <row r="418" spans="1:27" x14ac:dyDescent="0.3">
      <c r="A418" s="7" t="s">
        <v>726</v>
      </c>
      <c r="B418" s="7" t="s">
        <v>178</v>
      </c>
      <c r="C418" s="7" t="s">
        <v>189</v>
      </c>
      <c r="D418" s="7" t="s">
        <v>244</v>
      </c>
      <c r="E418" s="7" t="s">
        <v>705</v>
      </c>
      <c r="F418" s="7" t="s">
        <v>650</v>
      </c>
      <c r="G418" s="17"/>
      <c r="H418" s="17">
        <v>65.5</v>
      </c>
      <c r="I418" s="17"/>
      <c r="J418" s="7" t="s">
        <v>706</v>
      </c>
      <c r="K418" s="7">
        <v>2030</v>
      </c>
      <c r="L418" s="7" t="str">
        <f>IF(Y418&lt;&gt;"",Y418,IF(AND(K418&gt;=Hypothèses!$B$9,K418&lt;=Hypothèses!$B$10),"actuel",IF(K418=2030,"2030",IF(K418=2050,"2050","autre"))))</f>
        <v>2030</v>
      </c>
      <c r="M418" s="7" t="s">
        <v>668</v>
      </c>
      <c r="N418" s="7" t="s">
        <v>652</v>
      </c>
      <c r="O418" s="7" t="s">
        <v>714</v>
      </c>
      <c r="P418" s="7"/>
      <c r="Q418" s="7" t="s">
        <v>55</v>
      </c>
      <c r="R418" s="14">
        <f>INDEX(Hypothèses!$B$14:$B$22,MATCH(Q418,Hypothèses!$A$14:$A$22,0))</f>
        <v>1</v>
      </c>
      <c r="S418" s="17" t="str">
        <f t="shared" si="18"/>
        <v/>
      </c>
      <c r="T418" s="17">
        <f t="shared" si="19"/>
        <v>65.5</v>
      </c>
      <c r="U418" s="17" t="str">
        <f t="shared" si="20"/>
        <v/>
      </c>
      <c r="V418" s="7" t="s">
        <v>706</v>
      </c>
      <c r="W418" s="7" t="s">
        <v>84</v>
      </c>
      <c r="X418" s="7" t="s">
        <v>725</v>
      </c>
      <c r="Y418" s="7"/>
      <c r="Z418" s="7" t="s">
        <v>655</v>
      </c>
      <c r="AA418" s="7">
        <f>IF(AND(Hypothèses!$B$12=1,Z418="Secondary_Source"),0,1)</f>
        <v>1</v>
      </c>
    </row>
    <row r="419" spans="1:27" x14ac:dyDescent="0.3">
      <c r="A419" s="7" t="s">
        <v>727</v>
      </c>
      <c r="B419" s="7" t="s">
        <v>178</v>
      </c>
      <c r="C419" s="7" t="s">
        <v>189</v>
      </c>
      <c r="D419" s="7" t="s">
        <v>244</v>
      </c>
      <c r="E419" s="7" t="s">
        <v>705</v>
      </c>
      <c r="F419" s="7" t="s">
        <v>650</v>
      </c>
      <c r="G419" s="17"/>
      <c r="H419" s="17">
        <v>72.2</v>
      </c>
      <c r="I419" s="17"/>
      <c r="J419" s="7" t="s">
        <v>706</v>
      </c>
      <c r="K419" s="7">
        <v>2050</v>
      </c>
      <c r="L419" s="7" t="str">
        <f>IF(Y419&lt;&gt;"",Y419,IF(AND(K419&gt;=Hypothèses!$B$9,K419&lt;=Hypothèses!$B$10),"actuel",IF(K419=2030,"2030",IF(K419=2050,"2050","autre"))))</f>
        <v>2050</v>
      </c>
      <c r="M419" s="7" t="s">
        <v>668</v>
      </c>
      <c r="N419" s="7" t="s">
        <v>652</v>
      </c>
      <c r="O419" s="7" t="s">
        <v>714</v>
      </c>
      <c r="P419" s="7"/>
      <c r="Q419" s="7" t="s">
        <v>55</v>
      </c>
      <c r="R419" s="14">
        <f>INDEX(Hypothèses!$B$14:$B$22,MATCH(Q419,Hypothèses!$A$14:$A$22,0))</f>
        <v>1</v>
      </c>
      <c r="S419" s="17" t="str">
        <f t="shared" si="18"/>
        <v/>
      </c>
      <c r="T419" s="17">
        <f t="shared" si="19"/>
        <v>72.2</v>
      </c>
      <c r="U419" s="17" t="str">
        <f t="shared" si="20"/>
        <v/>
      </c>
      <c r="V419" s="7" t="s">
        <v>706</v>
      </c>
      <c r="W419" s="7" t="s">
        <v>84</v>
      </c>
      <c r="X419" s="7" t="s">
        <v>725</v>
      </c>
      <c r="Y419" s="7"/>
      <c r="Z419" s="7" t="s">
        <v>655</v>
      </c>
      <c r="AA419" s="7">
        <f>IF(AND(Hypothèses!$B$12=1,Z419="Secondary_Source"),0,1)</f>
        <v>1</v>
      </c>
    </row>
    <row r="420" spans="1:27" x14ac:dyDescent="0.3">
      <c r="A420" s="7" t="s">
        <v>728</v>
      </c>
      <c r="B420" s="7" t="s">
        <v>178</v>
      </c>
      <c r="C420" s="7" t="s">
        <v>194</v>
      </c>
      <c r="D420" s="7" t="s">
        <v>244</v>
      </c>
      <c r="E420" s="7" t="s">
        <v>705</v>
      </c>
      <c r="F420" s="7" t="s">
        <v>650</v>
      </c>
      <c r="G420" s="17"/>
      <c r="H420" s="17">
        <v>52</v>
      </c>
      <c r="I420" s="17"/>
      <c r="J420" s="7" t="s">
        <v>706</v>
      </c>
      <c r="K420" s="7">
        <v>2017</v>
      </c>
      <c r="L420" s="7" t="str">
        <f>IF(Y420&lt;&gt;"",Y420,IF(AND(K420&gt;=Hypothèses!$B$9,K420&lt;=Hypothèses!$B$10),"actuel",IF(K420=2030,"2030",IF(K420=2050,"2050","autre"))))</f>
        <v>actuel</v>
      </c>
      <c r="M420" s="7" t="s">
        <v>661</v>
      </c>
      <c r="N420" s="7" t="s">
        <v>652</v>
      </c>
      <c r="O420" s="7" t="s">
        <v>714</v>
      </c>
      <c r="P420" s="7"/>
      <c r="Q420" s="7" t="s">
        <v>55</v>
      </c>
      <c r="R420" s="14">
        <f>INDEX(Hypothèses!$B$14:$B$22,MATCH(Q420,Hypothèses!$A$14:$A$22,0))</f>
        <v>1</v>
      </c>
      <c r="S420" s="17" t="str">
        <f t="shared" si="18"/>
        <v/>
      </c>
      <c r="T420" s="17">
        <f t="shared" si="19"/>
        <v>52</v>
      </c>
      <c r="U420" s="17" t="str">
        <f t="shared" si="20"/>
        <v/>
      </c>
      <c r="V420" s="7" t="s">
        <v>706</v>
      </c>
      <c r="W420" s="7" t="s">
        <v>84</v>
      </c>
      <c r="X420" s="7" t="s">
        <v>729</v>
      </c>
      <c r="Y420" s="7" t="s">
        <v>654</v>
      </c>
      <c r="Z420" s="7" t="s">
        <v>687</v>
      </c>
      <c r="AA420" s="7">
        <f>IF(AND(Hypothèses!$B$12=1,Z420="Secondary_Source"),0,1)</f>
        <v>0</v>
      </c>
    </row>
    <row r="421" spans="1:27" x14ac:dyDescent="0.3">
      <c r="A421" s="7" t="s">
        <v>730</v>
      </c>
      <c r="B421" s="7" t="s">
        <v>178</v>
      </c>
      <c r="C421" s="7" t="s">
        <v>194</v>
      </c>
      <c r="D421" s="7" t="s">
        <v>244</v>
      </c>
      <c r="E421" s="7" t="s">
        <v>705</v>
      </c>
      <c r="F421" s="7" t="s">
        <v>650</v>
      </c>
      <c r="G421" s="17"/>
      <c r="H421" s="17">
        <v>50</v>
      </c>
      <c r="I421" s="17"/>
      <c r="J421" s="7" t="s">
        <v>706</v>
      </c>
      <c r="K421" s="7">
        <v>2025</v>
      </c>
      <c r="L421" s="7" t="str">
        <f>IF(Y421&lt;&gt;"",Y421,IF(AND(K421&gt;=Hypothèses!$B$9,K421&lt;=Hypothèses!$B$10),"actuel",IF(K421=2030,"2030",IF(K421=2050,"2050","autre"))))</f>
        <v>actuel</v>
      </c>
      <c r="M421" s="7" t="s">
        <v>661</v>
      </c>
      <c r="N421" s="7" t="s">
        <v>652</v>
      </c>
      <c r="O421" s="7" t="s">
        <v>714</v>
      </c>
      <c r="P421" s="7"/>
      <c r="Q421" s="7" t="s">
        <v>55</v>
      </c>
      <c r="R421" s="14">
        <f>INDEX(Hypothèses!$B$14:$B$22,MATCH(Q421,Hypothèses!$A$14:$A$22,0))</f>
        <v>1</v>
      </c>
      <c r="S421" s="17" t="str">
        <f t="shared" si="18"/>
        <v/>
      </c>
      <c r="T421" s="17">
        <f t="shared" si="19"/>
        <v>50</v>
      </c>
      <c r="U421" s="17" t="str">
        <f t="shared" si="20"/>
        <v/>
      </c>
      <c r="V421" s="7" t="s">
        <v>706</v>
      </c>
      <c r="W421" s="7" t="s">
        <v>84</v>
      </c>
      <c r="X421" s="7" t="s">
        <v>731</v>
      </c>
      <c r="Y421" s="7"/>
      <c r="Z421" s="7" t="s">
        <v>687</v>
      </c>
      <c r="AA421" s="7">
        <f>IF(AND(Hypothèses!$B$12=1,Z421="Secondary_Source"),0,1)</f>
        <v>0</v>
      </c>
    </row>
    <row r="422" spans="1:27" x14ac:dyDescent="0.3">
      <c r="A422" s="7" t="s">
        <v>732</v>
      </c>
      <c r="B422" s="7" t="s">
        <v>178</v>
      </c>
      <c r="C422" s="7" t="s">
        <v>209</v>
      </c>
      <c r="D422" s="7" t="s">
        <v>244</v>
      </c>
      <c r="E422" s="7" t="s">
        <v>705</v>
      </c>
      <c r="F422" s="7" t="s">
        <v>650</v>
      </c>
      <c r="G422" s="17"/>
      <c r="H422" s="17">
        <v>61</v>
      </c>
      <c r="I422" s="17"/>
      <c r="J422" s="7" t="s">
        <v>706</v>
      </c>
      <c r="K422" s="7">
        <v>2050</v>
      </c>
      <c r="L422" s="7" t="str">
        <f>IF(Y422&lt;&gt;"",Y422,IF(AND(K422&gt;=Hypothèses!$B$9,K422&lt;=Hypothèses!$B$10),"actuel",IF(K422=2030,"2030",IF(K422=2050,"2050","autre"))))</f>
        <v>2050</v>
      </c>
      <c r="M422" s="7" t="s">
        <v>668</v>
      </c>
      <c r="N422" s="7" t="s">
        <v>652</v>
      </c>
      <c r="O422" s="7" t="s">
        <v>714</v>
      </c>
      <c r="P422" s="7"/>
      <c r="Q422" s="7" t="s">
        <v>55</v>
      </c>
      <c r="R422" s="14">
        <f>INDEX(Hypothèses!$B$14:$B$22,MATCH(Q422,Hypothèses!$A$14:$A$22,0))</f>
        <v>1</v>
      </c>
      <c r="S422" s="17" t="str">
        <f t="shared" si="18"/>
        <v/>
      </c>
      <c r="T422" s="17">
        <f t="shared" si="19"/>
        <v>61</v>
      </c>
      <c r="U422" s="17" t="str">
        <f t="shared" si="20"/>
        <v/>
      </c>
      <c r="V422" s="7" t="s">
        <v>706</v>
      </c>
      <c r="W422" s="7" t="s">
        <v>84</v>
      </c>
      <c r="X422" s="7" t="s">
        <v>733</v>
      </c>
      <c r="Y422" s="7"/>
      <c r="Z422" s="7" t="s">
        <v>655</v>
      </c>
      <c r="AA422" s="7">
        <f>IF(AND(Hypothèses!$B$12=1,Z422="Secondary_Source"),0,1)</f>
        <v>1</v>
      </c>
    </row>
    <row r="423" spans="1:27" x14ac:dyDescent="0.3">
      <c r="A423" s="7" t="s">
        <v>734</v>
      </c>
      <c r="B423" s="7" t="s">
        <v>178</v>
      </c>
      <c r="C423" s="7" t="s">
        <v>218</v>
      </c>
      <c r="D423" s="7" t="s">
        <v>244</v>
      </c>
      <c r="E423" s="7" t="s">
        <v>705</v>
      </c>
      <c r="F423" s="7" t="s">
        <v>650</v>
      </c>
      <c r="G423" s="17"/>
      <c r="H423" s="17">
        <v>69</v>
      </c>
      <c r="I423" s="17"/>
      <c r="J423" s="7" t="s">
        <v>706</v>
      </c>
      <c r="K423" s="7">
        <v>2018</v>
      </c>
      <c r="L423" s="7" t="str">
        <f>IF(Y423&lt;&gt;"",Y423,IF(AND(K423&gt;=Hypothèses!$B$9,K423&lt;=Hypothèses!$B$10),"actuel",IF(K423=2030,"2030",IF(K423=2050,"2050","autre"))))</f>
        <v>actuel</v>
      </c>
      <c r="M423" s="7"/>
      <c r="N423" s="7" t="s">
        <v>652</v>
      </c>
      <c r="O423" s="7" t="s">
        <v>714</v>
      </c>
      <c r="P423" s="7"/>
      <c r="Q423" s="7" t="s">
        <v>55</v>
      </c>
      <c r="R423" s="14">
        <f>INDEX(Hypothèses!$B$14:$B$22,MATCH(Q423,Hypothèses!$A$14:$A$22,0))</f>
        <v>1</v>
      </c>
      <c r="S423" s="17" t="str">
        <f t="shared" si="18"/>
        <v/>
      </c>
      <c r="T423" s="17">
        <f t="shared" si="19"/>
        <v>69</v>
      </c>
      <c r="U423" s="17" t="str">
        <f t="shared" si="20"/>
        <v/>
      </c>
      <c r="V423" s="7" t="s">
        <v>706</v>
      </c>
      <c r="W423" s="7" t="s">
        <v>84</v>
      </c>
      <c r="X423" s="7" t="s">
        <v>735</v>
      </c>
      <c r="Y423" s="7" t="s">
        <v>654</v>
      </c>
      <c r="Z423" s="7" t="s">
        <v>663</v>
      </c>
      <c r="AA423" s="7">
        <f>IF(AND(Hypothèses!$B$12=1,Z423="Secondary_Source"),0,1)</f>
        <v>1</v>
      </c>
    </row>
    <row r="424" spans="1:27" x14ac:dyDescent="0.3">
      <c r="A424" s="7" t="s">
        <v>736</v>
      </c>
      <c r="B424" s="7" t="s">
        <v>178</v>
      </c>
      <c r="C424" s="7" t="s">
        <v>213</v>
      </c>
      <c r="D424" s="7" t="s">
        <v>244</v>
      </c>
      <c r="E424" s="7" t="s">
        <v>705</v>
      </c>
      <c r="F424" s="7" t="s">
        <v>650</v>
      </c>
      <c r="G424" s="17"/>
      <c r="H424" s="17">
        <v>70</v>
      </c>
      <c r="I424" s="17"/>
      <c r="J424" s="7" t="s">
        <v>706</v>
      </c>
      <c r="K424" s="7">
        <v>2020</v>
      </c>
      <c r="L424" s="7" t="str">
        <f>IF(Y424&lt;&gt;"",Y424,IF(AND(K424&gt;=Hypothèses!$B$9,K424&lt;=Hypothèses!$B$10),"actuel",IF(K424=2030,"2030",IF(K424=2050,"2050","autre"))))</f>
        <v>actuel</v>
      </c>
      <c r="M424" s="7" t="s">
        <v>665</v>
      </c>
      <c r="N424" s="7" t="s">
        <v>652</v>
      </c>
      <c r="O424" s="7" t="s">
        <v>714</v>
      </c>
      <c r="P424" s="7"/>
      <c r="Q424" s="7" t="s">
        <v>55</v>
      </c>
      <c r="R424" s="14">
        <f>INDEX(Hypothèses!$B$14:$B$22,MATCH(Q424,Hypothèses!$A$14:$A$22,0))</f>
        <v>1</v>
      </c>
      <c r="S424" s="17" t="str">
        <f t="shared" si="18"/>
        <v/>
      </c>
      <c r="T424" s="17">
        <f t="shared" si="19"/>
        <v>70</v>
      </c>
      <c r="U424" s="17" t="str">
        <f t="shared" si="20"/>
        <v/>
      </c>
      <c r="V424" s="7" t="s">
        <v>706</v>
      </c>
      <c r="W424" s="7" t="s">
        <v>84</v>
      </c>
      <c r="X424" s="7" t="s">
        <v>737</v>
      </c>
      <c r="Y424" s="7" t="s">
        <v>654</v>
      </c>
      <c r="Z424" s="7" t="s">
        <v>655</v>
      </c>
      <c r="AA424" s="7">
        <f>IF(AND(Hypothèses!$B$12=1,Z424="Secondary_Source"),0,1)</f>
        <v>1</v>
      </c>
    </row>
    <row r="425" spans="1:27" x14ac:dyDescent="0.3">
      <c r="A425" s="7" t="s">
        <v>738</v>
      </c>
      <c r="B425" s="7" t="s">
        <v>178</v>
      </c>
      <c r="C425" s="7" t="s">
        <v>213</v>
      </c>
      <c r="D425" s="7" t="s">
        <v>244</v>
      </c>
      <c r="E425" s="7" t="s">
        <v>705</v>
      </c>
      <c r="F425" s="7" t="s">
        <v>650</v>
      </c>
      <c r="G425" s="17"/>
      <c r="H425" s="17">
        <v>75</v>
      </c>
      <c r="I425" s="17"/>
      <c r="J425" s="7" t="s">
        <v>706</v>
      </c>
      <c r="K425" s="7">
        <v>2030</v>
      </c>
      <c r="L425" s="7" t="str">
        <f>IF(Y425&lt;&gt;"",Y425,IF(AND(K425&gt;=Hypothèses!$B$9,K425&lt;=Hypothèses!$B$10),"actuel",IF(K425=2030,"2030",IF(K425=2050,"2050","autre"))))</f>
        <v>2030</v>
      </c>
      <c r="M425" s="7" t="s">
        <v>668</v>
      </c>
      <c r="N425" s="7" t="s">
        <v>652</v>
      </c>
      <c r="O425" s="7" t="s">
        <v>714</v>
      </c>
      <c r="P425" s="7"/>
      <c r="Q425" s="7" t="s">
        <v>55</v>
      </c>
      <c r="R425" s="14">
        <f>INDEX(Hypothèses!$B$14:$B$22,MATCH(Q425,Hypothèses!$A$14:$A$22,0))</f>
        <v>1</v>
      </c>
      <c r="S425" s="17" t="str">
        <f t="shared" si="18"/>
        <v/>
      </c>
      <c r="T425" s="17">
        <f t="shared" si="19"/>
        <v>75</v>
      </c>
      <c r="U425" s="17" t="str">
        <f t="shared" si="20"/>
        <v/>
      </c>
      <c r="V425" s="7" t="s">
        <v>706</v>
      </c>
      <c r="W425" s="7" t="s">
        <v>84</v>
      </c>
      <c r="X425" s="7" t="s">
        <v>737</v>
      </c>
      <c r="Y425" s="7"/>
      <c r="Z425" s="7" t="s">
        <v>655</v>
      </c>
      <c r="AA425" s="7">
        <f>IF(AND(Hypothèses!$B$12=1,Z425="Secondary_Source"),0,1)</f>
        <v>1</v>
      </c>
    </row>
    <row r="426" spans="1:27" x14ac:dyDescent="0.3">
      <c r="A426" s="7" t="s">
        <v>739</v>
      </c>
      <c r="B426" s="7" t="s">
        <v>178</v>
      </c>
      <c r="C426" s="7" t="s">
        <v>202</v>
      </c>
      <c r="D426" s="7" t="s">
        <v>244</v>
      </c>
      <c r="E426" s="7" t="s">
        <v>740</v>
      </c>
      <c r="F426" s="7" t="s">
        <v>650</v>
      </c>
      <c r="G426" s="17"/>
      <c r="H426" s="17">
        <v>74</v>
      </c>
      <c r="I426" s="17"/>
      <c r="J426" s="7" t="s">
        <v>706</v>
      </c>
      <c r="K426" s="7">
        <v>2018</v>
      </c>
      <c r="L426" s="7" t="str">
        <f>IF(Y426&lt;&gt;"",Y426,IF(AND(K426&gt;=Hypothèses!$B$9,K426&lt;=Hypothèses!$B$10),"actuel",IF(K426=2030,"2030",IF(K426=2050,"2050","autre"))))</f>
        <v>actuel</v>
      </c>
      <c r="M426" s="7" t="s">
        <v>661</v>
      </c>
      <c r="N426" s="7" t="s">
        <v>652</v>
      </c>
      <c r="O426" s="7" t="s">
        <v>741</v>
      </c>
      <c r="P426" s="7"/>
      <c r="Q426" s="7" t="s">
        <v>55</v>
      </c>
      <c r="R426" s="14">
        <f>INDEX(Hypothèses!$B$14:$B$22,MATCH(Q426,Hypothèses!$A$14:$A$22,0))</f>
        <v>1</v>
      </c>
      <c r="S426" s="17" t="str">
        <f t="shared" si="18"/>
        <v/>
      </c>
      <c r="T426" s="17">
        <f t="shared" si="19"/>
        <v>74</v>
      </c>
      <c r="U426" s="17" t="str">
        <f t="shared" si="20"/>
        <v/>
      </c>
      <c r="V426" s="7" t="s">
        <v>706</v>
      </c>
      <c r="W426" s="7" t="s">
        <v>84</v>
      </c>
      <c r="X426" s="7" t="s">
        <v>742</v>
      </c>
      <c r="Y426" s="7" t="s">
        <v>654</v>
      </c>
      <c r="Z426" s="7" t="s">
        <v>655</v>
      </c>
      <c r="AA426" s="7">
        <f>IF(AND(Hypothèses!$B$12=1,Z426="Secondary_Source"),0,1)</f>
        <v>1</v>
      </c>
    </row>
    <row r="427" spans="1:27" x14ac:dyDescent="0.3">
      <c r="A427" s="7" t="s">
        <v>743</v>
      </c>
      <c r="B427" s="7" t="s">
        <v>178</v>
      </c>
      <c r="C427" s="7" t="s">
        <v>215</v>
      </c>
      <c r="D427" s="7" t="s">
        <v>465</v>
      </c>
      <c r="E427" s="7" t="s">
        <v>245</v>
      </c>
      <c r="F427" s="7" t="s">
        <v>650</v>
      </c>
      <c r="G427" s="17"/>
      <c r="H427" s="17">
        <v>1190</v>
      </c>
      <c r="I427" s="17"/>
      <c r="J427" s="7" t="s">
        <v>651</v>
      </c>
      <c r="K427" s="7">
        <v>2019</v>
      </c>
      <c r="L427" s="7" t="str">
        <f>IF(Y427&lt;&gt;"",Y427,IF(AND(K427&gt;=Hypothèses!$B$9,K427&lt;=Hypothèses!$B$10),"actuel",IF(K427=2030,"2030",IF(K427=2050,"2050","autre"))))</f>
        <v>actuel</v>
      </c>
      <c r="M427" s="7"/>
      <c r="N427" s="7" t="s">
        <v>652</v>
      </c>
      <c r="O427" s="7"/>
      <c r="P427" s="7"/>
      <c r="Q427" s="7" t="s">
        <v>65</v>
      </c>
      <c r="R427" s="14">
        <f>INDEX(Hypothèses!$B$14:$B$22,MATCH(Q427,Hypothèses!$A$14:$A$22,0))</f>
        <v>1.3308600000000002</v>
      </c>
      <c r="S427" s="17" t="str">
        <f t="shared" si="18"/>
        <v/>
      </c>
      <c r="T427" s="17">
        <f t="shared" si="19"/>
        <v>1583.7234000000001</v>
      </c>
      <c r="U427" s="17" t="str">
        <f t="shared" si="20"/>
        <v/>
      </c>
      <c r="V427" s="7" t="s">
        <v>247</v>
      </c>
      <c r="W427" s="7" t="s">
        <v>84</v>
      </c>
      <c r="X427" s="7" t="s">
        <v>653</v>
      </c>
      <c r="Y427" s="7" t="s">
        <v>654</v>
      </c>
      <c r="Z427" s="7" t="s">
        <v>655</v>
      </c>
      <c r="AA427" s="7">
        <f>IF(AND(Hypothèses!$B$12=1,Z427="Secondary_Source"),0,1)</f>
        <v>1</v>
      </c>
    </row>
    <row r="428" spans="1:27" x14ac:dyDescent="0.3">
      <c r="A428" s="7" t="s">
        <v>744</v>
      </c>
      <c r="B428" s="7" t="s">
        <v>178</v>
      </c>
      <c r="C428" s="7" t="s">
        <v>215</v>
      </c>
      <c r="D428" s="7" t="s">
        <v>465</v>
      </c>
      <c r="E428" s="7" t="s">
        <v>245</v>
      </c>
      <c r="F428" s="7" t="s">
        <v>650</v>
      </c>
      <c r="G428" s="17"/>
      <c r="H428" s="17">
        <v>606</v>
      </c>
      <c r="I428" s="17"/>
      <c r="J428" s="7" t="s">
        <v>651</v>
      </c>
      <c r="K428" s="7">
        <v>2030</v>
      </c>
      <c r="L428" s="7" t="str">
        <f>IF(Y428&lt;&gt;"",Y428,IF(AND(K428&gt;=Hypothèses!$B$9,K428&lt;=Hypothèses!$B$10),"actuel",IF(K428=2030,"2030",IF(K428=2050,"2050","autre"))))</f>
        <v>2030</v>
      </c>
      <c r="M428" s="7"/>
      <c r="N428" s="7" t="s">
        <v>652</v>
      </c>
      <c r="O428" s="7"/>
      <c r="P428" s="7"/>
      <c r="Q428" s="7" t="s">
        <v>65</v>
      </c>
      <c r="R428" s="14">
        <f>INDEX(Hypothèses!$B$14:$B$22,MATCH(Q428,Hypothèses!$A$14:$A$22,0))</f>
        <v>1.3308600000000002</v>
      </c>
      <c r="S428" s="17" t="str">
        <f t="shared" si="18"/>
        <v/>
      </c>
      <c r="T428" s="17">
        <f t="shared" si="19"/>
        <v>806.50116000000014</v>
      </c>
      <c r="U428" s="17" t="str">
        <f t="shared" si="20"/>
        <v/>
      </c>
      <c r="V428" s="7" t="s">
        <v>247</v>
      </c>
      <c r="W428" s="7" t="s">
        <v>84</v>
      </c>
      <c r="X428" s="7" t="s">
        <v>653</v>
      </c>
      <c r="Y428" s="7"/>
      <c r="Z428" s="7" t="s">
        <v>655</v>
      </c>
      <c r="AA428" s="7">
        <f>IF(AND(Hypothèses!$B$12=1,Z428="Secondary_Source"),0,1)</f>
        <v>1</v>
      </c>
    </row>
    <row r="429" spans="1:27" x14ac:dyDescent="0.3">
      <c r="A429" s="7" t="s">
        <v>745</v>
      </c>
      <c r="B429" s="7" t="s">
        <v>178</v>
      </c>
      <c r="C429" s="7" t="s">
        <v>215</v>
      </c>
      <c r="D429" s="7" t="s">
        <v>465</v>
      </c>
      <c r="E429" s="7" t="s">
        <v>245</v>
      </c>
      <c r="F429" s="7" t="s">
        <v>650</v>
      </c>
      <c r="G429" s="17"/>
      <c r="H429" s="17">
        <v>149</v>
      </c>
      <c r="I429" s="17"/>
      <c r="J429" s="7" t="s">
        <v>651</v>
      </c>
      <c r="K429" s="7">
        <v>2050</v>
      </c>
      <c r="L429" s="7" t="str">
        <f>IF(Y429&lt;&gt;"",Y429,IF(AND(K429&gt;=Hypothèses!$B$9,K429&lt;=Hypothèses!$B$10),"actuel",IF(K429=2030,"2030",IF(K429=2050,"2050","autre"))))</f>
        <v>2050</v>
      </c>
      <c r="M429" s="7"/>
      <c r="N429" s="7" t="s">
        <v>652</v>
      </c>
      <c r="O429" s="7"/>
      <c r="P429" s="7"/>
      <c r="Q429" s="7" t="s">
        <v>65</v>
      </c>
      <c r="R429" s="14">
        <f>INDEX(Hypothèses!$B$14:$B$22,MATCH(Q429,Hypothèses!$A$14:$A$22,0))</f>
        <v>1.3308600000000002</v>
      </c>
      <c r="S429" s="17" t="str">
        <f t="shared" si="18"/>
        <v/>
      </c>
      <c r="T429" s="17">
        <f t="shared" si="19"/>
        <v>198.29814000000002</v>
      </c>
      <c r="U429" s="17" t="str">
        <f t="shared" si="20"/>
        <v/>
      </c>
      <c r="V429" s="7" t="s">
        <v>247</v>
      </c>
      <c r="W429" s="7" t="s">
        <v>84</v>
      </c>
      <c r="X429" s="7" t="s">
        <v>653</v>
      </c>
      <c r="Y429" s="7"/>
      <c r="Z429" s="7" t="s">
        <v>655</v>
      </c>
      <c r="AA429" s="7">
        <f>IF(AND(Hypothèses!$B$12=1,Z429="Secondary_Source"),0,1)</f>
        <v>1</v>
      </c>
    </row>
    <row r="430" spans="1:27" x14ac:dyDescent="0.3">
      <c r="A430" s="7" t="s">
        <v>746</v>
      </c>
      <c r="B430" s="7" t="s">
        <v>178</v>
      </c>
      <c r="C430" s="7" t="s">
        <v>184</v>
      </c>
      <c r="D430" s="7" t="s">
        <v>465</v>
      </c>
      <c r="E430" s="7" t="s">
        <v>245</v>
      </c>
      <c r="F430" s="7" t="s">
        <v>650</v>
      </c>
      <c r="G430" s="17"/>
      <c r="H430" s="17">
        <v>1900</v>
      </c>
      <c r="I430" s="17"/>
      <c r="J430" s="7" t="s">
        <v>651</v>
      </c>
      <c r="K430" s="7">
        <v>2017</v>
      </c>
      <c r="L430" s="7" t="str">
        <f>IF(Y430&lt;&gt;"",Y430,IF(AND(K430&gt;=Hypothèses!$B$9,K430&lt;=Hypothèses!$B$10),"actuel",IF(K430=2030,"2030",IF(K430=2050,"2050","autre"))))</f>
        <v>actuel</v>
      </c>
      <c r="M430" s="7" t="s">
        <v>661</v>
      </c>
      <c r="N430" s="7" t="s">
        <v>652</v>
      </c>
      <c r="O430" s="7"/>
      <c r="P430" s="7"/>
      <c r="Q430" s="7" t="s">
        <v>57</v>
      </c>
      <c r="R430" s="14">
        <f>INDEX(Hypothèses!$B$14:$B$22,MATCH(Q430,Hypothèses!$A$14:$A$22,0))</f>
        <v>1.4282400000000002</v>
      </c>
      <c r="S430" s="17" t="str">
        <f t="shared" si="18"/>
        <v/>
      </c>
      <c r="T430" s="17">
        <f t="shared" si="19"/>
        <v>2713.6560000000004</v>
      </c>
      <c r="U430" s="17" t="str">
        <f t="shared" si="20"/>
        <v/>
      </c>
      <c r="V430" s="7" t="s">
        <v>247</v>
      </c>
      <c r="W430" s="7" t="s">
        <v>84</v>
      </c>
      <c r="X430" s="7" t="s">
        <v>662</v>
      </c>
      <c r="Y430" s="7" t="s">
        <v>654</v>
      </c>
      <c r="Z430" s="7" t="s">
        <v>663</v>
      </c>
      <c r="AA430" s="7">
        <f>IF(AND(Hypothèses!$B$12=1,Z430="Secondary_Source"),0,1)</f>
        <v>1</v>
      </c>
    </row>
    <row r="431" spans="1:27" x14ac:dyDescent="0.3">
      <c r="A431" s="7" t="s">
        <v>747</v>
      </c>
      <c r="B431" s="7" t="s">
        <v>178</v>
      </c>
      <c r="C431" s="7" t="s">
        <v>184</v>
      </c>
      <c r="D431" s="7" t="s">
        <v>465</v>
      </c>
      <c r="E431" s="7" t="s">
        <v>245</v>
      </c>
      <c r="F431" s="7" t="s">
        <v>650</v>
      </c>
      <c r="G431" s="17"/>
      <c r="H431" s="17">
        <v>800</v>
      </c>
      <c r="I431" s="17"/>
      <c r="J431" s="7" t="s">
        <v>651</v>
      </c>
      <c r="K431" s="7">
        <v>2030</v>
      </c>
      <c r="L431" s="7" t="str">
        <f>IF(Y431&lt;&gt;"",Y431,IF(AND(K431&gt;=Hypothèses!$B$9,K431&lt;=Hypothèses!$B$10),"actuel",IF(K431=2030,"2030",IF(K431=2050,"2050","autre"))))</f>
        <v>2030</v>
      </c>
      <c r="M431" s="7" t="s">
        <v>668</v>
      </c>
      <c r="N431" s="7" t="s">
        <v>652</v>
      </c>
      <c r="O431" s="7"/>
      <c r="P431" s="7"/>
      <c r="Q431" s="7" t="s">
        <v>57</v>
      </c>
      <c r="R431" s="14">
        <f>INDEX(Hypothèses!$B$14:$B$22,MATCH(Q431,Hypothèses!$A$14:$A$22,0))</f>
        <v>1.4282400000000002</v>
      </c>
      <c r="S431" s="17" t="str">
        <f t="shared" si="18"/>
        <v/>
      </c>
      <c r="T431" s="17">
        <f t="shared" si="19"/>
        <v>1142.5920000000001</v>
      </c>
      <c r="U431" s="17" t="str">
        <f t="shared" si="20"/>
        <v/>
      </c>
      <c r="V431" s="7" t="s">
        <v>247</v>
      </c>
      <c r="W431" s="7" t="s">
        <v>84</v>
      </c>
      <c r="X431" s="7" t="s">
        <v>662</v>
      </c>
      <c r="Y431" s="7"/>
      <c r="Z431" s="7" t="s">
        <v>663</v>
      </c>
      <c r="AA431" s="7">
        <f>IF(AND(Hypothèses!$B$12=1,Z431="Secondary_Source"),0,1)</f>
        <v>1</v>
      </c>
    </row>
    <row r="432" spans="1:27" x14ac:dyDescent="0.3">
      <c r="A432" s="7" t="s">
        <v>748</v>
      </c>
      <c r="B432" s="7" t="s">
        <v>178</v>
      </c>
      <c r="C432" s="7" t="s">
        <v>205</v>
      </c>
      <c r="D432" s="7" t="s">
        <v>465</v>
      </c>
      <c r="E432" s="7" t="s">
        <v>245</v>
      </c>
      <c r="F432" s="7" t="s">
        <v>650</v>
      </c>
      <c r="G432" s="17"/>
      <c r="H432" s="17">
        <v>2097.6</v>
      </c>
      <c r="I432" s="17"/>
      <c r="J432" s="7" t="s">
        <v>651</v>
      </c>
      <c r="K432" s="7">
        <v>2018</v>
      </c>
      <c r="L432" s="7" t="str">
        <f>IF(Y432&lt;&gt;"",Y432,IF(AND(K432&gt;=Hypothèses!$B$9,K432&lt;=Hypothèses!$B$10),"actuel",IF(K432=2030,"2030",IF(K432=2050,"2050","autre"))))</f>
        <v>actuel</v>
      </c>
      <c r="M432" s="7" t="s">
        <v>661</v>
      </c>
      <c r="N432" s="7" t="s">
        <v>652</v>
      </c>
      <c r="O432" s="7"/>
      <c r="P432" s="7"/>
      <c r="Q432" s="7" t="s">
        <v>63</v>
      </c>
      <c r="R432" s="14">
        <f>INDEX(Hypothèses!$B$14:$B$22,MATCH(Q432,Hypothèses!$A$14:$A$22,0))</f>
        <v>1.3525</v>
      </c>
      <c r="S432" s="17" t="str">
        <f t="shared" si="18"/>
        <v/>
      </c>
      <c r="T432" s="17">
        <f t="shared" si="19"/>
        <v>2837.0039999999999</v>
      </c>
      <c r="U432" s="17" t="str">
        <f t="shared" si="20"/>
        <v/>
      </c>
      <c r="V432" s="7" t="s">
        <v>247</v>
      </c>
      <c r="W432" s="7" t="s">
        <v>84</v>
      </c>
      <c r="X432" s="7" t="s">
        <v>669</v>
      </c>
      <c r="Y432" s="7" t="s">
        <v>654</v>
      </c>
      <c r="Z432" s="7" t="s">
        <v>655</v>
      </c>
      <c r="AA432" s="7">
        <f>IF(AND(Hypothèses!$B$12=1,Z432="Secondary_Source"),0,1)</f>
        <v>1</v>
      </c>
    </row>
    <row r="433" spans="1:27" x14ac:dyDescent="0.3">
      <c r="A433" s="7" t="s">
        <v>749</v>
      </c>
      <c r="B433" s="7" t="s">
        <v>178</v>
      </c>
      <c r="C433" s="7" t="s">
        <v>192</v>
      </c>
      <c r="D433" s="7" t="s">
        <v>465</v>
      </c>
      <c r="E433" s="7" t="s">
        <v>245</v>
      </c>
      <c r="F433" s="7" t="s">
        <v>650</v>
      </c>
      <c r="G433" s="17"/>
      <c r="H433" s="17">
        <v>1500</v>
      </c>
      <c r="I433" s="17"/>
      <c r="J433" s="7" t="s">
        <v>651</v>
      </c>
      <c r="K433" s="7">
        <v>2017</v>
      </c>
      <c r="L433" s="7" t="str">
        <f>IF(Y433&lt;&gt;"",Y433,IF(AND(K433&gt;=Hypothèses!$B$9,K433&lt;=Hypothèses!$B$10),"actuel",IF(K433=2030,"2030",IF(K433=2050,"2050","autre"))))</f>
        <v>actuel</v>
      </c>
      <c r="M433" s="7" t="s">
        <v>661</v>
      </c>
      <c r="N433" s="7" t="s">
        <v>652</v>
      </c>
      <c r="O433" s="7"/>
      <c r="P433" s="7"/>
      <c r="Q433" s="7" t="s">
        <v>61</v>
      </c>
      <c r="R433" s="14">
        <f>INDEX(Hypothèses!$B$14:$B$22,MATCH(Q433,Hypothèses!$A$14:$A$22,0))</f>
        <v>1.3849600000000002</v>
      </c>
      <c r="S433" s="17" t="str">
        <f t="shared" si="18"/>
        <v/>
      </c>
      <c r="T433" s="17">
        <f t="shared" si="19"/>
        <v>2077.4400000000005</v>
      </c>
      <c r="U433" s="17" t="str">
        <f t="shared" si="20"/>
        <v/>
      </c>
      <c r="V433" s="7" t="s">
        <v>247</v>
      </c>
      <c r="W433" s="7" t="s">
        <v>84</v>
      </c>
      <c r="X433" s="7" t="s">
        <v>750</v>
      </c>
      <c r="Y433" s="7" t="s">
        <v>654</v>
      </c>
      <c r="Z433" s="7" t="s">
        <v>655</v>
      </c>
      <c r="AA433" s="7">
        <f>IF(AND(Hypothèses!$B$12=1,Z433="Secondary_Source"),0,1)</f>
        <v>1</v>
      </c>
    </row>
    <row r="434" spans="1:27" x14ac:dyDescent="0.3">
      <c r="A434" s="7" t="s">
        <v>751</v>
      </c>
      <c r="B434" s="7" t="s">
        <v>178</v>
      </c>
      <c r="C434" s="7" t="s">
        <v>192</v>
      </c>
      <c r="D434" s="7" t="s">
        <v>465</v>
      </c>
      <c r="E434" s="7" t="s">
        <v>245</v>
      </c>
      <c r="F434" s="7" t="s">
        <v>650</v>
      </c>
      <c r="G434" s="17"/>
      <c r="H434" s="17">
        <v>1300</v>
      </c>
      <c r="I434" s="17"/>
      <c r="J434" s="7" t="s">
        <v>651</v>
      </c>
      <c r="K434" s="7">
        <v>2017</v>
      </c>
      <c r="L434" s="7" t="str">
        <f>IF(Y434&lt;&gt;"",Y434,IF(AND(K434&gt;=Hypothèses!$B$9,K434&lt;=Hypothèses!$B$10),"actuel",IF(K434=2030,"2030",IF(K434=2050,"2050","autre"))))</f>
        <v>actuel</v>
      </c>
      <c r="M434" s="7" t="s">
        <v>665</v>
      </c>
      <c r="N434" s="7" t="s">
        <v>652</v>
      </c>
      <c r="O434" s="7"/>
      <c r="P434" s="7"/>
      <c r="Q434" s="7" t="s">
        <v>61</v>
      </c>
      <c r="R434" s="14">
        <f>INDEX(Hypothèses!$B$14:$B$22,MATCH(Q434,Hypothèses!$A$14:$A$22,0))</f>
        <v>1.3849600000000002</v>
      </c>
      <c r="S434" s="17" t="str">
        <f t="shared" si="18"/>
        <v/>
      </c>
      <c r="T434" s="17">
        <f t="shared" si="19"/>
        <v>1800.4480000000003</v>
      </c>
      <c r="U434" s="17" t="str">
        <f t="shared" si="20"/>
        <v/>
      </c>
      <c r="V434" s="7" t="s">
        <v>247</v>
      </c>
      <c r="W434" s="7" t="s">
        <v>84</v>
      </c>
      <c r="X434" s="7" t="s">
        <v>750</v>
      </c>
      <c r="Y434" s="7" t="s">
        <v>654</v>
      </c>
      <c r="Z434" s="7" t="s">
        <v>655</v>
      </c>
      <c r="AA434" s="7">
        <f>IF(AND(Hypothèses!$B$12=1,Z434="Secondary_Source"),0,1)</f>
        <v>1</v>
      </c>
    </row>
    <row r="435" spans="1:27" x14ac:dyDescent="0.3">
      <c r="A435" s="7" t="s">
        <v>752</v>
      </c>
      <c r="B435" s="7" t="s">
        <v>178</v>
      </c>
      <c r="C435" s="7" t="s">
        <v>192</v>
      </c>
      <c r="D435" s="7" t="s">
        <v>465</v>
      </c>
      <c r="E435" s="7" t="s">
        <v>245</v>
      </c>
      <c r="F435" s="7" t="s">
        <v>650</v>
      </c>
      <c r="G435" s="17"/>
      <c r="H435" s="17">
        <v>1200</v>
      </c>
      <c r="I435" s="17"/>
      <c r="J435" s="7" t="s">
        <v>651</v>
      </c>
      <c r="K435" s="7">
        <v>2017</v>
      </c>
      <c r="L435" s="7" t="str">
        <f>IF(Y435&lt;&gt;"",Y435,IF(AND(K435&gt;=Hypothèses!$B$9,K435&lt;=Hypothèses!$B$10),"actuel",IF(K435=2030,"2030",IF(K435=2050,"2050","autre"))))</f>
        <v>actuel</v>
      </c>
      <c r="M435" s="7" t="s">
        <v>668</v>
      </c>
      <c r="N435" s="7" t="s">
        <v>652</v>
      </c>
      <c r="O435" s="7"/>
      <c r="P435" s="7"/>
      <c r="Q435" s="7" t="s">
        <v>61</v>
      </c>
      <c r="R435" s="14">
        <f>INDEX(Hypothèses!$B$14:$B$22,MATCH(Q435,Hypothèses!$A$14:$A$22,0))</f>
        <v>1.3849600000000002</v>
      </c>
      <c r="S435" s="17" t="str">
        <f t="shared" si="18"/>
        <v/>
      </c>
      <c r="T435" s="17">
        <f t="shared" si="19"/>
        <v>1661.9520000000002</v>
      </c>
      <c r="U435" s="17" t="str">
        <f t="shared" si="20"/>
        <v/>
      </c>
      <c r="V435" s="7" t="s">
        <v>247</v>
      </c>
      <c r="W435" s="7" t="s">
        <v>84</v>
      </c>
      <c r="X435" s="7" t="s">
        <v>750</v>
      </c>
      <c r="Y435" s="7" t="s">
        <v>654</v>
      </c>
      <c r="Z435" s="7" t="s">
        <v>655</v>
      </c>
      <c r="AA435" s="7">
        <f>IF(AND(Hypothèses!$B$12=1,Z435="Secondary_Source"),0,1)</f>
        <v>1</v>
      </c>
    </row>
    <row r="436" spans="1:27" x14ac:dyDescent="0.3">
      <c r="A436" s="7" t="s">
        <v>753</v>
      </c>
      <c r="B436" s="7" t="s">
        <v>178</v>
      </c>
      <c r="C436" s="7" t="s">
        <v>192</v>
      </c>
      <c r="D436" s="7" t="s">
        <v>465</v>
      </c>
      <c r="E436" s="7" t="s">
        <v>245</v>
      </c>
      <c r="F436" s="7" t="s">
        <v>650</v>
      </c>
      <c r="G436" s="17"/>
      <c r="H436" s="17">
        <v>1000</v>
      </c>
      <c r="I436" s="17"/>
      <c r="J436" s="7" t="s">
        <v>651</v>
      </c>
      <c r="K436" s="7">
        <v>2025</v>
      </c>
      <c r="L436" s="7" t="str">
        <f>IF(Y436&lt;&gt;"",Y436,IF(AND(K436&gt;=Hypothèses!$B$9,K436&lt;=Hypothèses!$B$10),"actuel",IF(K436=2030,"2030",IF(K436=2050,"2050","autre"))))</f>
        <v>actuel</v>
      </c>
      <c r="M436" s="7" t="s">
        <v>661</v>
      </c>
      <c r="N436" s="7" t="s">
        <v>652</v>
      </c>
      <c r="O436" s="7"/>
      <c r="P436" s="7"/>
      <c r="Q436" s="7" t="s">
        <v>61</v>
      </c>
      <c r="R436" s="14">
        <f>INDEX(Hypothèses!$B$14:$B$22,MATCH(Q436,Hypothèses!$A$14:$A$22,0))</f>
        <v>1.3849600000000002</v>
      </c>
      <c r="S436" s="17" t="str">
        <f t="shared" si="18"/>
        <v/>
      </c>
      <c r="T436" s="17">
        <f t="shared" si="19"/>
        <v>1384.9600000000003</v>
      </c>
      <c r="U436" s="17" t="str">
        <f t="shared" si="20"/>
        <v/>
      </c>
      <c r="V436" s="7" t="s">
        <v>247</v>
      </c>
      <c r="W436" s="7" t="s">
        <v>84</v>
      </c>
      <c r="X436" s="7" t="s">
        <v>754</v>
      </c>
      <c r="Y436" s="7"/>
      <c r="Z436" s="7" t="s">
        <v>655</v>
      </c>
      <c r="AA436" s="7">
        <f>IF(AND(Hypothèses!$B$12=1,Z436="Secondary_Source"),0,1)</f>
        <v>1</v>
      </c>
    </row>
    <row r="437" spans="1:27" x14ac:dyDescent="0.3">
      <c r="A437" s="7" t="s">
        <v>755</v>
      </c>
      <c r="B437" s="7" t="s">
        <v>178</v>
      </c>
      <c r="C437" s="7" t="s">
        <v>192</v>
      </c>
      <c r="D437" s="7" t="s">
        <v>465</v>
      </c>
      <c r="E437" s="7" t="s">
        <v>245</v>
      </c>
      <c r="F437" s="7" t="s">
        <v>650</v>
      </c>
      <c r="G437" s="17"/>
      <c r="H437" s="17">
        <v>900</v>
      </c>
      <c r="I437" s="17"/>
      <c r="J437" s="7" t="s">
        <v>651</v>
      </c>
      <c r="K437" s="7">
        <v>2025</v>
      </c>
      <c r="L437" s="7" t="str">
        <f>IF(Y437&lt;&gt;"",Y437,IF(AND(K437&gt;=Hypothèses!$B$9,K437&lt;=Hypothèses!$B$10),"actuel",IF(K437=2030,"2030",IF(K437=2050,"2050","autre"))))</f>
        <v>actuel</v>
      </c>
      <c r="M437" s="7" t="s">
        <v>665</v>
      </c>
      <c r="N437" s="7" t="s">
        <v>652</v>
      </c>
      <c r="O437" s="7"/>
      <c r="P437" s="7"/>
      <c r="Q437" s="7" t="s">
        <v>61</v>
      </c>
      <c r="R437" s="14">
        <f>INDEX(Hypothèses!$B$14:$B$22,MATCH(Q437,Hypothèses!$A$14:$A$22,0))</f>
        <v>1.3849600000000002</v>
      </c>
      <c r="S437" s="17" t="str">
        <f t="shared" si="18"/>
        <v/>
      </c>
      <c r="T437" s="17">
        <f t="shared" si="19"/>
        <v>1246.4640000000002</v>
      </c>
      <c r="U437" s="17" t="str">
        <f t="shared" si="20"/>
        <v/>
      </c>
      <c r="V437" s="7" t="s">
        <v>247</v>
      </c>
      <c r="W437" s="7" t="s">
        <v>84</v>
      </c>
      <c r="X437" s="7" t="s">
        <v>754</v>
      </c>
      <c r="Y437" s="7"/>
      <c r="Z437" s="7" t="s">
        <v>655</v>
      </c>
      <c r="AA437" s="7">
        <f>IF(AND(Hypothèses!$B$12=1,Z437="Secondary_Source"),0,1)</f>
        <v>1</v>
      </c>
    </row>
    <row r="438" spans="1:27" x14ac:dyDescent="0.3">
      <c r="A438" s="7" t="s">
        <v>756</v>
      </c>
      <c r="B438" s="7" t="s">
        <v>178</v>
      </c>
      <c r="C438" s="7" t="s">
        <v>192</v>
      </c>
      <c r="D438" s="7" t="s">
        <v>465</v>
      </c>
      <c r="E438" s="7" t="s">
        <v>245</v>
      </c>
      <c r="F438" s="7" t="s">
        <v>650</v>
      </c>
      <c r="G438" s="17"/>
      <c r="H438" s="17">
        <v>700</v>
      </c>
      <c r="I438" s="17"/>
      <c r="J438" s="7" t="s">
        <v>651</v>
      </c>
      <c r="K438" s="7">
        <v>2025</v>
      </c>
      <c r="L438" s="7" t="str">
        <f>IF(Y438&lt;&gt;"",Y438,IF(AND(K438&gt;=Hypothèses!$B$9,K438&lt;=Hypothèses!$B$10),"actuel",IF(K438=2030,"2030",IF(K438=2050,"2050","autre"))))</f>
        <v>actuel</v>
      </c>
      <c r="M438" s="7" t="s">
        <v>668</v>
      </c>
      <c r="N438" s="7" t="s">
        <v>652</v>
      </c>
      <c r="O438" s="7"/>
      <c r="P438" s="7"/>
      <c r="Q438" s="7" t="s">
        <v>61</v>
      </c>
      <c r="R438" s="14">
        <f>INDEX(Hypothèses!$B$14:$B$22,MATCH(Q438,Hypothèses!$A$14:$A$22,0))</f>
        <v>1.3849600000000002</v>
      </c>
      <c r="S438" s="17" t="str">
        <f t="shared" si="18"/>
        <v/>
      </c>
      <c r="T438" s="17">
        <f t="shared" si="19"/>
        <v>969.47200000000009</v>
      </c>
      <c r="U438" s="17" t="str">
        <f t="shared" si="20"/>
        <v/>
      </c>
      <c r="V438" s="7" t="s">
        <v>247</v>
      </c>
      <c r="W438" s="7" t="s">
        <v>84</v>
      </c>
      <c r="X438" s="7" t="s">
        <v>754</v>
      </c>
      <c r="Y438" s="7"/>
      <c r="Z438" s="7" t="s">
        <v>655</v>
      </c>
      <c r="AA438" s="7">
        <f>IF(AND(Hypothèses!$B$12=1,Z438="Secondary_Source"),0,1)</f>
        <v>1</v>
      </c>
    </row>
    <row r="439" spans="1:27" x14ac:dyDescent="0.3">
      <c r="A439" s="7" t="s">
        <v>757</v>
      </c>
      <c r="B439" s="7" t="s">
        <v>178</v>
      </c>
      <c r="C439" s="7" t="s">
        <v>160</v>
      </c>
      <c r="D439" s="7" t="s">
        <v>465</v>
      </c>
      <c r="E439" s="7" t="s">
        <v>245</v>
      </c>
      <c r="F439" s="7" t="s">
        <v>650</v>
      </c>
      <c r="G439" s="17"/>
      <c r="H439" s="17">
        <v>935</v>
      </c>
      <c r="I439" s="17"/>
      <c r="J439" s="7" t="s">
        <v>651</v>
      </c>
      <c r="K439" s="7">
        <v>2020</v>
      </c>
      <c r="L439" s="7" t="str">
        <f>IF(Y439&lt;&gt;"",Y439,IF(AND(K439&gt;=Hypothèses!$B$9,K439&lt;=Hypothèses!$B$10),"actuel",IF(K439=2030,"2030",IF(K439=2050,"2050","autre"))))</f>
        <v>actuel</v>
      </c>
      <c r="M439" s="7"/>
      <c r="N439" s="7" t="s">
        <v>652</v>
      </c>
      <c r="O439" s="7"/>
      <c r="P439" s="7"/>
      <c r="Q439" s="7" t="s">
        <v>65</v>
      </c>
      <c r="R439" s="14">
        <f>INDEX(Hypothèses!$B$14:$B$22,MATCH(Q439,Hypothèses!$A$14:$A$22,0))</f>
        <v>1.3308600000000002</v>
      </c>
      <c r="S439" s="17" t="str">
        <f t="shared" si="18"/>
        <v/>
      </c>
      <c r="T439" s="17">
        <f t="shared" si="19"/>
        <v>1244.3541000000002</v>
      </c>
      <c r="U439" s="17" t="str">
        <f t="shared" si="20"/>
        <v/>
      </c>
      <c r="V439" s="7" t="s">
        <v>247</v>
      </c>
      <c r="W439" s="7" t="s">
        <v>84</v>
      </c>
      <c r="X439" s="7" t="s">
        <v>653</v>
      </c>
      <c r="Y439" s="7" t="s">
        <v>654</v>
      </c>
      <c r="Z439" s="7" t="s">
        <v>655</v>
      </c>
      <c r="AA439" s="7">
        <f>IF(AND(Hypothèses!$B$12=1,Z439="Secondary_Source"),0,1)</f>
        <v>1</v>
      </c>
    </row>
    <row r="440" spans="1:27" x14ac:dyDescent="0.3">
      <c r="A440" s="7" t="s">
        <v>758</v>
      </c>
      <c r="B440" s="7" t="s">
        <v>178</v>
      </c>
      <c r="C440" s="7" t="s">
        <v>160</v>
      </c>
      <c r="D440" s="7" t="s">
        <v>465</v>
      </c>
      <c r="E440" s="7" t="s">
        <v>245</v>
      </c>
      <c r="F440" s="7" t="s">
        <v>650</v>
      </c>
      <c r="G440" s="17"/>
      <c r="H440" s="17">
        <v>553</v>
      </c>
      <c r="I440" s="17"/>
      <c r="J440" s="7" t="s">
        <v>651</v>
      </c>
      <c r="K440" s="7">
        <v>2030</v>
      </c>
      <c r="L440" s="7" t="str">
        <f>IF(Y440&lt;&gt;"",Y440,IF(AND(K440&gt;=Hypothèses!$B$9,K440&lt;=Hypothèses!$B$10),"actuel",IF(K440=2030,"2030",IF(K440=2050,"2050","autre"))))</f>
        <v>2030</v>
      </c>
      <c r="M440" s="7"/>
      <c r="N440" s="7" t="s">
        <v>652</v>
      </c>
      <c r="O440" s="7"/>
      <c r="P440" s="7"/>
      <c r="Q440" s="7" t="s">
        <v>65</v>
      </c>
      <c r="R440" s="14">
        <f>INDEX(Hypothèses!$B$14:$B$22,MATCH(Q440,Hypothèses!$A$14:$A$22,0))</f>
        <v>1.3308600000000002</v>
      </c>
      <c r="S440" s="17" t="str">
        <f t="shared" si="18"/>
        <v/>
      </c>
      <c r="T440" s="17">
        <f t="shared" si="19"/>
        <v>735.96558000000005</v>
      </c>
      <c r="U440" s="17" t="str">
        <f t="shared" si="20"/>
        <v/>
      </c>
      <c r="V440" s="7" t="s">
        <v>247</v>
      </c>
      <c r="W440" s="7" t="s">
        <v>84</v>
      </c>
      <c r="X440" s="7" t="s">
        <v>653</v>
      </c>
      <c r="Y440" s="7"/>
      <c r="Z440" s="7" t="s">
        <v>655</v>
      </c>
      <c r="AA440" s="7">
        <f>IF(AND(Hypothèses!$B$12=1,Z440="Secondary_Source"),0,1)</f>
        <v>1</v>
      </c>
    </row>
    <row r="441" spans="1:27" x14ac:dyDescent="0.3">
      <c r="A441" s="7" t="s">
        <v>759</v>
      </c>
      <c r="B441" s="7" t="s">
        <v>178</v>
      </c>
      <c r="C441" s="7" t="s">
        <v>160</v>
      </c>
      <c r="D441" s="7" t="s">
        <v>465</v>
      </c>
      <c r="E441" s="7" t="s">
        <v>245</v>
      </c>
      <c r="F441" s="7" t="s">
        <v>650</v>
      </c>
      <c r="G441" s="17"/>
      <c r="H441" s="17">
        <v>170</v>
      </c>
      <c r="I441" s="17"/>
      <c r="J441" s="7" t="s">
        <v>651</v>
      </c>
      <c r="K441" s="7">
        <v>2050</v>
      </c>
      <c r="L441" s="7" t="str">
        <f>IF(Y441&lt;&gt;"",Y441,IF(AND(K441&gt;=Hypothèses!$B$9,K441&lt;=Hypothèses!$B$10),"actuel",IF(K441=2030,"2030",IF(K441=2050,"2050","autre"))))</f>
        <v>2050</v>
      </c>
      <c r="M441" s="7"/>
      <c r="N441" s="7" t="s">
        <v>652</v>
      </c>
      <c r="O441" s="7"/>
      <c r="P441" s="7"/>
      <c r="Q441" s="7" t="s">
        <v>65</v>
      </c>
      <c r="R441" s="14">
        <f>INDEX(Hypothèses!$B$14:$B$22,MATCH(Q441,Hypothèses!$A$14:$A$22,0))</f>
        <v>1.3308600000000002</v>
      </c>
      <c r="S441" s="17" t="str">
        <f t="shared" si="18"/>
        <v/>
      </c>
      <c r="T441" s="17">
        <f t="shared" si="19"/>
        <v>226.24620000000002</v>
      </c>
      <c r="U441" s="17" t="str">
        <f t="shared" si="20"/>
        <v/>
      </c>
      <c r="V441" s="7" t="s">
        <v>247</v>
      </c>
      <c r="W441" s="7" t="s">
        <v>84</v>
      </c>
      <c r="X441" s="7" t="s">
        <v>653</v>
      </c>
      <c r="Y441" s="7"/>
      <c r="Z441" s="7" t="s">
        <v>655</v>
      </c>
      <c r="AA441" s="7">
        <f>IF(AND(Hypothèses!$B$12=1,Z441="Secondary_Source"),0,1)</f>
        <v>1</v>
      </c>
    </row>
    <row r="442" spans="1:27" x14ac:dyDescent="0.3">
      <c r="A442" s="7" t="s">
        <v>760</v>
      </c>
      <c r="B442" s="7" t="s">
        <v>178</v>
      </c>
      <c r="C442" s="7" t="s">
        <v>189</v>
      </c>
      <c r="D442" s="7" t="s">
        <v>465</v>
      </c>
      <c r="E442" s="7" t="s">
        <v>245</v>
      </c>
      <c r="F442" s="7" t="s">
        <v>650</v>
      </c>
      <c r="G442" s="17"/>
      <c r="H442" s="17">
        <v>1460</v>
      </c>
      <c r="I442" s="17"/>
      <c r="J442" s="7" t="s">
        <v>651</v>
      </c>
      <c r="K442" s="7">
        <v>2017</v>
      </c>
      <c r="L442" s="7" t="str">
        <f>IF(Y442&lt;&gt;"",Y442,IF(AND(K442&gt;=Hypothèses!$B$9,K442&lt;=Hypothèses!$B$10),"actuel",IF(K442=2030,"2030",IF(K442=2050,"2050","autre"))))</f>
        <v>actuel</v>
      </c>
      <c r="M442" s="7" t="s">
        <v>668</v>
      </c>
      <c r="N442" s="7" t="s">
        <v>652</v>
      </c>
      <c r="O442" s="7"/>
      <c r="P442" s="7"/>
      <c r="Q442" s="7" t="s">
        <v>63</v>
      </c>
      <c r="R442" s="14">
        <f>INDEX(Hypothèses!$B$14:$B$22,MATCH(Q442,Hypothèses!$A$14:$A$22,0))</f>
        <v>1.3525</v>
      </c>
      <c r="S442" s="17" t="str">
        <f t="shared" si="18"/>
        <v/>
      </c>
      <c r="T442" s="17">
        <f t="shared" si="19"/>
        <v>1974.65</v>
      </c>
      <c r="U442" s="17" t="str">
        <f t="shared" si="20"/>
        <v/>
      </c>
      <c r="V442" s="7" t="s">
        <v>247</v>
      </c>
      <c r="W442" s="7" t="s">
        <v>84</v>
      </c>
      <c r="X442" s="7" t="s">
        <v>682</v>
      </c>
      <c r="Y442" s="7" t="s">
        <v>654</v>
      </c>
      <c r="Z442" s="7" t="s">
        <v>655</v>
      </c>
      <c r="AA442" s="7">
        <f>IF(AND(Hypothèses!$B$12=1,Z442="Secondary_Source"),0,1)</f>
        <v>1</v>
      </c>
    </row>
    <row r="443" spans="1:27" x14ac:dyDescent="0.3">
      <c r="A443" s="7" t="s">
        <v>761</v>
      </c>
      <c r="B443" s="7" t="s">
        <v>178</v>
      </c>
      <c r="C443" s="7" t="s">
        <v>189</v>
      </c>
      <c r="D443" s="7" t="s">
        <v>465</v>
      </c>
      <c r="E443" s="7" t="s">
        <v>245</v>
      </c>
      <c r="F443" s="7" t="s">
        <v>650</v>
      </c>
      <c r="G443" s="17"/>
      <c r="H443" s="17">
        <v>810</v>
      </c>
      <c r="I443" s="17"/>
      <c r="J443" s="7" t="s">
        <v>651</v>
      </c>
      <c r="K443" s="7">
        <v>2030</v>
      </c>
      <c r="L443" s="7" t="str">
        <f>IF(Y443&lt;&gt;"",Y443,IF(AND(K443&gt;=Hypothèses!$B$9,K443&lt;=Hypothèses!$B$10),"actuel",IF(K443=2030,"2030",IF(K443=2050,"2050","autre"))))</f>
        <v>2030</v>
      </c>
      <c r="M443" s="7" t="s">
        <v>668</v>
      </c>
      <c r="N443" s="7" t="s">
        <v>652</v>
      </c>
      <c r="O443" s="7"/>
      <c r="P443" s="7"/>
      <c r="Q443" s="7" t="s">
        <v>63</v>
      </c>
      <c r="R443" s="14">
        <f>INDEX(Hypothèses!$B$14:$B$22,MATCH(Q443,Hypothèses!$A$14:$A$22,0))</f>
        <v>1.3525</v>
      </c>
      <c r="S443" s="17" t="str">
        <f t="shared" si="18"/>
        <v/>
      </c>
      <c r="T443" s="17">
        <f t="shared" si="19"/>
        <v>1095.5250000000001</v>
      </c>
      <c r="U443" s="17" t="str">
        <f t="shared" si="20"/>
        <v/>
      </c>
      <c r="V443" s="7" t="s">
        <v>247</v>
      </c>
      <c r="W443" s="7" t="s">
        <v>84</v>
      </c>
      <c r="X443" s="7" t="s">
        <v>682</v>
      </c>
      <c r="Y443" s="7"/>
      <c r="Z443" s="7" t="s">
        <v>655</v>
      </c>
      <c r="AA443" s="7">
        <f>IF(AND(Hypothèses!$B$12=1,Z443="Secondary_Source"),0,1)</f>
        <v>1</v>
      </c>
    </row>
    <row r="444" spans="1:27" x14ac:dyDescent="0.3">
      <c r="A444" s="7" t="s">
        <v>762</v>
      </c>
      <c r="B444" s="7" t="s">
        <v>178</v>
      </c>
      <c r="C444" s="7" t="s">
        <v>189</v>
      </c>
      <c r="D444" s="7" t="s">
        <v>465</v>
      </c>
      <c r="E444" s="7" t="s">
        <v>245</v>
      </c>
      <c r="F444" s="7" t="s">
        <v>650</v>
      </c>
      <c r="G444" s="17"/>
      <c r="H444" s="17">
        <v>510</v>
      </c>
      <c r="I444" s="17"/>
      <c r="J444" s="7" t="s">
        <v>651</v>
      </c>
      <c r="K444" s="7">
        <v>2050</v>
      </c>
      <c r="L444" s="7" t="str">
        <f>IF(Y444&lt;&gt;"",Y444,IF(AND(K444&gt;=Hypothèses!$B$9,K444&lt;=Hypothèses!$B$10),"actuel",IF(K444=2030,"2030",IF(K444=2050,"2050","autre"))))</f>
        <v>2050</v>
      </c>
      <c r="M444" s="7" t="s">
        <v>668</v>
      </c>
      <c r="N444" s="7" t="s">
        <v>652</v>
      </c>
      <c r="O444" s="7"/>
      <c r="P444" s="7"/>
      <c r="Q444" s="7" t="s">
        <v>63</v>
      </c>
      <c r="R444" s="14">
        <f>INDEX(Hypothèses!$B$14:$B$22,MATCH(Q444,Hypothèses!$A$14:$A$22,0))</f>
        <v>1.3525</v>
      </c>
      <c r="S444" s="17" t="str">
        <f t="shared" si="18"/>
        <v/>
      </c>
      <c r="T444" s="17">
        <f t="shared" si="19"/>
        <v>689.77499999999998</v>
      </c>
      <c r="U444" s="17" t="str">
        <f t="shared" si="20"/>
        <v/>
      </c>
      <c r="V444" s="7" t="s">
        <v>247</v>
      </c>
      <c r="W444" s="7" t="s">
        <v>84</v>
      </c>
      <c r="X444" s="7" t="s">
        <v>682</v>
      </c>
      <c r="Y444" s="7"/>
      <c r="Z444" s="7" t="s">
        <v>655</v>
      </c>
      <c r="AA444" s="7">
        <f>IF(AND(Hypothèses!$B$12=1,Z444="Secondary_Source"),0,1)</f>
        <v>1</v>
      </c>
    </row>
    <row r="445" spans="1:27" x14ac:dyDescent="0.3">
      <c r="A445" s="7" t="s">
        <v>763</v>
      </c>
      <c r="B445" s="7" t="s">
        <v>178</v>
      </c>
      <c r="C445" s="7" t="s">
        <v>194</v>
      </c>
      <c r="D445" s="7" t="s">
        <v>465</v>
      </c>
      <c r="E445" s="7" t="s">
        <v>245</v>
      </c>
      <c r="F445" s="7" t="s">
        <v>650</v>
      </c>
      <c r="G445" s="17"/>
      <c r="H445" s="17">
        <v>1300</v>
      </c>
      <c r="I445" s="17"/>
      <c r="J445" s="7" t="s">
        <v>651</v>
      </c>
      <c r="K445" s="7">
        <v>2017</v>
      </c>
      <c r="L445" s="7" t="str">
        <f>IF(Y445&lt;&gt;"",Y445,IF(AND(K445&gt;=Hypothèses!$B$9,K445&lt;=Hypothèses!$B$10),"actuel",IF(K445=2030,"2030",IF(K445=2050,"2050","autre"))))</f>
        <v>actuel</v>
      </c>
      <c r="M445" s="7" t="s">
        <v>661</v>
      </c>
      <c r="N445" s="7" t="s">
        <v>652</v>
      </c>
      <c r="O445" s="7"/>
      <c r="P445" s="7"/>
      <c r="Q445" s="7" t="s">
        <v>65</v>
      </c>
      <c r="R445" s="14">
        <f>INDEX(Hypothèses!$B$14:$B$22,MATCH(Q445,Hypothèses!$A$14:$A$22,0))</f>
        <v>1.3308600000000002</v>
      </c>
      <c r="S445" s="17" t="str">
        <f t="shared" si="18"/>
        <v/>
      </c>
      <c r="T445" s="17">
        <f t="shared" si="19"/>
        <v>1730.1180000000002</v>
      </c>
      <c r="U445" s="17" t="str">
        <f t="shared" si="20"/>
        <v/>
      </c>
      <c r="V445" s="7" t="s">
        <v>247</v>
      </c>
      <c r="W445" s="7" t="s">
        <v>84</v>
      </c>
      <c r="X445" s="7" t="s">
        <v>686</v>
      </c>
      <c r="Y445" s="7" t="s">
        <v>654</v>
      </c>
      <c r="Z445" s="7" t="s">
        <v>687</v>
      </c>
      <c r="AA445" s="7">
        <f>IF(AND(Hypothèses!$B$12=1,Z445="Secondary_Source"),0,1)</f>
        <v>0</v>
      </c>
    </row>
    <row r="446" spans="1:27" x14ac:dyDescent="0.3">
      <c r="A446" s="7" t="s">
        <v>764</v>
      </c>
      <c r="B446" s="7" t="s">
        <v>178</v>
      </c>
      <c r="C446" s="7" t="s">
        <v>194</v>
      </c>
      <c r="D446" s="7" t="s">
        <v>465</v>
      </c>
      <c r="E446" s="7" t="s">
        <v>245</v>
      </c>
      <c r="F446" s="7" t="s">
        <v>650</v>
      </c>
      <c r="G446" s="17"/>
      <c r="H446" s="17">
        <v>900</v>
      </c>
      <c r="I446" s="17"/>
      <c r="J446" s="7" t="s">
        <v>651</v>
      </c>
      <c r="K446" s="7">
        <v>2025</v>
      </c>
      <c r="L446" s="7" t="str">
        <f>IF(Y446&lt;&gt;"",Y446,IF(AND(K446&gt;=Hypothèses!$B$9,K446&lt;=Hypothèses!$B$10),"actuel",IF(K446=2030,"2030",IF(K446=2050,"2050","autre"))))</f>
        <v>actuel</v>
      </c>
      <c r="M446" s="7" t="s">
        <v>661</v>
      </c>
      <c r="N446" s="7" t="s">
        <v>652</v>
      </c>
      <c r="O446" s="7"/>
      <c r="P446" s="7"/>
      <c r="Q446" s="7" t="s">
        <v>65</v>
      </c>
      <c r="R446" s="14">
        <f>INDEX(Hypothèses!$B$14:$B$22,MATCH(Q446,Hypothèses!$A$14:$A$22,0))</f>
        <v>1.3308600000000002</v>
      </c>
      <c r="S446" s="17" t="str">
        <f t="shared" si="18"/>
        <v/>
      </c>
      <c r="T446" s="17">
        <f t="shared" si="19"/>
        <v>1197.7740000000001</v>
      </c>
      <c r="U446" s="17" t="str">
        <f t="shared" si="20"/>
        <v/>
      </c>
      <c r="V446" s="7" t="s">
        <v>247</v>
      </c>
      <c r="W446" s="7" t="s">
        <v>84</v>
      </c>
      <c r="X446" s="7" t="s">
        <v>765</v>
      </c>
      <c r="Y446" s="7"/>
      <c r="Z446" s="7" t="s">
        <v>687</v>
      </c>
      <c r="AA446" s="7">
        <f>IF(AND(Hypothèses!$B$12=1,Z446="Secondary_Source"),0,1)</f>
        <v>0</v>
      </c>
    </row>
    <row r="447" spans="1:27" x14ac:dyDescent="0.3">
      <c r="A447" s="7" t="s">
        <v>766</v>
      </c>
      <c r="B447" s="7" t="s">
        <v>178</v>
      </c>
      <c r="C447" s="7" t="s">
        <v>209</v>
      </c>
      <c r="D447" s="7" t="s">
        <v>465</v>
      </c>
      <c r="E447" s="7" t="s">
        <v>245</v>
      </c>
      <c r="F447" s="7" t="s">
        <v>650</v>
      </c>
      <c r="G447" s="17"/>
      <c r="H447" s="17">
        <v>1400</v>
      </c>
      <c r="I447" s="17"/>
      <c r="J447" s="7" t="s">
        <v>651</v>
      </c>
      <c r="K447" s="7">
        <v>2025</v>
      </c>
      <c r="L447" s="7" t="str">
        <f>IF(Y447&lt;&gt;"",Y447,IF(AND(K447&gt;=Hypothèses!$B$9,K447&lt;=Hypothèses!$B$10),"actuel",IF(K447=2030,"2030",IF(K447=2050,"2050","autre"))))</f>
        <v>actuel</v>
      </c>
      <c r="M447" s="7" t="s">
        <v>665</v>
      </c>
      <c r="N447" s="7" t="s">
        <v>652</v>
      </c>
      <c r="O447" s="7"/>
      <c r="P447" s="7"/>
      <c r="Q447" s="7" t="s">
        <v>59</v>
      </c>
      <c r="R447" s="14">
        <f>INDEX(Hypothèses!$B$14:$B$22,MATCH(Q447,Hypothèses!$A$14:$A$22,0))</f>
        <v>1.4174200000000001</v>
      </c>
      <c r="S447" s="17" t="str">
        <f t="shared" si="18"/>
        <v/>
      </c>
      <c r="T447" s="17">
        <f t="shared" si="19"/>
        <v>1984.3880000000001</v>
      </c>
      <c r="U447" s="17" t="str">
        <f t="shared" si="20"/>
        <v/>
      </c>
      <c r="V447" s="7" t="s">
        <v>247</v>
      </c>
      <c r="W447" s="7" t="s">
        <v>84</v>
      </c>
      <c r="X447" s="7" t="s">
        <v>691</v>
      </c>
      <c r="Y447" s="7"/>
      <c r="Z447" s="7" t="s">
        <v>663</v>
      </c>
      <c r="AA447" s="7">
        <f>IF(AND(Hypothèses!$B$12=1,Z447="Secondary_Source"),0,1)</f>
        <v>1</v>
      </c>
    </row>
    <row r="448" spans="1:27" x14ac:dyDescent="0.3">
      <c r="A448" s="7" t="s">
        <v>767</v>
      </c>
      <c r="B448" s="7" t="s">
        <v>178</v>
      </c>
      <c r="C448" s="7" t="s">
        <v>209</v>
      </c>
      <c r="D448" s="7" t="s">
        <v>465</v>
      </c>
      <c r="E448" s="7" t="s">
        <v>245</v>
      </c>
      <c r="F448" s="7" t="s">
        <v>650</v>
      </c>
      <c r="G448" s="17"/>
      <c r="H448" s="17">
        <v>334</v>
      </c>
      <c r="I448" s="17"/>
      <c r="J448" s="7" t="s">
        <v>651</v>
      </c>
      <c r="K448" s="7">
        <v>2050</v>
      </c>
      <c r="L448" s="7" t="str">
        <f>IF(Y448&lt;&gt;"",Y448,IF(AND(K448&gt;=Hypothèses!$B$9,K448&lt;=Hypothèses!$B$10),"actuel",IF(K448=2030,"2030",IF(K448=2050,"2050","autre"))))</f>
        <v>2050</v>
      </c>
      <c r="M448" s="7" t="s">
        <v>668</v>
      </c>
      <c r="N448" s="7" t="s">
        <v>652</v>
      </c>
      <c r="O448" s="7"/>
      <c r="P448" s="7"/>
      <c r="Q448" s="7" t="s">
        <v>61</v>
      </c>
      <c r="R448" s="14">
        <f>INDEX(Hypothèses!$B$14:$B$22,MATCH(Q448,Hypothèses!$A$14:$A$22,0))</f>
        <v>1.3849600000000002</v>
      </c>
      <c r="S448" s="17" t="str">
        <f t="shared" si="18"/>
        <v/>
      </c>
      <c r="T448" s="17">
        <f t="shared" si="19"/>
        <v>462.57664000000005</v>
      </c>
      <c r="U448" s="17" t="str">
        <f t="shared" si="20"/>
        <v/>
      </c>
      <c r="V448" s="7" t="s">
        <v>247</v>
      </c>
      <c r="W448" s="7" t="s">
        <v>84</v>
      </c>
      <c r="X448" s="7" t="s">
        <v>693</v>
      </c>
      <c r="Y448" s="7"/>
      <c r="Z448" s="7" t="s">
        <v>655</v>
      </c>
      <c r="AA448" s="7">
        <f>IF(AND(Hypothèses!$B$12=1,Z448="Secondary_Source"),0,1)</f>
        <v>1</v>
      </c>
    </row>
    <row r="449" spans="1:27" x14ac:dyDescent="0.3">
      <c r="A449" s="7" t="s">
        <v>768</v>
      </c>
      <c r="B449" s="7" t="s">
        <v>178</v>
      </c>
      <c r="C449" s="7" t="s">
        <v>200</v>
      </c>
      <c r="D449" s="7" t="s">
        <v>465</v>
      </c>
      <c r="E449" s="7" t="s">
        <v>245</v>
      </c>
      <c r="F449" s="7" t="s">
        <v>650</v>
      </c>
      <c r="G449" s="17"/>
      <c r="H449" s="17">
        <v>1550</v>
      </c>
      <c r="I449" s="17"/>
      <c r="J449" s="7" t="s">
        <v>651</v>
      </c>
      <c r="K449" s="7">
        <v>2017</v>
      </c>
      <c r="L449" s="7" t="str">
        <f>IF(Y449&lt;&gt;"",Y449,IF(AND(K449&gt;=Hypothèses!$B$9,K449&lt;=Hypothèses!$B$10),"actuel",IF(K449=2030,"2030",IF(K449=2050,"2050","autre"))))</f>
        <v>actuel</v>
      </c>
      <c r="M449" s="7" t="s">
        <v>661</v>
      </c>
      <c r="N449" s="7" t="s">
        <v>652</v>
      </c>
      <c r="O449" s="7"/>
      <c r="P449" s="7"/>
      <c r="Q449" s="7" t="s">
        <v>59</v>
      </c>
      <c r="R449" s="14">
        <f>INDEX(Hypothèses!$B$14:$B$22,MATCH(Q449,Hypothèses!$A$14:$A$22,0))</f>
        <v>1.4174200000000001</v>
      </c>
      <c r="S449" s="17" t="str">
        <f t="shared" si="18"/>
        <v/>
      </c>
      <c r="T449" s="17">
        <f t="shared" si="19"/>
        <v>2197.0010000000002</v>
      </c>
      <c r="U449" s="17" t="str">
        <f t="shared" si="20"/>
        <v/>
      </c>
      <c r="V449" s="7" t="s">
        <v>247</v>
      </c>
      <c r="W449" s="7" t="s">
        <v>84</v>
      </c>
      <c r="X449" s="7" t="s">
        <v>702</v>
      </c>
      <c r="Y449" s="7" t="s">
        <v>654</v>
      </c>
      <c r="Z449" s="7" t="s">
        <v>663</v>
      </c>
      <c r="AA449" s="7">
        <f>IF(AND(Hypothèses!$B$12=1,Z449="Secondary_Source"),0,1)</f>
        <v>1</v>
      </c>
    </row>
    <row r="450" spans="1:27" x14ac:dyDescent="0.3">
      <c r="A450" s="7" t="s">
        <v>769</v>
      </c>
      <c r="B450" s="7" t="s">
        <v>178</v>
      </c>
      <c r="C450" s="7" t="s">
        <v>200</v>
      </c>
      <c r="D450" s="7" t="s">
        <v>465</v>
      </c>
      <c r="E450" s="7" t="s">
        <v>245</v>
      </c>
      <c r="F450" s="7" t="s">
        <v>650</v>
      </c>
      <c r="G450" s="17"/>
      <c r="H450" s="17">
        <v>1150</v>
      </c>
      <c r="I450" s="17"/>
      <c r="J450" s="7" t="s">
        <v>651</v>
      </c>
      <c r="K450" s="7">
        <v>2020</v>
      </c>
      <c r="L450" s="7" t="str">
        <f>IF(Y450&lt;&gt;"",Y450,IF(AND(K450&gt;=Hypothèses!$B$9,K450&lt;=Hypothèses!$B$10),"actuel",IF(K450=2030,"2030",IF(K450=2050,"2050","autre"))))</f>
        <v>actuel</v>
      </c>
      <c r="M450" s="7" t="s">
        <v>661</v>
      </c>
      <c r="N450" s="7" t="s">
        <v>652</v>
      </c>
      <c r="O450" s="7"/>
      <c r="P450" s="7"/>
      <c r="Q450" s="7" t="s">
        <v>61</v>
      </c>
      <c r="R450" s="14">
        <f>INDEX(Hypothèses!$B$14:$B$22,MATCH(Q450,Hypothèses!$A$14:$A$22,0))</f>
        <v>1.3849600000000002</v>
      </c>
      <c r="S450" s="17" t="str">
        <f t="shared" ref="S450:S513" si="21">IF(G450="","",G450*R450)</f>
        <v/>
      </c>
      <c r="T450" s="17">
        <f t="shared" ref="T450:T513" si="22">IF(H450="","",H450*R450)</f>
        <v>1592.7040000000002</v>
      </c>
      <c r="U450" s="17" t="str">
        <f t="shared" ref="U450:U513" si="23">IF(I450="","",I450*R450)</f>
        <v/>
      </c>
      <c r="V450" s="7" t="s">
        <v>247</v>
      </c>
      <c r="W450" s="7" t="s">
        <v>84</v>
      </c>
      <c r="X450" s="7" t="s">
        <v>770</v>
      </c>
      <c r="Y450" s="7" t="s">
        <v>654</v>
      </c>
      <c r="Z450" s="7" t="s">
        <v>663</v>
      </c>
      <c r="AA450" s="7">
        <f>IF(AND(Hypothèses!$B$12=1,Z450="Secondary_Source"),0,1)</f>
        <v>1</v>
      </c>
    </row>
    <row r="451" spans="1:27" x14ac:dyDescent="0.3">
      <c r="A451" s="7" t="s">
        <v>771</v>
      </c>
      <c r="B451" s="7" t="s">
        <v>178</v>
      </c>
      <c r="C451" s="7" t="s">
        <v>213</v>
      </c>
      <c r="D451" s="7" t="s">
        <v>465</v>
      </c>
      <c r="E451" s="7" t="s">
        <v>245</v>
      </c>
      <c r="F451" s="7" t="s">
        <v>650</v>
      </c>
      <c r="G451" s="17"/>
      <c r="H451" s="17">
        <v>1266</v>
      </c>
      <c r="I451" s="17"/>
      <c r="J451" s="7" t="s">
        <v>651</v>
      </c>
      <c r="K451" s="7">
        <v>2020</v>
      </c>
      <c r="L451" s="7" t="str">
        <f>IF(Y451&lt;&gt;"",Y451,IF(AND(K451&gt;=Hypothèses!$B$9,K451&lt;=Hypothèses!$B$10),"actuel",IF(K451=2030,"2030",IF(K451=2050,"2050","autre"))))</f>
        <v>actuel</v>
      </c>
      <c r="M451" s="7" t="s">
        <v>665</v>
      </c>
      <c r="N451" s="7" t="s">
        <v>652</v>
      </c>
      <c r="O451" s="7"/>
      <c r="P451" s="7"/>
      <c r="Q451" s="7" t="s">
        <v>61</v>
      </c>
      <c r="R451" s="14">
        <f>INDEX(Hypothèses!$B$14:$B$22,MATCH(Q451,Hypothèses!$A$14:$A$22,0))</f>
        <v>1.3849600000000002</v>
      </c>
      <c r="S451" s="17" t="str">
        <f t="shared" si="21"/>
        <v/>
      </c>
      <c r="T451" s="17">
        <f t="shared" si="22"/>
        <v>1753.3593600000002</v>
      </c>
      <c r="U451" s="17" t="str">
        <f t="shared" si="23"/>
        <v/>
      </c>
      <c r="V451" s="7" t="s">
        <v>247</v>
      </c>
      <c r="W451" s="7" t="s">
        <v>84</v>
      </c>
      <c r="X451" s="7" t="s">
        <v>699</v>
      </c>
      <c r="Y451" s="7" t="s">
        <v>654</v>
      </c>
      <c r="Z451" s="7" t="s">
        <v>655</v>
      </c>
      <c r="AA451" s="7">
        <f>IF(AND(Hypothèses!$B$12=1,Z451="Secondary_Source"),0,1)</f>
        <v>1</v>
      </c>
    </row>
    <row r="452" spans="1:27" x14ac:dyDescent="0.3">
      <c r="A452" s="7" t="s">
        <v>772</v>
      </c>
      <c r="B452" s="7" t="s">
        <v>178</v>
      </c>
      <c r="C452" s="7" t="s">
        <v>213</v>
      </c>
      <c r="D452" s="7" t="s">
        <v>465</v>
      </c>
      <c r="E452" s="7" t="s">
        <v>245</v>
      </c>
      <c r="F452" s="7" t="s">
        <v>650</v>
      </c>
      <c r="G452" s="17"/>
      <c r="H452" s="17">
        <v>935</v>
      </c>
      <c r="I452" s="17"/>
      <c r="J452" s="7" t="s">
        <v>651</v>
      </c>
      <c r="K452" s="7">
        <v>2030</v>
      </c>
      <c r="L452" s="7" t="str">
        <f>IF(Y452&lt;&gt;"",Y452,IF(AND(K452&gt;=Hypothèses!$B$9,K452&lt;=Hypothèses!$B$10),"actuel",IF(K452=2030,"2030",IF(K452=2050,"2050","autre"))))</f>
        <v>2030</v>
      </c>
      <c r="M452" s="7" t="s">
        <v>668</v>
      </c>
      <c r="N452" s="7" t="s">
        <v>652</v>
      </c>
      <c r="O452" s="7"/>
      <c r="P452" s="7"/>
      <c r="Q452" s="7" t="s">
        <v>61</v>
      </c>
      <c r="R452" s="14">
        <f>INDEX(Hypothèses!$B$14:$B$22,MATCH(Q452,Hypothèses!$A$14:$A$22,0))</f>
        <v>1.3849600000000002</v>
      </c>
      <c r="S452" s="17" t="str">
        <f t="shared" si="21"/>
        <v/>
      </c>
      <c r="T452" s="17">
        <f t="shared" si="22"/>
        <v>1294.9376000000002</v>
      </c>
      <c r="U452" s="17" t="str">
        <f t="shared" si="23"/>
        <v/>
      </c>
      <c r="V452" s="7" t="s">
        <v>247</v>
      </c>
      <c r="W452" s="7" t="s">
        <v>84</v>
      </c>
      <c r="X452" s="7" t="s">
        <v>699</v>
      </c>
      <c r="Y452" s="7"/>
      <c r="Z452" s="7" t="s">
        <v>655</v>
      </c>
      <c r="AA452" s="7">
        <f>IF(AND(Hypothèses!$B$12=1,Z452="Secondary_Source"),0,1)</f>
        <v>1</v>
      </c>
    </row>
    <row r="453" spans="1:27" x14ac:dyDescent="0.3">
      <c r="A453" s="7" t="s">
        <v>773</v>
      </c>
      <c r="B453" s="7" t="s">
        <v>178</v>
      </c>
      <c r="C453" s="7" t="s">
        <v>197</v>
      </c>
      <c r="D453" s="7" t="s">
        <v>465</v>
      </c>
      <c r="E453" s="7" t="s">
        <v>245</v>
      </c>
      <c r="F453" s="7" t="s">
        <v>650</v>
      </c>
      <c r="G453" s="17"/>
      <c r="H453" s="17">
        <v>1250</v>
      </c>
      <c r="I453" s="17"/>
      <c r="J453" s="7" t="s">
        <v>651</v>
      </c>
      <c r="K453" s="7">
        <v>2017</v>
      </c>
      <c r="L453" s="7" t="str">
        <f>IF(Y453&lt;&gt;"",Y453,IF(AND(K453&gt;=Hypothèses!$B$9,K453&lt;=Hypothèses!$B$10),"actuel",IF(K453=2030,"2030",IF(K453=2050,"2050","autre"))))</f>
        <v>actuel</v>
      </c>
      <c r="M453" s="7" t="s">
        <v>661</v>
      </c>
      <c r="N453" s="7" t="s">
        <v>652</v>
      </c>
      <c r="O453" s="7"/>
      <c r="P453" s="7"/>
      <c r="Q453" s="7" t="s">
        <v>59</v>
      </c>
      <c r="R453" s="14">
        <f>INDEX(Hypothèses!$B$14:$B$22,MATCH(Q453,Hypothèses!$A$14:$A$22,0))</f>
        <v>1.4174200000000001</v>
      </c>
      <c r="S453" s="17" t="str">
        <f t="shared" si="21"/>
        <v/>
      </c>
      <c r="T453" s="17">
        <f t="shared" si="22"/>
        <v>1771.7750000000001</v>
      </c>
      <c r="U453" s="17" t="str">
        <f t="shared" si="23"/>
        <v/>
      </c>
      <c r="V453" s="7" t="s">
        <v>247</v>
      </c>
      <c r="W453" s="7" t="s">
        <v>84</v>
      </c>
      <c r="X453" s="7" t="s">
        <v>702</v>
      </c>
      <c r="Y453" s="7" t="s">
        <v>654</v>
      </c>
      <c r="Z453" s="7" t="s">
        <v>663</v>
      </c>
      <c r="AA453" s="7">
        <f>IF(AND(Hypothèses!$B$12=1,Z453="Secondary_Source"),0,1)</f>
        <v>1</v>
      </c>
    </row>
    <row r="454" spans="1:27" x14ac:dyDescent="0.3">
      <c r="A454" s="7" t="s">
        <v>774</v>
      </c>
      <c r="B454" s="7" t="s">
        <v>178</v>
      </c>
      <c r="C454" s="7" t="s">
        <v>197</v>
      </c>
      <c r="D454" s="7" t="s">
        <v>465</v>
      </c>
      <c r="E454" s="7" t="s">
        <v>245</v>
      </c>
      <c r="F454" s="7" t="s">
        <v>650</v>
      </c>
      <c r="G454" s="17"/>
      <c r="H454" s="17">
        <v>500</v>
      </c>
      <c r="I454" s="17"/>
      <c r="J454" s="7" t="s">
        <v>651</v>
      </c>
      <c r="K454" s="7">
        <v>2030</v>
      </c>
      <c r="L454" s="7" t="str">
        <f>IF(Y454&lt;&gt;"",Y454,IF(AND(K454&gt;=Hypothèses!$B$9,K454&lt;=Hypothèses!$B$10),"actuel",IF(K454=2030,"2030",IF(K454=2050,"2050","autre"))))</f>
        <v>2030</v>
      </c>
      <c r="M454" s="7" t="s">
        <v>668</v>
      </c>
      <c r="N454" s="7" t="s">
        <v>652</v>
      </c>
      <c r="O454" s="7"/>
      <c r="P454" s="7"/>
      <c r="Q454" s="7" t="s">
        <v>59</v>
      </c>
      <c r="R454" s="14">
        <f>INDEX(Hypothèses!$B$14:$B$22,MATCH(Q454,Hypothèses!$A$14:$A$22,0))</f>
        <v>1.4174200000000001</v>
      </c>
      <c r="S454" s="17" t="str">
        <f t="shared" si="21"/>
        <v/>
      </c>
      <c r="T454" s="17">
        <f t="shared" si="22"/>
        <v>708.71</v>
      </c>
      <c r="U454" s="17" t="str">
        <f t="shared" si="23"/>
        <v/>
      </c>
      <c r="V454" s="7" t="s">
        <v>247</v>
      </c>
      <c r="W454" s="7" t="s">
        <v>84</v>
      </c>
      <c r="X454" s="7" t="s">
        <v>702</v>
      </c>
      <c r="Y454" s="7"/>
      <c r="Z454" s="7" t="s">
        <v>663</v>
      </c>
      <c r="AA454" s="7">
        <f>IF(AND(Hypothèses!$B$12=1,Z454="Secondary_Source"),0,1)</f>
        <v>1</v>
      </c>
    </row>
    <row r="455" spans="1:27" x14ac:dyDescent="0.3">
      <c r="A455" s="7" t="s">
        <v>775</v>
      </c>
      <c r="B455" s="7" t="s">
        <v>178</v>
      </c>
      <c r="C455" s="7" t="s">
        <v>184</v>
      </c>
      <c r="D455" s="7" t="s">
        <v>465</v>
      </c>
      <c r="E455" s="7" t="s">
        <v>705</v>
      </c>
      <c r="F455" s="7" t="s">
        <v>650</v>
      </c>
      <c r="G455" s="17"/>
      <c r="H455" s="17">
        <v>62</v>
      </c>
      <c r="I455" s="17"/>
      <c r="J455" s="7" t="s">
        <v>706</v>
      </c>
      <c r="K455" s="7">
        <v>2017</v>
      </c>
      <c r="L455" s="7" t="str">
        <f>IF(Y455&lt;&gt;"",Y455,IF(AND(K455&gt;=Hypothèses!$B$9,K455&lt;=Hypothèses!$B$10),"actuel",IF(K455=2030,"2030",IF(K455=2050,"2050","autre"))))</f>
        <v>actuel</v>
      </c>
      <c r="M455" s="7" t="s">
        <v>661</v>
      </c>
      <c r="N455" s="7" t="s">
        <v>652</v>
      </c>
      <c r="O455" s="7" t="s">
        <v>714</v>
      </c>
      <c r="P455" s="7"/>
      <c r="Q455" s="7" t="s">
        <v>55</v>
      </c>
      <c r="R455" s="14">
        <f>INDEX(Hypothèses!$B$14:$B$22,MATCH(Q455,Hypothèses!$A$14:$A$22,0))</f>
        <v>1</v>
      </c>
      <c r="S455" s="17" t="str">
        <f t="shared" si="21"/>
        <v/>
      </c>
      <c r="T455" s="17">
        <f t="shared" si="22"/>
        <v>62</v>
      </c>
      <c r="U455" s="17" t="str">
        <f t="shared" si="23"/>
        <v/>
      </c>
      <c r="V455" s="7" t="s">
        <v>706</v>
      </c>
      <c r="W455" s="7" t="s">
        <v>84</v>
      </c>
      <c r="X455" s="7" t="s">
        <v>715</v>
      </c>
      <c r="Y455" s="7" t="s">
        <v>654</v>
      </c>
      <c r="Z455" s="7" t="s">
        <v>663</v>
      </c>
      <c r="AA455" s="7">
        <f>IF(AND(Hypothèses!$B$12=1,Z455="Secondary_Source"),0,1)</f>
        <v>1</v>
      </c>
    </row>
    <row r="456" spans="1:27" x14ac:dyDescent="0.3">
      <c r="A456" s="7" t="s">
        <v>776</v>
      </c>
      <c r="B456" s="7" t="s">
        <v>178</v>
      </c>
      <c r="C456" s="7" t="s">
        <v>184</v>
      </c>
      <c r="D456" s="7" t="s">
        <v>465</v>
      </c>
      <c r="E456" s="7" t="s">
        <v>705</v>
      </c>
      <c r="F456" s="7" t="s">
        <v>650</v>
      </c>
      <c r="G456" s="17"/>
      <c r="H456" s="17">
        <v>69</v>
      </c>
      <c r="I456" s="17"/>
      <c r="J456" s="7" t="s">
        <v>706</v>
      </c>
      <c r="K456" s="7">
        <v>2030</v>
      </c>
      <c r="L456" s="7" t="str">
        <f>IF(Y456&lt;&gt;"",Y456,IF(AND(K456&gt;=Hypothèses!$B$9,K456&lt;=Hypothèses!$B$10),"actuel",IF(K456=2030,"2030",IF(K456=2050,"2050","autre"))))</f>
        <v>2030</v>
      </c>
      <c r="M456" s="7" t="s">
        <v>668</v>
      </c>
      <c r="N456" s="7" t="s">
        <v>652</v>
      </c>
      <c r="O456" s="7" t="s">
        <v>714</v>
      </c>
      <c r="P456" s="7"/>
      <c r="Q456" s="7" t="s">
        <v>55</v>
      </c>
      <c r="R456" s="14">
        <f>INDEX(Hypothèses!$B$14:$B$22,MATCH(Q456,Hypothèses!$A$14:$A$22,0))</f>
        <v>1</v>
      </c>
      <c r="S456" s="17" t="str">
        <f t="shared" si="21"/>
        <v/>
      </c>
      <c r="T456" s="17">
        <f t="shared" si="22"/>
        <v>69</v>
      </c>
      <c r="U456" s="17" t="str">
        <f t="shared" si="23"/>
        <v/>
      </c>
      <c r="V456" s="7" t="s">
        <v>706</v>
      </c>
      <c r="W456" s="7" t="s">
        <v>84</v>
      </c>
      <c r="X456" s="7" t="s">
        <v>715</v>
      </c>
      <c r="Y456" s="7"/>
      <c r="Z456" s="7" t="s">
        <v>663</v>
      </c>
      <c r="AA456" s="7">
        <f>IF(AND(Hypothèses!$B$12=1,Z456="Secondary_Source"),0,1)</f>
        <v>1</v>
      </c>
    </row>
    <row r="457" spans="1:27" x14ac:dyDescent="0.3">
      <c r="A457" s="7" t="s">
        <v>777</v>
      </c>
      <c r="B457" s="7" t="s">
        <v>178</v>
      </c>
      <c r="C457" s="7" t="s">
        <v>205</v>
      </c>
      <c r="D457" s="7" t="s">
        <v>465</v>
      </c>
      <c r="E457" s="7" t="s">
        <v>705</v>
      </c>
      <c r="F457" s="7" t="s">
        <v>650</v>
      </c>
      <c r="G457" s="17"/>
      <c r="H457" s="17">
        <v>54</v>
      </c>
      <c r="I457" s="17"/>
      <c r="J457" s="7" t="s">
        <v>706</v>
      </c>
      <c r="K457" s="7">
        <v>2018</v>
      </c>
      <c r="L457" s="7" t="str">
        <f>IF(Y457&lt;&gt;"",Y457,IF(AND(K457&gt;=Hypothèses!$B$9,K457&lt;=Hypothèses!$B$10),"actuel",IF(K457=2030,"2030",IF(K457=2050,"2050","autre"))))</f>
        <v>actuel</v>
      </c>
      <c r="M457" s="7" t="s">
        <v>661</v>
      </c>
      <c r="N457" s="7" t="s">
        <v>652</v>
      </c>
      <c r="O457" s="7" t="s">
        <v>714</v>
      </c>
      <c r="P457" s="7"/>
      <c r="Q457" s="7" t="s">
        <v>55</v>
      </c>
      <c r="R457" s="14">
        <f>INDEX(Hypothèses!$B$14:$B$22,MATCH(Q457,Hypothèses!$A$14:$A$22,0))</f>
        <v>1</v>
      </c>
      <c r="S457" s="17" t="str">
        <f t="shared" si="21"/>
        <v/>
      </c>
      <c r="T457" s="17">
        <f t="shared" si="22"/>
        <v>54</v>
      </c>
      <c r="U457" s="17" t="str">
        <f t="shared" si="23"/>
        <v/>
      </c>
      <c r="V457" s="7" t="s">
        <v>706</v>
      </c>
      <c r="W457" s="7" t="s">
        <v>84</v>
      </c>
      <c r="X457" s="7" t="s">
        <v>778</v>
      </c>
      <c r="Y457" s="7" t="s">
        <v>654</v>
      </c>
      <c r="Z457" s="7" t="s">
        <v>655</v>
      </c>
      <c r="AA457" s="7">
        <f>IF(AND(Hypothèses!$B$12=1,Z457="Secondary_Source"),0,1)</f>
        <v>1</v>
      </c>
    </row>
    <row r="458" spans="1:27" x14ac:dyDescent="0.3">
      <c r="A458" s="7" t="s">
        <v>779</v>
      </c>
      <c r="B458" s="7" t="s">
        <v>178</v>
      </c>
      <c r="C458" s="7" t="s">
        <v>192</v>
      </c>
      <c r="D458" s="7" t="s">
        <v>465</v>
      </c>
      <c r="E458" s="7" t="s">
        <v>705</v>
      </c>
      <c r="F458" s="7" t="s">
        <v>650</v>
      </c>
      <c r="G458" s="17"/>
      <c r="H458" s="17">
        <v>57</v>
      </c>
      <c r="I458" s="17"/>
      <c r="J458" s="7" t="s">
        <v>706</v>
      </c>
      <c r="K458" s="7">
        <v>2017</v>
      </c>
      <c r="L458" s="7" t="str">
        <f>IF(Y458&lt;&gt;"",Y458,IF(AND(K458&gt;=Hypothèses!$B$9,K458&lt;=Hypothèses!$B$10),"actuel",IF(K458=2030,"2030",IF(K458=2050,"2050","autre"))))</f>
        <v>actuel</v>
      </c>
      <c r="M458" s="7" t="s">
        <v>661</v>
      </c>
      <c r="N458" s="7" t="s">
        <v>652</v>
      </c>
      <c r="O458" s="7" t="s">
        <v>714</v>
      </c>
      <c r="P458" s="7"/>
      <c r="Q458" s="7" t="s">
        <v>55</v>
      </c>
      <c r="R458" s="14">
        <f>INDEX(Hypothèses!$B$14:$B$22,MATCH(Q458,Hypothèses!$A$14:$A$22,0))</f>
        <v>1</v>
      </c>
      <c r="S458" s="17" t="str">
        <f t="shared" si="21"/>
        <v/>
      </c>
      <c r="T458" s="17">
        <f t="shared" si="22"/>
        <v>57</v>
      </c>
      <c r="U458" s="17" t="str">
        <f t="shared" si="23"/>
        <v/>
      </c>
      <c r="V458" s="7" t="s">
        <v>706</v>
      </c>
      <c r="W458" s="7" t="s">
        <v>84</v>
      </c>
      <c r="X458" s="7" t="s">
        <v>780</v>
      </c>
      <c r="Y458" s="7" t="s">
        <v>654</v>
      </c>
      <c r="Z458" s="7" t="s">
        <v>655</v>
      </c>
      <c r="AA458" s="7">
        <f>IF(AND(Hypothèses!$B$12=1,Z458="Secondary_Source"),0,1)</f>
        <v>1</v>
      </c>
    </row>
    <row r="459" spans="1:27" x14ac:dyDescent="0.3">
      <c r="A459" s="7" t="s">
        <v>781</v>
      </c>
      <c r="B459" s="7" t="s">
        <v>178</v>
      </c>
      <c r="C459" s="7" t="s">
        <v>192</v>
      </c>
      <c r="D459" s="7" t="s">
        <v>465</v>
      </c>
      <c r="E459" s="7" t="s">
        <v>705</v>
      </c>
      <c r="F459" s="7" t="s">
        <v>650</v>
      </c>
      <c r="G459" s="17"/>
      <c r="H459" s="17">
        <v>57</v>
      </c>
      <c r="I459" s="17"/>
      <c r="J459" s="7" t="s">
        <v>706</v>
      </c>
      <c r="K459" s="7">
        <v>2025</v>
      </c>
      <c r="L459" s="7" t="str">
        <f>IF(Y459&lt;&gt;"",Y459,IF(AND(K459&gt;=Hypothèses!$B$9,K459&lt;=Hypothèses!$B$10),"actuel",IF(K459=2030,"2030",IF(K459=2050,"2050","autre"))))</f>
        <v>actuel</v>
      </c>
      <c r="M459" s="7" t="s">
        <v>661</v>
      </c>
      <c r="N459" s="7" t="s">
        <v>652</v>
      </c>
      <c r="O459" s="7" t="s">
        <v>714</v>
      </c>
      <c r="P459" s="7"/>
      <c r="Q459" s="7" t="s">
        <v>55</v>
      </c>
      <c r="R459" s="14">
        <f>INDEX(Hypothèses!$B$14:$B$22,MATCH(Q459,Hypothèses!$A$14:$A$22,0))</f>
        <v>1</v>
      </c>
      <c r="S459" s="17" t="str">
        <f t="shared" si="21"/>
        <v/>
      </c>
      <c r="T459" s="17">
        <f t="shared" si="22"/>
        <v>57</v>
      </c>
      <c r="U459" s="17" t="str">
        <f t="shared" si="23"/>
        <v/>
      </c>
      <c r="V459" s="7" t="s">
        <v>706</v>
      </c>
      <c r="W459" s="7" t="s">
        <v>84</v>
      </c>
      <c r="X459" s="7" t="s">
        <v>782</v>
      </c>
      <c r="Y459" s="7"/>
      <c r="Z459" s="7" t="s">
        <v>655</v>
      </c>
      <c r="AA459" s="7">
        <f>IF(AND(Hypothèses!$B$12=1,Z459="Secondary_Source"),0,1)</f>
        <v>1</v>
      </c>
    </row>
    <row r="460" spans="1:27" x14ac:dyDescent="0.3">
      <c r="A460" s="7" t="s">
        <v>783</v>
      </c>
      <c r="B460" s="7" t="s">
        <v>178</v>
      </c>
      <c r="C460" s="7" t="s">
        <v>189</v>
      </c>
      <c r="D460" s="7" t="s">
        <v>465</v>
      </c>
      <c r="E460" s="7" t="s">
        <v>705</v>
      </c>
      <c r="F460" s="7" t="s">
        <v>650</v>
      </c>
      <c r="G460" s="17"/>
      <c r="H460" s="17">
        <v>64.3</v>
      </c>
      <c r="I460" s="17"/>
      <c r="J460" s="7" t="s">
        <v>706</v>
      </c>
      <c r="K460" s="7">
        <v>2017</v>
      </c>
      <c r="L460" s="7" t="str">
        <f>IF(Y460&lt;&gt;"",Y460,IF(AND(K460&gt;=Hypothèses!$B$9,K460&lt;=Hypothèses!$B$10),"actuel",IF(K460=2030,"2030",IF(K460=2050,"2050","autre"))))</f>
        <v>actuel</v>
      </c>
      <c r="M460" s="7" t="s">
        <v>668</v>
      </c>
      <c r="N460" s="7" t="s">
        <v>652</v>
      </c>
      <c r="O460" s="7" t="s">
        <v>714</v>
      </c>
      <c r="P460" s="7"/>
      <c r="Q460" s="7" t="s">
        <v>55</v>
      </c>
      <c r="R460" s="14">
        <f>INDEX(Hypothèses!$B$14:$B$22,MATCH(Q460,Hypothèses!$A$14:$A$22,0))</f>
        <v>1</v>
      </c>
      <c r="S460" s="17" t="str">
        <f t="shared" si="21"/>
        <v/>
      </c>
      <c r="T460" s="17">
        <f t="shared" si="22"/>
        <v>64.3</v>
      </c>
      <c r="U460" s="17" t="str">
        <f t="shared" si="23"/>
        <v/>
      </c>
      <c r="V460" s="7" t="s">
        <v>706</v>
      </c>
      <c r="W460" s="7" t="s">
        <v>84</v>
      </c>
      <c r="X460" s="7" t="s">
        <v>725</v>
      </c>
      <c r="Y460" s="7" t="s">
        <v>654</v>
      </c>
      <c r="Z460" s="7" t="s">
        <v>655</v>
      </c>
      <c r="AA460" s="7">
        <f>IF(AND(Hypothèses!$B$12=1,Z460="Secondary_Source"),0,1)</f>
        <v>1</v>
      </c>
    </row>
    <row r="461" spans="1:27" x14ac:dyDescent="0.3">
      <c r="A461" s="7" t="s">
        <v>784</v>
      </c>
      <c r="B461" s="7" t="s">
        <v>178</v>
      </c>
      <c r="C461" s="7" t="s">
        <v>189</v>
      </c>
      <c r="D461" s="7" t="s">
        <v>465</v>
      </c>
      <c r="E461" s="7" t="s">
        <v>705</v>
      </c>
      <c r="F461" s="7" t="s">
        <v>650</v>
      </c>
      <c r="G461" s="17"/>
      <c r="H461" s="17">
        <v>65.5</v>
      </c>
      <c r="I461" s="17"/>
      <c r="J461" s="7" t="s">
        <v>706</v>
      </c>
      <c r="K461" s="7">
        <v>2030</v>
      </c>
      <c r="L461" s="7" t="str">
        <f>IF(Y461&lt;&gt;"",Y461,IF(AND(K461&gt;=Hypothèses!$B$9,K461&lt;=Hypothèses!$B$10),"actuel",IF(K461=2030,"2030",IF(K461=2050,"2050","autre"))))</f>
        <v>2030</v>
      </c>
      <c r="M461" s="7" t="s">
        <v>668</v>
      </c>
      <c r="N461" s="7" t="s">
        <v>652</v>
      </c>
      <c r="O461" s="7" t="s">
        <v>714</v>
      </c>
      <c r="P461" s="7"/>
      <c r="Q461" s="7" t="s">
        <v>55</v>
      </c>
      <c r="R461" s="14">
        <f>INDEX(Hypothèses!$B$14:$B$22,MATCH(Q461,Hypothèses!$A$14:$A$22,0))</f>
        <v>1</v>
      </c>
      <c r="S461" s="17" t="str">
        <f t="shared" si="21"/>
        <v/>
      </c>
      <c r="T461" s="17">
        <f t="shared" si="22"/>
        <v>65.5</v>
      </c>
      <c r="U461" s="17" t="str">
        <f t="shared" si="23"/>
        <v/>
      </c>
      <c r="V461" s="7" t="s">
        <v>706</v>
      </c>
      <c r="W461" s="7" t="s">
        <v>84</v>
      </c>
      <c r="X461" s="7" t="s">
        <v>725</v>
      </c>
      <c r="Y461" s="7"/>
      <c r="Z461" s="7" t="s">
        <v>655</v>
      </c>
      <c r="AA461" s="7">
        <f>IF(AND(Hypothèses!$B$12=1,Z461="Secondary_Source"),0,1)</f>
        <v>1</v>
      </c>
    </row>
    <row r="462" spans="1:27" x14ac:dyDescent="0.3">
      <c r="A462" s="7" t="s">
        <v>785</v>
      </c>
      <c r="B462" s="7" t="s">
        <v>178</v>
      </c>
      <c r="C462" s="7" t="s">
        <v>189</v>
      </c>
      <c r="D462" s="7" t="s">
        <v>465</v>
      </c>
      <c r="E462" s="7" t="s">
        <v>705</v>
      </c>
      <c r="F462" s="7" t="s">
        <v>650</v>
      </c>
      <c r="G462" s="17"/>
      <c r="H462" s="17">
        <v>72.2</v>
      </c>
      <c r="I462" s="17"/>
      <c r="J462" s="7" t="s">
        <v>706</v>
      </c>
      <c r="K462" s="7">
        <v>2050</v>
      </c>
      <c r="L462" s="7" t="str">
        <f>IF(Y462&lt;&gt;"",Y462,IF(AND(K462&gt;=Hypothèses!$B$9,K462&lt;=Hypothèses!$B$10),"actuel",IF(K462=2030,"2030",IF(K462=2050,"2050","autre"))))</f>
        <v>2050</v>
      </c>
      <c r="M462" s="7" t="s">
        <v>668</v>
      </c>
      <c r="N462" s="7" t="s">
        <v>652</v>
      </c>
      <c r="O462" s="7" t="s">
        <v>714</v>
      </c>
      <c r="P462" s="7"/>
      <c r="Q462" s="7" t="s">
        <v>55</v>
      </c>
      <c r="R462" s="14">
        <f>INDEX(Hypothèses!$B$14:$B$22,MATCH(Q462,Hypothèses!$A$14:$A$22,0))</f>
        <v>1</v>
      </c>
      <c r="S462" s="17" t="str">
        <f t="shared" si="21"/>
        <v/>
      </c>
      <c r="T462" s="17">
        <f t="shared" si="22"/>
        <v>72.2</v>
      </c>
      <c r="U462" s="17" t="str">
        <f t="shared" si="23"/>
        <v/>
      </c>
      <c r="V462" s="7" t="s">
        <v>706</v>
      </c>
      <c r="W462" s="7" t="s">
        <v>84</v>
      </c>
      <c r="X462" s="7" t="s">
        <v>725</v>
      </c>
      <c r="Y462" s="7"/>
      <c r="Z462" s="7" t="s">
        <v>655</v>
      </c>
      <c r="AA462" s="7">
        <f>IF(AND(Hypothèses!$B$12=1,Z462="Secondary_Source"),0,1)</f>
        <v>1</v>
      </c>
    </row>
    <row r="463" spans="1:27" x14ac:dyDescent="0.3">
      <c r="A463" s="7" t="s">
        <v>786</v>
      </c>
      <c r="B463" s="7" t="s">
        <v>178</v>
      </c>
      <c r="C463" s="7" t="s">
        <v>194</v>
      </c>
      <c r="D463" s="7" t="s">
        <v>465</v>
      </c>
      <c r="E463" s="7" t="s">
        <v>705</v>
      </c>
      <c r="F463" s="7" t="s">
        <v>650</v>
      </c>
      <c r="G463" s="17"/>
      <c r="H463" s="17">
        <v>61</v>
      </c>
      <c r="I463" s="17"/>
      <c r="J463" s="7" t="s">
        <v>706</v>
      </c>
      <c r="K463" s="7">
        <v>2017</v>
      </c>
      <c r="L463" s="7" t="str">
        <f>IF(Y463&lt;&gt;"",Y463,IF(AND(K463&gt;=Hypothèses!$B$9,K463&lt;=Hypothèses!$B$10),"actuel",IF(K463=2030,"2030",IF(K463=2050,"2050","autre"))))</f>
        <v>actuel</v>
      </c>
      <c r="M463" s="7" t="s">
        <v>661</v>
      </c>
      <c r="N463" s="7" t="s">
        <v>652</v>
      </c>
      <c r="O463" s="7" t="s">
        <v>714</v>
      </c>
      <c r="P463" s="7"/>
      <c r="Q463" s="7" t="s">
        <v>55</v>
      </c>
      <c r="R463" s="14">
        <f>INDEX(Hypothèses!$B$14:$B$22,MATCH(Q463,Hypothèses!$A$14:$A$22,0))</f>
        <v>1</v>
      </c>
      <c r="S463" s="17" t="str">
        <f t="shared" si="21"/>
        <v/>
      </c>
      <c r="T463" s="17">
        <f t="shared" si="22"/>
        <v>61</v>
      </c>
      <c r="U463" s="17" t="str">
        <f t="shared" si="23"/>
        <v/>
      </c>
      <c r="V463" s="7" t="s">
        <v>706</v>
      </c>
      <c r="W463" s="7" t="s">
        <v>84</v>
      </c>
      <c r="X463" s="7" t="s">
        <v>729</v>
      </c>
      <c r="Y463" s="7" t="s">
        <v>654</v>
      </c>
      <c r="Z463" s="7" t="s">
        <v>687</v>
      </c>
      <c r="AA463" s="7">
        <f>IF(AND(Hypothèses!$B$12=1,Z463="Secondary_Source"),0,1)</f>
        <v>0</v>
      </c>
    </row>
    <row r="464" spans="1:27" x14ac:dyDescent="0.3">
      <c r="A464" s="7" t="s">
        <v>787</v>
      </c>
      <c r="B464" s="7" t="s">
        <v>178</v>
      </c>
      <c r="C464" s="7" t="s">
        <v>194</v>
      </c>
      <c r="D464" s="7" t="s">
        <v>465</v>
      </c>
      <c r="E464" s="7" t="s">
        <v>705</v>
      </c>
      <c r="F464" s="7" t="s">
        <v>650</v>
      </c>
      <c r="G464" s="17"/>
      <c r="H464" s="17">
        <v>53</v>
      </c>
      <c r="I464" s="17"/>
      <c r="J464" s="7" t="s">
        <v>706</v>
      </c>
      <c r="K464" s="7">
        <v>2025</v>
      </c>
      <c r="L464" s="7" t="str">
        <f>IF(Y464&lt;&gt;"",Y464,IF(AND(K464&gt;=Hypothèses!$B$9,K464&lt;=Hypothèses!$B$10),"actuel",IF(K464=2030,"2030",IF(K464=2050,"2050","autre"))))</f>
        <v>actuel</v>
      </c>
      <c r="M464" s="7" t="s">
        <v>661</v>
      </c>
      <c r="N464" s="7" t="s">
        <v>652</v>
      </c>
      <c r="O464" s="7" t="s">
        <v>714</v>
      </c>
      <c r="P464" s="7"/>
      <c r="Q464" s="7" t="s">
        <v>55</v>
      </c>
      <c r="R464" s="14">
        <f>INDEX(Hypothèses!$B$14:$B$22,MATCH(Q464,Hypothèses!$A$14:$A$22,0))</f>
        <v>1</v>
      </c>
      <c r="S464" s="17" t="str">
        <f t="shared" si="21"/>
        <v/>
      </c>
      <c r="T464" s="17">
        <f t="shared" si="22"/>
        <v>53</v>
      </c>
      <c r="U464" s="17" t="str">
        <f t="shared" si="23"/>
        <v/>
      </c>
      <c r="V464" s="7" t="s">
        <v>706</v>
      </c>
      <c r="W464" s="7" t="s">
        <v>84</v>
      </c>
      <c r="X464" s="7" t="s">
        <v>788</v>
      </c>
      <c r="Y464" s="7"/>
      <c r="Z464" s="7" t="s">
        <v>687</v>
      </c>
      <c r="AA464" s="7">
        <f>IF(AND(Hypothèses!$B$12=1,Z464="Secondary_Source"),0,1)</f>
        <v>0</v>
      </c>
    </row>
    <row r="465" spans="1:27" x14ac:dyDescent="0.3">
      <c r="A465" s="7" t="s">
        <v>789</v>
      </c>
      <c r="B465" s="7" t="s">
        <v>178</v>
      </c>
      <c r="C465" s="7" t="s">
        <v>209</v>
      </c>
      <c r="D465" s="7" t="s">
        <v>465</v>
      </c>
      <c r="E465" s="7" t="s">
        <v>705</v>
      </c>
      <c r="F465" s="7" t="s">
        <v>650</v>
      </c>
      <c r="G465" s="17"/>
      <c r="H465" s="17">
        <v>70</v>
      </c>
      <c r="I465" s="17"/>
      <c r="J465" s="7" t="s">
        <v>706</v>
      </c>
      <c r="K465" s="7">
        <v>2050</v>
      </c>
      <c r="L465" s="7" t="str">
        <f>IF(Y465&lt;&gt;"",Y465,IF(AND(K465&gt;=Hypothèses!$B$9,K465&lt;=Hypothèses!$B$10),"actuel",IF(K465=2030,"2030",IF(K465=2050,"2050","autre"))))</f>
        <v>2050</v>
      </c>
      <c r="M465" s="7" t="s">
        <v>668</v>
      </c>
      <c r="N465" s="7" t="s">
        <v>652</v>
      </c>
      <c r="O465" s="7" t="s">
        <v>714</v>
      </c>
      <c r="P465" s="7"/>
      <c r="Q465" s="7" t="s">
        <v>55</v>
      </c>
      <c r="R465" s="14">
        <f>INDEX(Hypothèses!$B$14:$B$22,MATCH(Q465,Hypothèses!$A$14:$A$22,0))</f>
        <v>1</v>
      </c>
      <c r="S465" s="17" t="str">
        <f t="shared" si="21"/>
        <v/>
      </c>
      <c r="T465" s="17">
        <f t="shared" si="22"/>
        <v>70</v>
      </c>
      <c r="U465" s="17" t="str">
        <f t="shared" si="23"/>
        <v/>
      </c>
      <c r="V465" s="7" t="s">
        <v>706</v>
      </c>
      <c r="W465" s="7" t="s">
        <v>84</v>
      </c>
      <c r="X465" s="7" t="s">
        <v>733</v>
      </c>
      <c r="Y465" s="7"/>
      <c r="Z465" s="7" t="s">
        <v>655</v>
      </c>
      <c r="AA465" s="7">
        <f>IF(AND(Hypothèses!$B$12=1,Z465="Secondary_Source"),0,1)</f>
        <v>1</v>
      </c>
    </row>
    <row r="466" spans="1:27" x14ac:dyDescent="0.3">
      <c r="A466" s="7" t="s">
        <v>790</v>
      </c>
      <c r="B466" s="7" t="s">
        <v>178</v>
      </c>
      <c r="C466" s="7" t="s">
        <v>218</v>
      </c>
      <c r="D466" s="7" t="s">
        <v>465</v>
      </c>
      <c r="E466" s="7" t="s">
        <v>705</v>
      </c>
      <c r="F466" s="7" t="s">
        <v>650</v>
      </c>
      <c r="G466" s="17"/>
      <c r="H466" s="17">
        <v>67</v>
      </c>
      <c r="I466" s="17"/>
      <c r="J466" s="7" t="s">
        <v>706</v>
      </c>
      <c r="K466" s="7">
        <v>2018</v>
      </c>
      <c r="L466" s="7" t="str">
        <f>IF(Y466&lt;&gt;"",Y466,IF(AND(K466&gt;=Hypothèses!$B$9,K466&lt;=Hypothèses!$B$10),"actuel",IF(K466=2030,"2030",IF(K466=2050,"2050","autre"))))</f>
        <v>actuel</v>
      </c>
      <c r="M466" s="7"/>
      <c r="N466" s="7" t="s">
        <v>652</v>
      </c>
      <c r="O466" s="7" t="s">
        <v>714</v>
      </c>
      <c r="P466" s="7"/>
      <c r="Q466" s="7" t="s">
        <v>55</v>
      </c>
      <c r="R466" s="14">
        <f>INDEX(Hypothèses!$B$14:$B$22,MATCH(Q466,Hypothèses!$A$14:$A$22,0))</f>
        <v>1</v>
      </c>
      <c r="S466" s="17" t="str">
        <f t="shared" si="21"/>
        <v/>
      </c>
      <c r="T466" s="17">
        <f t="shared" si="22"/>
        <v>67</v>
      </c>
      <c r="U466" s="17" t="str">
        <f t="shared" si="23"/>
        <v/>
      </c>
      <c r="V466" s="7" t="s">
        <v>706</v>
      </c>
      <c r="W466" s="7" t="s">
        <v>84</v>
      </c>
      <c r="X466" s="7" t="s">
        <v>735</v>
      </c>
      <c r="Y466" s="7" t="s">
        <v>654</v>
      </c>
      <c r="Z466" s="7" t="s">
        <v>663</v>
      </c>
      <c r="AA466" s="7">
        <f>IF(AND(Hypothèses!$B$12=1,Z466="Secondary_Source"),0,1)</f>
        <v>1</v>
      </c>
    </row>
    <row r="467" spans="1:27" x14ac:dyDescent="0.3">
      <c r="A467" s="7" t="s">
        <v>791</v>
      </c>
      <c r="B467" s="7" t="s">
        <v>178</v>
      </c>
      <c r="C467" s="7" t="s">
        <v>213</v>
      </c>
      <c r="D467" s="7" t="s">
        <v>465</v>
      </c>
      <c r="E467" s="7" t="s">
        <v>705</v>
      </c>
      <c r="F467" s="7" t="s">
        <v>650</v>
      </c>
      <c r="G467" s="17"/>
      <c r="H467" s="17">
        <v>65</v>
      </c>
      <c r="I467" s="17"/>
      <c r="J467" s="7" t="s">
        <v>706</v>
      </c>
      <c r="K467" s="7">
        <v>2020</v>
      </c>
      <c r="L467" s="7" t="str">
        <f>IF(Y467&lt;&gt;"",Y467,IF(AND(K467&gt;=Hypothèses!$B$9,K467&lt;=Hypothèses!$B$10),"actuel",IF(K467=2030,"2030",IF(K467=2050,"2050","autre"))))</f>
        <v>actuel</v>
      </c>
      <c r="M467" s="7" t="s">
        <v>665</v>
      </c>
      <c r="N467" s="7" t="s">
        <v>652</v>
      </c>
      <c r="O467" s="7" t="s">
        <v>714</v>
      </c>
      <c r="P467" s="7"/>
      <c r="Q467" s="7" t="s">
        <v>55</v>
      </c>
      <c r="R467" s="14">
        <f>INDEX(Hypothèses!$B$14:$B$22,MATCH(Q467,Hypothèses!$A$14:$A$22,0))</f>
        <v>1</v>
      </c>
      <c r="S467" s="17" t="str">
        <f t="shared" si="21"/>
        <v/>
      </c>
      <c r="T467" s="17">
        <f t="shared" si="22"/>
        <v>65</v>
      </c>
      <c r="U467" s="17" t="str">
        <f t="shared" si="23"/>
        <v/>
      </c>
      <c r="V467" s="7" t="s">
        <v>706</v>
      </c>
      <c r="W467" s="7" t="s">
        <v>84</v>
      </c>
      <c r="X467" s="7" t="s">
        <v>737</v>
      </c>
      <c r="Y467" s="7" t="s">
        <v>654</v>
      </c>
      <c r="Z467" s="7" t="s">
        <v>655</v>
      </c>
      <c r="AA467" s="7">
        <f>IF(AND(Hypothèses!$B$12=1,Z467="Secondary_Source"),0,1)</f>
        <v>1</v>
      </c>
    </row>
    <row r="468" spans="1:27" x14ac:dyDescent="0.3">
      <c r="A468" s="7" t="s">
        <v>792</v>
      </c>
      <c r="B468" s="7" t="s">
        <v>178</v>
      </c>
      <c r="C468" s="7" t="s">
        <v>213</v>
      </c>
      <c r="D468" s="7" t="s">
        <v>465</v>
      </c>
      <c r="E468" s="7" t="s">
        <v>705</v>
      </c>
      <c r="F468" s="7" t="s">
        <v>650</v>
      </c>
      <c r="G468" s="17"/>
      <c r="H468" s="17">
        <v>72</v>
      </c>
      <c r="I468" s="17"/>
      <c r="J468" s="7" t="s">
        <v>706</v>
      </c>
      <c r="K468" s="7">
        <v>2030</v>
      </c>
      <c r="L468" s="7" t="str">
        <f>IF(Y468&lt;&gt;"",Y468,IF(AND(K468&gt;=Hypothèses!$B$9,K468&lt;=Hypothèses!$B$10),"actuel",IF(K468=2030,"2030",IF(K468=2050,"2050","autre"))))</f>
        <v>2030</v>
      </c>
      <c r="M468" s="7" t="s">
        <v>668</v>
      </c>
      <c r="N468" s="7" t="s">
        <v>652</v>
      </c>
      <c r="O468" s="7" t="s">
        <v>714</v>
      </c>
      <c r="P468" s="7"/>
      <c r="Q468" s="7" t="s">
        <v>55</v>
      </c>
      <c r="R468" s="14">
        <f>INDEX(Hypothèses!$B$14:$B$22,MATCH(Q468,Hypothèses!$A$14:$A$22,0))</f>
        <v>1</v>
      </c>
      <c r="S468" s="17" t="str">
        <f t="shared" si="21"/>
        <v/>
      </c>
      <c r="T468" s="17">
        <f t="shared" si="22"/>
        <v>72</v>
      </c>
      <c r="U468" s="17" t="str">
        <f t="shared" si="23"/>
        <v/>
      </c>
      <c r="V468" s="7" t="s">
        <v>706</v>
      </c>
      <c r="W468" s="7" t="s">
        <v>84</v>
      </c>
      <c r="X468" s="7" t="s">
        <v>737</v>
      </c>
      <c r="Y468" s="7"/>
      <c r="Z468" s="7" t="s">
        <v>655</v>
      </c>
      <c r="AA468" s="7">
        <f>IF(AND(Hypothèses!$B$12=1,Z468="Secondary_Source"),0,1)</f>
        <v>1</v>
      </c>
    </row>
    <row r="469" spans="1:27" x14ac:dyDescent="0.3">
      <c r="A469" s="7" t="s">
        <v>793</v>
      </c>
      <c r="B469" s="7" t="s">
        <v>178</v>
      </c>
      <c r="C469" s="7" t="s">
        <v>211</v>
      </c>
      <c r="D469" s="7" t="s">
        <v>794</v>
      </c>
      <c r="E469" s="7" t="s">
        <v>245</v>
      </c>
      <c r="F469" s="7" t="s">
        <v>650</v>
      </c>
      <c r="G469" s="17"/>
      <c r="H469" s="17">
        <v>804</v>
      </c>
      <c r="I469" s="17"/>
      <c r="J469" s="7" t="s">
        <v>651</v>
      </c>
      <c r="K469" s="7">
        <v>2030</v>
      </c>
      <c r="L469" s="7" t="str">
        <f>IF(Y469&lt;&gt;"",Y469,IF(AND(K469&gt;=Hypothèses!$B$9,K469&lt;=Hypothèses!$B$10),"actuel",IF(K469=2030,"2030",IF(K469=2050,"2050","autre"))))</f>
        <v>2030</v>
      </c>
      <c r="M469" s="7" t="s">
        <v>668</v>
      </c>
      <c r="N469" s="7" t="s">
        <v>652</v>
      </c>
      <c r="O469" s="7"/>
      <c r="P469" s="7"/>
      <c r="Q469" s="7" t="s">
        <v>61</v>
      </c>
      <c r="R469" s="14">
        <f>INDEX(Hypothèses!$B$14:$B$22,MATCH(Q469,Hypothèses!$A$14:$A$22,0))</f>
        <v>1.3849600000000002</v>
      </c>
      <c r="S469" s="17" t="str">
        <f t="shared" si="21"/>
        <v/>
      </c>
      <c r="T469" s="17">
        <f t="shared" si="22"/>
        <v>1113.5078400000002</v>
      </c>
      <c r="U469" s="17" t="str">
        <f t="shared" si="23"/>
        <v/>
      </c>
      <c r="V469" s="7" t="s">
        <v>247</v>
      </c>
      <c r="W469" s="7" t="s">
        <v>84</v>
      </c>
      <c r="X469" s="7" t="s">
        <v>795</v>
      </c>
      <c r="Y469" s="7"/>
      <c r="Z469" s="7" t="s">
        <v>655</v>
      </c>
      <c r="AA469" s="7">
        <f>IF(AND(Hypothèses!$B$12=1,Z469="Secondary_Source"),0,1)</f>
        <v>1</v>
      </c>
    </row>
    <row r="470" spans="1:27" x14ac:dyDescent="0.3">
      <c r="A470" s="7" t="s">
        <v>796</v>
      </c>
      <c r="B470" s="7" t="s">
        <v>178</v>
      </c>
      <c r="C470" s="7" t="s">
        <v>211</v>
      </c>
      <c r="D470" s="7" t="s">
        <v>794</v>
      </c>
      <c r="E470" s="7" t="s">
        <v>245</v>
      </c>
      <c r="F470" s="7" t="s">
        <v>650</v>
      </c>
      <c r="G470" s="17"/>
      <c r="H470" s="17">
        <v>600</v>
      </c>
      <c r="I470" s="17"/>
      <c r="J470" s="7" t="s">
        <v>651</v>
      </c>
      <c r="K470" s="7">
        <v>2050</v>
      </c>
      <c r="L470" s="7" t="str">
        <f>IF(Y470&lt;&gt;"",Y470,IF(AND(K470&gt;=Hypothèses!$B$9,K470&lt;=Hypothèses!$B$10),"actuel",IF(K470=2030,"2030",IF(K470=2050,"2050","autre"))))</f>
        <v>2050</v>
      </c>
      <c r="M470" s="7" t="s">
        <v>668</v>
      </c>
      <c r="N470" s="7" t="s">
        <v>652</v>
      </c>
      <c r="O470" s="7"/>
      <c r="P470" s="7"/>
      <c r="Q470" s="7" t="s">
        <v>61</v>
      </c>
      <c r="R470" s="14">
        <f>INDEX(Hypothèses!$B$14:$B$22,MATCH(Q470,Hypothèses!$A$14:$A$22,0))</f>
        <v>1.3849600000000002</v>
      </c>
      <c r="S470" s="17" t="str">
        <f t="shared" si="21"/>
        <v/>
      </c>
      <c r="T470" s="17">
        <f t="shared" si="22"/>
        <v>830.97600000000011</v>
      </c>
      <c r="U470" s="17" t="str">
        <f t="shared" si="23"/>
        <v/>
      </c>
      <c r="V470" s="7" t="s">
        <v>247</v>
      </c>
      <c r="W470" s="7" t="s">
        <v>84</v>
      </c>
      <c r="X470" s="7" t="s">
        <v>795</v>
      </c>
      <c r="Y470" s="7"/>
      <c r="Z470" s="7" t="s">
        <v>655</v>
      </c>
      <c r="AA470" s="7">
        <f>IF(AND(Hypothèses!$B$12=1,Z470="Secondary_Source"),0,1)</f>
        <v>1</v>
      </c>
    </row>
    <row r="471" spans="1:27" x14ac:dyDescent="0.3">
      <c r="A471" s="7" t="s">
        <v>797</v>
      </c>
      <c r="B471" s="7" t="s">
        <v>178</v>
      </c>
      <c r="C471" s="7" t="s">
        <v>184</v>
      </c>
      <c r="D471" s="7" t="s">
        <v>794</v>
      </c>
      <c r="E471" s="7" t="s">
        <v>245</v>
      </c>
      <c r="F471" s="7" t="s">
        <v>650</v>
      </c>
      <c r="G471" s="17"/>
      <c r="H471" s="17">
        <v>700</v>
      </c>
      <c r="I471" s="17"/>
      <c r="J471" s="7" t="s">
        <v>651</v>
      </c>
      <c r="K471" s="7">
        <v>2030</v>
      </c>
      <c r="L471" s="7" t="str">
        <f>IF(Y471&lt;&gt;"",Y471,IF(AND(K471&gt;=Hypothèses!$B$9,K471&lt;=Hypothèses!$B$10),"actuel",IF(K471=2030,"2030",IF(K471=2050,"2050","autre"))))</f>
        <v>2030</v>
      </c>
      <c r="M471" s="7" t="s">
        <v>665</v>
      </c>
      <c r="N471" s="7" t="s">
        <v>652</v>
      </c>
      <c r="O471" s="7"/>
      <c r="P471" s="7"/>
      <c r="Q471" s="7" t="s">
        <v>57</v>
      </c>
      <c r="R471" s="14">
        <f>INDEX(Hypothèses!$B$14:$B$22,MATCH(Q471,Hypothèses!$A$14:$A$22,0))</f>
        <v>1.4282400000000002</v>
      </c>
      <c r="S471" s="17" t="str">
        <f t="shared" si="21"/>
        <v/>
      </c>
      <c r="T471" s="17">
        <f t="shared" si="22"/>
        <v>999.76800000000014</v>
      </c>
      <c r="U471" s="17" t="str">
        <f t="shared" si="23"/>
        <v/>
      </c>
      <c r="V471" s="7" t="s">
        <v>247</v>
      </c>
      <c r="W471" s="7" t="s">
        <v>84</v>
      </c>
      <c r="X471" s="7" t="s">
        <v>798</v>
      </c>
      <c r="Y471" s="7"/>
      <c r="Z471" s="7" t="s">
        <v>663</v>
      </c>
      <c r="AA471" s="7">
        <f>IF(AND(Hypothèses!$B$12=1,Z471="Secondary_Source"),0,1)</f>
        <v>1</v>
      </c>
    </row>
    <row r="472" spans="1:27" x14ac:dyDescent="0.3">
      <c r="A472" s="7" t="s">
        <v>799</v>
      </c>
      <c r="B472" s="7" t="s">
        <v>178</v>
      </c>
      <c r="C472" s="7" t="s">
        <v>160</v>
      </c>
      <c r="D472" s="7" t="s">
        <v>794</v>
      </c>
      <c r="E472" s="7" t="s">
        <v>245</v>
      </c>
      <c r="F472" s="7" t="s">
        <v>650</v>
      </c>
      <c r="G472" s="17"/>
      <c r="H472" s="17">
        <v>2380</v>
      </c>
      <c r="I472" s="17"/>
      <c r="J472" s="7" t="s">
        <v>651</v>
      </c>
      <c r="K472" s="7">
        <v>2020</v>
      </c>
      <c r="L472" s="7" t="str">
        <f>IF(Y472&lt;&gt;"",Y472,IF(AND(K472&gt;=Hypothèses!$B$9,K472&lt;=Hypothèses!$B$10),"actuel",IF(K472=2030,"2030",IF(K472=2050,"2050","autre"))))</f>
        <v>actuel</v>
      </c>
      <c r="M472" s="7"/>
      <c r="N472" s="7" t="s">
        <v>652</v>
      </c>
      <c r="O472" s="7"/>
      <c r="P472" s="7"/>
      <c r="Q472" s="7" t="s">
        <v>65</v>
      </c>
      <c r="R472" s="14">
        <f>INDEX(Hypothèses!$B$14:$B$22,MATCH(Q472,Hypothèses!$A$14:$A$22,0))</f>
        <v>1.3308600000000002</v>
      </c>
      <c r="S472" s="17" t="str">
        <f t="shared" si="21"/>
        <v/>
      </c>
      <c r="T472" s="17">
        <f t="shared" si="22"/>
        <v>3167.4468000000002</v>
      </c>
      <c r="U472" s="17" t="str">
        <f t="shared" si="23"/>
        <v/>
      </c>
      <c r="V472" s="7" t="s">
        <v>247</v>
      </c>
      <c r="W472" s="7" t="s">
        <v>84</v>
      </c>
      <c r="X472" s="7" t="s">
        <v>800</v>
      </c>
      <c r="Y472" s="7" t="s">
        <v>654</v>
      </c>
      <c r="Z472" s="7" t="s">
        <v>655</v>
      </c>
      <c r="AA472" s="7">
        <f>IF(AND(Hypothèses!$B$12=1,Z472="Secondary_Source"),0,1)</f>
        <v>1</v>
      </c>
    </row>
    <row r="473" spans="1:27" x14ac:dyDescent="0.3">
      <c r="A473" s="7" t="s">
        <v>801</v>
      </c>
      <c r="B473" s="7" t="s">
        <v>178</v>
      </c>
      <c r="C473" s="7" t="s">
        <v>160</v>
      </c>
      <c r="D473" s="7" t="s">
        <v>794</v>
      </c>
      <c r="E473" s="7" t="s">
        <v>245</v>
      </c>
      <c r="F473" s="7" t="s">
        <v>650</v>
      </c>
      <c r="G473" s="17"/>
      <c r="H473" s="17">
        <v>680</v>
      </c>
      <c r="I473" s="17"/>
      <c r="J473" s="7" t="s">
        <v>651</v>
      </c>
      <c r="K473" s="7">
        <v>2030</v>
      </c>
      <c r="L473" s="7" t="str">
        <f>IF(Y473&lt;&gt;"",Y473,IF(AND(K473&gt;=Hypothèses!$B$9,K473&lt;=Hypothèses!$B$10),"actuel",IF(K473=2030,"2030",IF(K473=2050,"2050","autre"))))</f>
        <v>2030</v>
      </c>
      <c r="M473" s="7"/>
      <c r="N473" s="7" t="s">
        <v>652</v>
      </c>
      <c r="O473" s="7"/>
      <c r="P473" s="7"/>
      <c r="Q473" s="7" t="s">
        <v>65</v>
      </c>
      <c r="R473" s="14">
        <f>INDEX(Hypothèses!$B$14:$B$22,MATCH(Q473,Hypothèses!$A$14:$A$22,0))</f>
        <v>1.3308600000000002</v>
      </c>
      <c r="S473" s="17" t="str">
        <f t="shared" si="21"/>
        <v/>
      </c>
      <c r="T473" s="17">
        <f t="shared" si="22"/>
        <v>904.98480000000006</v>
      </c>
      <c r="U473" s="17" t="str">
        <f t="shared" si="23"/>
        <v/>
      </c>
      <c r="V473" s="7" t="s">
        <v>247</v>
      </c>
      <c r="W473" s="7" t="s">
        <v>84</v>
      </c>
      <c r="X473" s="7" t="s">
        <v>800</v>
      </c>
      <c r="Y473" s="7"/>
      <c r="Z473" s="7" t="s">
        <v>655</v>
      </c>
      <c r="AA473" s="7">
        <f>IF(AND(Hypothèses!$B$12=1,Z473="Secondary_Source"),0,1)</f>
        <v>1</v>
      </c>
    </row>
    <row r="474" spans="1:27" x14ac:dyDescent="0.3">
      <c r="A474" s="7" t="s">
        <v>802</v>
      </c>
      <c r="B474" s="7" t="s">
        <v>178</v>
      </c>
      <c r="C474" s="7" t="s">
        <v>160</v>
      </c>
      <c r="D474" s="7" t="s">
        <v>794</v>
      </c>
      <c r="E474" s="7" t="s">
        <v>245</v>
      </c>
      <c r="F474" s="7" t="s">
        <v>650</v>
      </c>
      <c r="G474" s="17"/>
      <c r="H474" s="17">
        <v>425</v>
      </c>
      <c r="I474" s="17"/>
      <c r="J474" s="7" t="s">
        <v>651</v>
      </c>
      <c r="K474" s="7">
        <v>2050</v>
      </c>
      <c r="L474" s="7" t="str">
        <f>IF(Y474&lt;&gt;"",Y474,IF(AND(K474&gt;=Hypothèses!$B$9,K474&lt;=Hypothèses!$B$10),"actuel",IF(K474=2030,"2030",IF(K474=2050,"2050","autre"))))</f>
        <v>2050</v>
      </c>
      <c r="M474" s="7"/>
      <c r="N474" s="7" t="s">
        <v>652</v>
      </c>
      <c r="O474" s="7"/>
      <c r="P474" s="7"/>
      <c r="Q474" s="7" t="s">
        <v>65</v>
      </c>
      <c r="R474" s="14">
        <f>INDEX(Hypothèses!$B$14:$B$22,MATCH(Q474,Hypothèses!$A$14:$A$22,0))</f>
        <v>1.3308600000000002</v>
      </c>
      <c r="S474" s="17" t="str">
        <f t="shared" si="21"/>
        <v/>
      </c>
      <c r="T474" s="17">
        <f t="shared" si="22"/>
        <v>565.61550000000011</v>
      </c>
      <c r="U474" s="17" t="str">
        <f t="shared" si="23"/>
        <v/>
      </c>
      <c r="V474" s="7" t="s">
        <v>247</v>
      </c>
      <c r="W474" s="7" t="s">
        <v>84</v>
      </c>
      <c r="X474" s="7" t="s">
        <v>800</v>
      </c>
      <c r="Y474" s="7"/>
      <c r="Z474" s="7" t="s">
        <v>655</v>
      </c>
      <c r="AA474" s="7">
        <f>IF(AND(Hypothèses!$B$12=1,Z474="Secondary_Source"),0,1)</f>
        <v>1</v>
      </c>
    </row>
    <row r="475" spans="1:27" x14ac:dyDescent="0.3">
      <c r="A475" s="7" t="s">
        <v>803</v>
      </c>
      <c r="B475" s="7" t="s">
        <v>178</v>
      </c>
      <c r="C475" s="7" t="s">
        <v>189</v>
      </c>
      <c r="D475" s="7" t="s">
        <v>794</v>
      </c>
      <c r="E475" s="7" t="s">
        <v>245</v>
      </c>
      <c r="F475" s="7" t="s">
        <v>650</v>
      </c>
      <c r="G475" s="17"/>
      <c r="H475" s="17">
        <v>1410</v>
      </c>
      <c r="I475" s="17"/>
      <c r="J475" s="7" t="s">
        <v>651</v>
      </c>
      <c r="K475" s="7">
        <v>2017</v>
      </c>
      <c r="L475" s="7" t="str">
        <f>IF(Y475&lt;&gt;"",Y475,IF(AND(K475&gt;=Hypothèses!$B$9,K475&lt;=Hypothèses!$B$10),"actuel",IF(K475=2030,"2030",IF(K475=2050,"2050","autre"))))</f>
        <v>actuel</v>
      </c>
      <c r="M475" s="7" t="s">
        <v>668</v>
      </c>
      <c r="N475" s="7" t="s">
        <v>652</v>
      </c>
      <c r="O475" s="7"/>
      <c r="P475" s="7"/>
      <c r="Q475" s="7" t="s">
        <v>63</v>
      </c>
      <c r="R475" s="14">
        <f>INDEX(Hypothèses!$B$14:$B$22,MATCH(Q475,Hypothèses!$A$14:$A$22,0))</f>
        <v>1.3525</v>
      </c>
      <c r="S475" s="17" t="str">
        <f t="shared" si="21"/>
        <v/>
      </c>
      <c r="T475" s="17">
        <f t="shared" si="22"/>
        <v>1907.0250000000001</v>
      </c>
      <c r="U475" s="17" t="str">
        <f t="shared" si="23"/>
        <v/>
      </c>
      <c r="V475" s="7" t="s">
        <v>247</v>
      </c>
      <c r="W475" s="7" t="s">
        <v>84</v>
      </c>
      <c r="X475" s="7" t="s">
        <v>804</v>
      </c>
      <c r="Y475" s="7" t="s">
        <v>654</v>
      </c>
      <c r="Z475" s="7" t="s">
        <v>655</v>
      </c>
      <c r="AA475" s="7">
        <f>IF(AND(Hypothèses!$B$12=1,Z475="Secondary_Source"),0,1)</f>
        <v>1</v>
      </c>
    </row>
    <row r="476" spans="1:27" x14ac:dyDescent="0.3">
      <c r="A476" s="7" t="s">
        <v>805</v>
      </c>
      <c r="B476" s="7" t="s">
        <v>178</v>
      </c>
      <c r="C476" s="7" t="s">
        <v>189</v>
      </c>
      <c r="D476" s="7" t="s">
        <v>794</v>
      </c>
      <c r="E476" s="7" t="s">
        <v>245</v>
      </c>
      <c r="F476" s="7" t="s">
        <v>650</v>
      </c>
      <c r="G476" s="17"/>
      <c r="H476" s="17">
        <v>800</v>
      </c>
      <c r="I476" s="17"/>
      <c r="J476" s="7" t="s">
        <v>651</v>
      </c>
      <c r="K476" s="7">
        <v>2030</v>
      </c>
      <c r="L476" s="7" t="str">
        <f>IF(Y476&lt;&gt;"",Y476,IF(AND(K476&gt;=Hypothèses!$B$9,K476&lt;=Hypothèses!$B$10),"actuel",IF(K476=2030,"2030",IF(K476=2050,"2050","autre"))))</f>
        <v>2030</v>
      </c>
      <c r="M476" s="7" t="s">
        <v>668</v>
      </c>
      <c r="N476" s="7" t="s">
        <v>652</v>
      </c>
      <c r="O476" s="7"/>
      <c r="P476" s="7"/>
      <c r="Q476" s="7" t="s">
        <v>63</v>
      </c>
      <c r="R476" s="14">
        <f>INDEX(Hypothèses!$B$14:$B$22,MATCH(Q476,Hypothèses!$A$14:$A$22,0))</f>
        <v>1.3525</v>
      </c>
      <c r="S476" s="17" t="str">
        <f t="shared" si="21"/>
        <v/>
      </c>
      <c r="T476" s="17">
        <f t="shared" si="22"/>
        <v>1082</v>
      </c>
      <c r="U476" s="17" t="str">
        <f t="shared" si="23"/>
        <v/>
      </c>
      <c r="V476" s="7" t="s">
        <v>247</v>
      </c>
      <c r="W476" s="7" t="s">
        <v>84</v>
      </c>
      <c r="X476" s="7" t="s">
        <v>804</v>
      </c>
      <c r="Y476" s="7"/>
      <c r="Z476" s="7" t="s">
        <v>655</v>
      </c>
      <c r="AA476" s="7">
        <f>IF(AND(Hypothèses!$B$12=1,Z476="Secondary_Source"),0,1)</f>
        <v>1</v>
      </c>
    </row>
    <row r="477" spans="1:27" x14ac:dyDescent="0.3">
      <c r="A477" s="7" t="s">
        <v>806</v>
      </c>
      <c r="B477" s="7" t="s">
        <v>178</v>
      </c>
      <c r="C477" s="7" t="s">
        <v>189</v>
      </c>
      <c r="D477" s="7" t="s">
        <v>794</v>
      </c>
      <c r="E477" s="7" t="s">
        <v>245</v>
      </c>
      <c r="F477" s="7" t="s">
        <v>650</v>
      </c>
      <c r="G477" s="17"/>
      <c r="H477" s="17">
        <v>550</v>
      </c>
      <c r="I477" s="17"/>
      <c r="J477" s="7" t="s">
        <v>651</v>
      </c>
      <c r="K477" s="7">
        <v>2050</v>
      </c>
      <c r="L477" s="7" t="str">
        <f>IF(Y477&lt;&gt;"",Y477,IF(AND(K477&gt;=Hypothèses!$B$9,K477&lt;=Hypothèses!$B$10),"actuel",IF(K477=2030,"2030",IF(K477=2050,"2050","autre"))))</f>
        <v>2050</v>
      </c>
      <c r="M477" s="7" t="s">
        <v>668</v>
      </c>
      <c r="N477" s="7" t="s">
        <v>652</v>
      </c>
      <c r="O477" s="7"/>
      <c r="P477" s="7"/>
      <c r="Q477" s="7" t="s">
        <v>63</v>
      </c>
      <c r="R477" s="14">
        <f>INDEX(Hypothèses!$B$14:$B$22,MATCH(Q477,Hypothèses!$A$14:$A$22,0))</f>
        <v>1.3525</v>
      </c>
      <c r="S477" s="17" t="str">
        <f t="shared" si="21"/>
        <v/>
      </c>
      <c r="T477" s="17">
        <f t="shared" si="22"/>
        <v>743.875</v>
      </c>
      <c r="U477" s="17" t="str">
        <f t="shared" si="23"/>
        <v/>
      </c>
      <c r="V477" s="7" t="s">
        <v>247</v>
      </c>
      <c r="W477" s="7" t="s">
        <v>84</v>
      </c>
      <c r="X477" s="7" t="s">
        <v>807</v>
      </c>
      <c r="Y477" s="7"/>
      <c r="Z477" s="7" t="s">
        <v>687</v>
      </c>
      <c r="AA477" s="7">
        <f>IF(AND(Hypothèses!$B$12=1,Z477="Secondary_Source"),0,1)</f>
        <v>0</v>
      </c>
    </row>
    <row r="478" spans="1:27" x14ac:dyDescent="0.3">
      <c r="A478" s="7" t="s">
        <v>808</v>
      </c>
      <c r="B478" s="7" t="s">
        <v>178</v>
      </c>
      <c r="C478" s="7" t="s">
        <v>213</v>
      </c>
      <c r="D478" s="7" t="s">
        <v>794</v>
      </c>
      <c r="E478" s="7" t="s">
        <v>245</v>
      </c>
      <c r="F478" s="7" t="s">
        <v>650</v>
      </c>
      <c r="G478" s="17"/>
      <c r="H478" s="17">
        <v>2500</v>
      </c>
      <c r="I478" s="17"/>
      <c r="J478" s="7" t="s">
        <v>651</v>
      </c>
      <c r="K478" s="7">
        <v>2020</v>
      </c>
      <c r="L478" s="7" t="str">
        <f>IF(Y478&lt;&gt;"",Y478,IF(AND(K478&gt;=Hypothèses!$B$9,K478&lt;=Hypothèses!$B$10),"actuel",IF(K478=2030,"2030",IF(K478=2050,"2050","autre"))))</f>
        <v>actuel</v>
      </c>
      <c r="M478" s="7"/>
      <c r="N478" s="7" t="s">
        <v>652</v>
      </c>
      <c r="O478" s="7"/>
      <c r="P478" s="7"/>
      <c r="Q478" s="7" t="s">
        <v>61</v>
      </c>
      <c r="R478" s="14">
        <f>INDEX(Hypothèses!$B$14:$B$22,MATCH(Q478,Hypothèses!$A$14:$A$22,0))</f>
        <v>1.3849600000000002</v>
      </c>
      <c r="S478" s="17" t="str">
        <f t="shared" si="21"/>
        <v/>
      </c>
      <c r="T478" s="17">
        <f t="shared" si="22"/>
        <v>3462.4000000000005</v>
      </c>
      <c r="U478" s="17" t="str">
        <f t="shared" si="23"/>
        <v/>
      </c>
      <c r="V478" s="7" t="s">
        <v>247</v>
      </c>
      <c r="W478" s="7" t="s">
        <v>84</v>
      </c>
      <c r="X478" s="7" t="s">
        <v>809</v>
      </c>
      <c r="Y478" s="7" t="s">
        <v>654</v>
      </c>
      <c r="Z478" s="7" t="s">
        <v>655</v>
      </c>
      <c r="AA478" s="7">
        <f>IF(AND(Hypothèses!$B$12=1,Z478="Secondary_Source"),0,1)</f>
        <v>1</v>
      </c>
    </row>
    <row r="479" spans="1:27" x14ac:dyDescent="0.3">
      <c r="A479" s="7" t="s">
        <v>810</v>
      </c>
      <c r="B479" s="7" t="s">
        <v>178</v>
      </c>
      <c r="C479" s="7" t="s">
        <v>213</v>
      </c>
      <c r="D479" s="7" t="s">
        <v>794</v>
      </c>
      <c r="E479" s="7" t="s">
        <v>245</v>
      </c>
      <c r="F479" s="7" t="s">
        <v>650</v>
      </c>
      <c r="G479" s="17"/>
      <c r="H479" s="17">
        <v>1600</v>
      </c>
      <c r="I479" s="17"/>
      <c r="J479" s="7" t="s">
        <v>651</v>
      </c>
      <c r="K479" s="7">
        <v>2030</v>
      </c>
      <c r="L479" s="7" t="str">
        <f>IF(Y479&lt;&gt;"",Y479,IF(AND(K479&gt;=Hypothèses!$B$9,K479&lt;=Hypothèses!$B$10),"actuel",IF(K479=2030,"2030",IF(K479=2050,"2050","autre"))))</f>
        <v>2030</v>
      </c>
      <c r="M479" s="7"/>
      <c r="N479" s="7" t="s">
        <v>652</v>
      </c>
      <c r="O479" s="7"/>
      <c r="P479" s="7"/>
      <c r="Q479" s="7" t="s">
        <v>61</v>
      </c>
      <c r="R479" s="14">
        <f>INDEX(Hypothèses!$B$14:$B$22,MATCH(Q479,Hypothèses!$A$14:$A$22,0))</f>
        <v>1.3849600000000002</v>
      </c>
      <c r="S479" s="17" t="str">
        <f t="shared" si="21"/>
        <v/>
      </c>
      <c r="T479" s="17">
        <f t="shared" si="22"/>
        <v>2215.9360000000001</v>
      </c>
      <c r="U479" s="17" t="str">
        <f t="shared" si="23"/>
        <v/>
      </c>
      <c r="V479" s="7" t="s">
        <v>247</v>
      </c>
      <c r="W479" s="7" t="s">
        <v>84</v>
      </c>
      <c r="X479" s="7" t="s">
        <v>809</v>
      </c>
      <c r="Y479" s="7"/>
      <c r="Z479" s="7" t="s">
        <v>655</v>
      </c>
      <c r="AA479" s="7">
        <f>IF(AND(Hypothèses!$B$12=1,Z479="Secondary_Source"),0,1)</f>
        <v>1</v>
      </c>
    </row>
    <row r="480" spans="1:27" x14ac:dyDescent="0.3">
      <c r="A480" s="7" t="s">
        <v>811</v>
      </c>
      <c r="B480" s="7" t="s">
        <v>178</v>
      </c>
      <c r="C480" s="7" t="s">
        <v>211</v>
      </c>
      <c r="D480" s="7" t="s">
        <v>794</v>
      </c>
      <c r="E480" s="7" t="s">
        <v>705</v>
      </c>
      <c r="F480" s="7" t="s">
        <v>650</v>
      </c>
      <c r="G480" s="17"/>
      <c r="H480" s="17">
        <v>84</v>
      </c>
      <c r="I480" s="17"/>
      <c r="J480" s="7" t="s">
        <v>706</v>
      </c>
      <c r="K480" s="7">
        <v>2030</v>
      </c>
      <c r="L480" s="7" t="str">
        <f>IF(Y480&lt;&gt;"",Y480,IF(AND(K480&gt;=Hypothèses!$B$9,K480&lt;=Hypothèses!$B$10),"actuel",IF(K480=2030,"2030",IF(K480=2050,"2050","autre"))))</f>
        <v>2030</v>
      </c>
      <c r="M480" s="7" t="s">
        <v>668</v>
      </c>
      <c r="N480" s="7" t="s">
        <v>652</v>
      </c>
      <c r="O480" s="7" t="s">
        <v>714</v>
      </c>
      <c r="P480" s="7"/>
      <c r="Q480" s="7" t="s">
        <v>55</v>
      </c>
      <c r="R480" s="14">
        <f>INDEX(Hypothèses!$B$14:$B$22,MATCH(Q480,Hypothèses!$A$14:$A$22,0))</f>
        <v>1</v>
      </c>
      <c r="S480" s="17" t="str">
        <f t="shared" si="21"/>
        <v/>
      </c>
      <c r="T480" s="17">
        <f t="shared" si="22"/>
        <v>84</v>
      </c>
      <c r="U480" s="17" t="str">
        <f t="shared" si="23"/>
        <v/>
      </c>
      <c r="V480" s="7" t="s">
        <v>706</v>
      </c>
      <c r="W480" s="7" t="s">
        <v>84</v>
      </c>
      <c r="X480" s="7" t="s">
        <v>812</v>
      </c>
      <c r="Y480" s="7"/>
      <c r="Z480" s="7" t="s">
        <v>655</v>
      </c>
      <c r="AA480" s="7">
        <f>IF(AND(Hypothèses!$B$12=1,Z480="Secondary_Source"),0,1)</f>
        <v>1</v>
      </c>
    </row>
    <row r="481" spans="1:27" x14ac:dyDescent="0.3">
      <c r="A481" s="7" t="s">
        <v>813</v>
      </c>
      <c r="B481" s="7" t="s">
        <v>178</v>
      </c>
      <c r="C481" s="7" t="s">
        <v>211</v>
      </c>
      <c r="D481" s="7" t="s">
        <v>794</v>
      </c>
      <c r="E481" s="7" t="s">
        <v>705</v>
      </c>
      <c r="F481" s="7" t="s">
        <v>650</v>
      </c>
      <c r="G481" s="17"/>
      <c r="H481" s="17">
        <v>90</v>
      </c>
      <c r="I481" s="17"/>
      <c r="J481" s="7" t="s">
        <v>706</v>
      </c>
      <c r="K481" s="7">
        <v>2050</v>
      </c>
      <c r="L481" s="7" t="str">
        <f>IF(Y481&lt;&gt;"",Y481,IF(AND(K481&gt;=Hypothèses!$B$9,K481&lt;=Hypothèses!$B$10),"actuel",IF(K481=2030,"2030",IF(K481=2050,"2050","autre"))))</f>
        <v>2050</v>
      </c>
      <c r="M481" s="7" t="s">
        <v>668</v>
      </c>
      <c r="N481" s="7" t="s">
        <v>652</v>
      </c>
      <c r="O481" s="7" t="s">
        <v>714</v>
      </c>
      <c r="P481" s="7"/>
      <c r="Q481" s="7" t="s">
        <v>55</v>
      </c>
      <c r="R481" s="14">
        <f>INDEX(Hypothèses!$B$14:$B$22,MATCH(Q481,Hypothèses!$A$14:$A$22,0))</f>
        <v>1</v>
      </c>
      <c r="S481" s="17" t="str">
        <f t="shared" si="21"/>
        <v/>
      </c>
      <c r="T481" s="17">
        <f t="shared" si="22"/>
        <v>90</v>
      </c>
      <c r="U481" s="17" t="str">
        <f t="shared" si="23"/>
        <v/>
      </c>
      <c r="V481" s="7" t="s">
        <v>706</v>
      </c>
      <c r="W481" s="7" t="s">
        <v>84</v>
      </c>
      <c r="X481" s="7" t="s">
        <v>812</v>
      </c>
      <c r="Y481" s="7"/>
      <c r="Z481" s="7" t="s">
        <v>655</v>
      </c>
      <c r="AA481" s="7">
        <f>IF(AND(Hypothèses!$B$12=1,Z481="Secondary_Source"),0,1)</f>
        <v>1</v>
      </c>
    </row>
    <row r="482" spans="1:27" x14ac:dyDescent="0.3">
      <c r="A482" s="7" t="s">
        <v>814</v>
      </c>
      <c r="B482" s="7" t="s">
        <v>178</v>
      </c>
      <c r="C482" s="7" t="s">
        <v>184</v>
      </c>
      <c r="D482" s="7" t="s">
        <v>794</v>
      </c>
      <c r="E482" s="7" t="s">
        <v>705</v>
      </c>
      <c r="F482" s="7" t="s">
        <v>650</v>
      </c>
      <c r="G482" s="17"/>
      <c r="H482" s="17">
        <v>81</v>
      </c>
      <c r="I482" s="17"/>
      <c r="J482" s="7" t="s">
        <v>706</v>
      </c>
      <c r="K482" s="7">
        <v>2030</v>
      </c>
      <c r="L482" s="7" t="str">
        <f>IF(Y482&lt;&gt;"",Y482,IF(AND(K482&gt;=Hypothèses!$B$9,K482&lt;=Hypothèses!$B$10),"actuel",IF(K482=2030,"2030",IF(K482=2050,"2050","autre"))))</f>
        <v>2030</v>
      </c>
      <c r="M482" s="7" t="s">
        <v>665</v>
      </c>
      <c r="N482" s="7" t="s">
        <v>652</v>
      </c>
      <c r="O482" s="7" t="s">
        <v>714</v>
      </c>
      <c r="P482" s="7"/>
      <c r="Q482" s="7" t="s">
        <v>55</v>
      </c>
      <c r="R482" s="14">
        <f>INDEX(Hypothèses!$B$14:$B$22,MATCH(Q482,Hypothèses!$A$14:$A$22,0))</f>
        <v>1</v>
      </c>
      <c r="S482" s="17" t="str">
        <f t="shared" si="21"/>
        <v/>
      </c>
      <c r="T482" s="17">
        <f t="shared" si="22"/>
        <v>81</v>
      </c>
      <c r="U482" s="17" t="str">
        <f t="shared" si="23"/>
        <v/>
      </c>
      <c r="V482" s="7" t="s">
        <v>706</v>
      </c>
      <c r="W482" s="7" t="s">
        <v>84</v>
      </c>
      <c r="X482" s="7" t="s">
        <v>815</v>
      </c>
      <c r="Y482" s="7"/>
      <c r="Z482" s="7" t="s">
        <v>663</v>
      </c>
      <c r="AA482" s="7">
        <f>IF(AND(Hypothèses!$B$12=1,Z482="Secondary_Source"),0,1)</f>
        <v>1</v>
      </c>
    </row>
    <row r="483" spans="1:27" x14ac:dyDescent="0.3">
      <c r="A483" s="7" t="s">
        <v>816</v>
      </c>
      <c r="B483" s="7" t="s">
        <v>178</v>
      </c>
      <c r="C483" s="7" t="s">
        <v>189</v>
      </c>
      <c r="D483" s="7" t="s">
        <v>794</v>
      </c>
      <c r="E483" s="7" t="s">
        <v>705</v>
      </c>
      <c r="F483" s="7" t="s">
        <v>650</v>
      </c>
      <c r="G483" s="17"/>
      <c r="H483" s="17">
        <v>81</v>
      </c>
      <c r="I483" s="17"/>
      <c r="J483" s="7" t="s">
        <v>706</v>
      </c>
      <c r="K483" s="7">
        <v>2017</v>
      </c>
      <c r="L483" s="7" t="str">
        <f>IF(Y483&lt;&gt;"",Y483,IF(AND(K483&gt;=Hypothèses!$B$9,K483&lt;=Hypothèses!$B$10),"actuel",IF(K483=2030,"2030",IF(K483=2050,"2050","autre"))))</f>
        <v>actuel</v>
      </c>
      <c r="M483" s="7" t="s">
        <v>668</v>
      </c>
      <c r="N483" s="7" t="s">
        <v>652</v>
      </c>
      <c r="O483" s="7" t="s">
        <v>714</v>
      </c>
      <c r="P483" s="7"/>
      <c r="Q483" s="7" t="s">
        <v>55</v>
      </c>
      <c r="R483" s="14">
        <f>INDEX(Hypothèses!$B$14:$B$22,MATCH(Q483,Hypothèses!$A$14:$A$22,0))</f>
        <v>1</v>
      </c>
      <c r="S483" s="17" t="str">
        <f t="shared" si="21"/>
        <v/>
      </c>
      <c r="T483" s="17">
        <f t="shared" si="22"/>
        <v>81</v>
      </c>
      <c r="U483" s="17" t="str">
        <f t="shared" si="23"/>
        <v/>
      </c>
      <c r="V483" s="7" t="s">
        <v>706</v>
      </c>
      <c r="W483" s="7" t="s">
        <v>84</v>
      </c>
      <c r="X483" s="7" t="s">
        <v>812</v>
      </c>
      <c r="Y483" s="7" t="s">
        <v>654</v>
      </c>
      <c r="Z483" s="7" t="s">
        <v>655</v>
      </c>
      <c r="AA483" s="7">
        <f>IF(AND(Hypothèses!$B$12=1,Z483="Secondary_Source"),0,1)</f>
        <v>1</v>
      </c>
    </row>
    <row r="484" spans="1:27" x14ac:dyDescent="0.3">
      <c r="A484" s="7" t="s">
        <v>817</v>
      </c>
      <c r="B484" s="7" t="s">
        <v>178</v>
      </c>
      <c r="C484" s="7" t="s">
        <v>189</v>
      </c>
      <c r="D484" s="7" t="s">
        <v>794</v>
      </c>
      <c r="E484" s="7" t="s">
        <v>705</v>
      </c>
      <c r="F484" s="7" t="s">
        <v>650</v>
      </c>
      <c r="G484" s="17"/>
      <c r="H484" s="17">
        <v>84.4</v>
      </c>
      <c r="I484" s="17"/>
      <c r="J484" s="7" t="s">
        <v>706</v>
      </c>
      <c r="K484" s="7">
        <v>2030</v>
      </c>
      <c r="L484" s="7" t="str">
        <f>IF(Y484&lt;&gt;"",Y484,IF(AND(K484&gt;=Hypothèses!$B$9,K484&lt;=Hypothèses!$B$10),"actuel",IF(K484=2030,"2030",IF(K484=2050,"2050","autre"))))</f>
        <v>2030</v>
      </c>
      <c r="M484" s="7" t="s">
        <v>668</v>
      </c>
      <c r="N484" s="7" t="s">
        <v>652</v>
      </c>
      <c r="O484" s="7" t="s">
        <v>714</v>
      </c>
      <c r="P484" s="7"/>
      <c r="Q484" s="7" t="s">
        <v>55</v>
      </c>
      <c r="R484" s="14">
        <f>INDEX(Hypothèses!$B$14:$B$22,MATCH(Q484,Hypothèses!$A$14:$A$22,0))</f>
        <v>1</v>
      </c>
      <c r="S484" s="17" t="str">
        <f t="shared" si="21"/>
        <v/>
      </c>
      <c r="T484" s="17">
        <f t="shared" si="22"/>
        <v>84.4</v>
      </c>
      <c r="U484" s="17" t="str">
        <f t="shared" si="23"/>
        <v/>
      </c>
      <c r="V484" s="7" t="s">
        <v>706</v>
      </c>
      <c r="W484" s="7" t="s">
        <v>84</v>
      </c>
      <c r="X484" s="7" t="s">
        <v>812</v>
      </c>
      <c r="Y484" s="7"/>
      <c r="Z484" s="7" t="s">
        <v>655</v>
      </c>
      <c r="AA484" s="7">
        <f>IF(AND(Hypothèses!$B$12=1,Z484="Secondary_Source"),0,1)</f>
        <v>1</v>
      </c>
    </row>
    <row r="485" spans="1:27" x14ac:dyDescent="0.3">
      <c r="A485" s="7" t="s">
        <v>818</v>
      </c>
      <c r="B485" s="7" t="s">
        <v>178</v>
      </c>
      <c r="C485" s="7" t="s">
        <v>189</v>
      </c>
      <c r="D485" s="7" t="s">
        <v>794</v>
      </c>
      <c r="E485" s="7" t="s">
        <v>705</v>
      </c>
      <c r="F485" s="7" t="s">
        <v>650</v>
      </c>
      <c r="G485" s="17"/>
      <c r="H485" s="17">
        <v>88.1</v>
      </c>
      <c r="I485" s="17"/>
      <c r="J485" s="7" t="s">
        <v>706</v>
      </c>
      <c r="K485" s="7">
        <v>2050</v>
      </c>
      <c r="L485" s="7" t="str">
        <f>IF(Y485&lt;&gt;"",Y485,IF(AND(K485&gt;=Hypothèses!$B$9,K485&lt;=Hypothèses!$B$10),"actuel",IF(K485=2030,"2030",IF(K485=2050,"2050","autre"))))</f>
        <v>2050</v>
      </c>
      <c r="M485" s="7" t="s">
        <v>668</v>
      </c>
      <c r="N485" s="7" t="s">
        <v>652</v>
      </c>
      <c r="O485" s="7" t="s">
        <v>714</v>
      </c>
      <c r="P485" s="7"/>
      <c r="Q485" s="7" t="s">
        <v>55</v>
      </c>
      <c r="R485" s="14">
        <f>INDEX(Hypothèses!$B$14:$B$22,MATCH(Q485,Hypothèses!$A$14:$A$22,0))</f>
        <v>1</v>
      </c>
      <c r="S485" s="17" t="str">
        <f t="shared" si="21"/>
        <v/>
      </c>
      <c r="T485" s="17">
        <f t="shared" si="22"/>
        <v>88.1</v>
      </c>
      <c r="U485" s="17" t="str">
        <f t="shared" si="23"/>
        <v/>
      </c>
      <c r="V485" s="7" t="s">
        <v>706</v>
      </c>
      <c r="W485" s="7" t="s">
        <v>84</v>
      </c>
      <c r="X485" s="7" t="s">
        <v>819</v>
      </c>
      <c r="Y485" s="7"/>
      <c r="Z485" s="7" t="s">
        <v>687</v>
      </c>
      <c r="AA485" s="7">
        <f>IF(AND(Hypothèses!$B$12=1,Z485="Secondary_Source"),0,1)</f>
        <v>0</v>
      </c>
    </row>
    <row r="486" spans="1:27" x14ac:dyDescent="0.3">
      <c r="A486" s="7" t="s">
        <v>820</v>
      </c>
      <c r="B486" s="7" t="s">
        <v>178</v>
      </c>
      <c r="C486" s="7" t="s">
        <v>218</v>
      </c>
      <c r="D486" s="7" t="s">
        <v>794</v>
      </c>
      <c r="E486" s="7" t="s">
        <v>705</v>
      </c>
      <c r="F486" s="7" t="s">
        <v>650</v>
      </c>
      <c r="G486" s="17"/>
      <c r="H486" s="17">
        <v>83</v>
      </c>
      <c r="I486" s="17"/>
      <c r="J486" s="7" t="s">
        <v>706</v>
      </c>
      <c r="K486" s="7">
        <v>2018</v>
      </c>
      <c r="L486" s="7" t="str">
        <f>IF(Y486&lt;&gt;"",Y486,IF(AND(K486&gt;=Hypothèses!$B$9,K486&lt;=Hypothèses!$B$10),"actuel",IF(K486=2030,"2030",IF(K486=2050,"2050","autre"))))</f>
        <v>actuel</v>
      </c>
      <c r="M486" s="7"/>
      <c r="N486" s="7" t="s">
        <v>652</v>
      </c>
      <c r="O486" s="7" t="s">
        <v>714</v>
      </c>
      <c r="P486" s="7"/>
      <c r="Q486" s="7" t="s">
        <v>55</v>
      </c>
      <c r="R486" s="14">
        <f>INDEX(Hypothèses!$B$14:$B$22,MATCH(Q486,Hypothèses!$A$14:$A$22,0))</f>
        <v>1</v>
      </c>
      <c r="S486" s="17" t="str">
        <f t="shared" si="21"/>
        <v/>
      </c>
      <c r="T486" s="17">
        <f t="shared" si="22"/>
        <v>83</v>
      </c>
      <c r="U486" s="17" t="str">
        <f t="shared" si="23"/>
        <v/>
      </c>
      <c r="V486" s="7" t="s">
        <v>706</v>
      </c>
      <c r="W486" s="7" t="s">
        <v>84</v>
      </c>
      <c r="X486" s="7" t="s">
        <v>821</v>
      </c>
      <c r="Y486" s="7" t="s">
        <v>654</v>
      </c>
      <c r="Z486" s="7" t="s">
        <v>663</v>
      </c>
      <c r="AA486" s="7">
        <f>IF(AND(Hypothèses!$B$12=1,Z486="Secondary_Source"),0,1)</f>
        <v>1</v>
      </c>
    </row>
    <row r="487" spans="1:27" x14ac:dyDescent="0.3">
      <c r="A487" s="7" t="s">
        <v>822</v>
      </c>
      <c r="B487" s="7" t="s">
        <v>153</v>
      </c>
      <c r="C487" s="7" t="s">
        <v>152</v>
      </c>
      <c r="D487" s="7" t="s">
        <v>244</v>
      </c>
      <c r="E487" s="7" t="s">
        <v>245</v>
      </c>
      <c r="F487" s="7" t="s">
        <v>823</v>
      </c>
      <c r="G487" s="17"/>
      <c r="H487" s="17">
        <v>1830.42130044136</v>
      </c>
      <c r="I487" s="17"/>
      <c r="J487" s="7" t="s">
        <v>651</v>
      </c>
      <c r="K487" s="7">
        <v>2003</v>
      </c>
      <c r="L487" s="7" t="str">
        <f>IF(Y487&lt;&gt;"",Y487,IF(AND(K487&gt;=Hypothèses!$B$9,K487&lt;=Hypothèses!$B$10),"actuel",IF(K487=2030,"2030",IF(K487=2050,"2050","autre"))))</f>
        <v>autre</v>
      </c>
      <c r="M487" s="7"/>
      <c r="N487" s="7" t="s">
        <v>652</v>
      </c>
      <c r="O487" s="7"/>
      <c r="P487" s="7" t="s">
        <v>282</v>
      </c>
      <c r="Q487" s="7" t="s">
        <v>51</v>
      </c>
      <c r="R487" s="14">
        <f>INDEX(Hypothèses!$B$14:$B$22,MATCH(Q487,Hypothèses!$A$14:$A$22,0))</f>
        <v>1.3525</v>
      </c>
      <c r="S487" s="17" t="str">
        <f t="shared" si="21"/>
        <v/>
      </c>
      <c r="T487" s="17">
        <f t="shared" si="22"/>
        <v>2475.6448088469397</v>
      </c>
      <c r="U487" s="17" t="str">
        <f t="shared" si="23"/>
        <v/>
      </c>
      <c r="V487" s="7" t="s">
        <v>247</v>
      </c>
      <c r="W487" s="7" t="s">
        <v>84</v>
      </c>
      <c r="X487" s="7" t="s">
        <v>824</v>
      </c>
      <c r="Y487" s="7"/>
      <c r="Z487" s="7"/>
      <c r="AA487" s="7">
        <f>IF(AND(Hypothèses!$B$12=1,Z487="Secondary_Source"),0,1)</f>
        <v>1</v>
      </c>
    </row>
    <row r="488" spans="1:27" x14ac:dyDescent="0.3">
      <c r="A488" s="7" t="s">
        <v>825</v>
      </c>
      <c r="B488" s="7" t="s">
        <v>153</v>
      </c>
      <c r="C488" s="7" t="s">
        <v>152</v>
      </c>
      <c r="D488" s="7" t="s">
        <v>244</v>
      </c>
      <c r="E488" s="7" t="s">
        <v>245</v>
      </c>
      <c r="F488" s="7" t="s">
        <v>823</v>
      </c>
      <c r="G488" s="17"/>
      <c r="H488" s="17">
        <v>1131.44322618602</v>
      </c>
      <c r="I488" s="17"/>
      <c r="J488" s="7" t="s">
        <v>651</v>
      </c>
      <c r="K488" s="7">
        <v>2004</v>
      </c>
      <c r="L488" s="7" t="str">
        <f>IF(Y488&lt;&gt;"",Y488,IF(AND(K488&gt;=Hypothèses!$B$9,K488&lt;=Hypothèses!$B$10),"actuel",IF(K488=2030,"2030",IF(K488=2050,"2050","autre"))))</f>
        <v>autre</v>
      </c>
      <c r="M488" s="7"/>
      <c r="N488" s="7" t="s">
        <v>652</v>
      </c>
      <c r="O488" s="7"/>
      <c r="P488" s="7" t="s">
        <v>282</v>
      </c>
      <c r="Q488" s="7" t="s">
        <v>51</v>
      </c>
      <c r="R488" s="14">
        <f>INDEX(Hypothèses!$B$14:$B$22,MATCH(Q488,Hypothèses!$A$14:$A$22,0))</f>
        <v>1.3525</v>
      </c>
      <c r="S488" s="17" t="str">
        <f t="shared" si="21"/>
        <v/>
      </c>
      <c r="T488" s="17">
        <f t="shared" si="22"/>
        <v>1530.276963416592</v>
      </c>
      <c r="U488" s="17" t="str">
        <f t="shared" si="23"/>
        <v/>
      </c>
      <c r="V488" s="7" t="s">
        <v>247</v>
      </c>
      <c r="W488" s="7" t="s">
        <v>84</v>
      </c>
      <c r="X488" s="7" t="s">
        <v>824</v>
      </c>
      <c r="Y488" s="7"/>
      <c r="Z488" s="7"/>
      <c r="AA488" s="7">
        <f>IF(AND(Hypothèses!$B$12=1,Z488="Secondary_Source"),0,1)</f>
        <v>1</v>
      </c>
    </row>
    <row r="489" spans="1:27" x14ac:dyDescent="0.3">
      <c r="A489" s="7" t="s">
        <v>826</v>
      </c>
      <c r="B489" s="7" t="s">
        <v>153</v>
      </c>
      <c r="C489" s="7" t="s">
        <v>152</v>
      </c>
      <c r="D489" s="7" t="s">
        <v>244</v>
      </c>
      <c r="E489" s="7" t="s">
        <v>245</v>
      </c>
      <c r="F489" s="7" t="s">
        <v>823</v>
      </c>
      <c r="G489" s="17"/>
      <c r="H489" s="17">
        <v>1475.06173703268</v>
      </c>
      <c r="I489" s="17"/>
      <c r="J489" s="7" t="s">
        <v>651</v>
      </c>
      <c r="K489" s="7">
        <v>2005</v>
      </c>
      <c r="L489" s="7" t="str">
        <f>IF(Y489&lt;&gt;"",Y489,IF(AND(K489&gt;=Hypothèses!$B$9,K489&lt;=Hypothèses!$B$10),"actuel",IF(K489=2030,"2030",IF(K489=2050,"2050","autre"))))</f>
        <v>autre</v>
      </c>
      <c r="M489" s="7"/>
      <c r="N489" s="7" t="s">
        <v>652</v>
      </c>
      <c r="O489" s="7"/>
      <c r="P489" s="7" t="s">
        <v>282</v>
      </c>
      <c r="Q489" s="7" t="s">
        <v>51</v>
      </c>
      <c r="R489" s="14">
        <f>INDEX(Hypothèses!$B$14:$B$22,MATCH(Q489,Hypothèses!$A$14:$A$22,0))</f>
        <v>1.3525</v>
      </c>
      <c r="S489" s="17" t="str">
        <f t="shared" si="21"/>
        <v/>
      </c>
      <c r="T489" s="17">
        <f t="shared" si="22"/>
        <v>1995.0209993366998</v>
      </c>
      <c r="U489" s="17" t="str">
        <f t="shared" si="23"/>
        <v/>
      </c>
      <c r="V489" s="7" t="s">
        <v>247</v>
      </c>
      <c r="W489" s="7" t="s">
        <v>84</v>
      </c>
      <c r="X489" s="7" t="s">
        <v>824</v>
      </c>
      <c r="Y489" s="7"/>
      <c r="Z489" s="7"/>
      <c r="AA489" s="7">
        <f>IF(AND(Hypothèses!$B$12=1,Z489="Secondary_Source"),0,1)</f>
        <v>1</v>
      </c>
    </row>
    <row r="490" spans="1:27" x14ac:dyDescent="0.3">
      <c r="A490" s="7" t="s">
        <v>827</v>
      </c>
      <c r="B490" s="7" t="s">
        <v>153</v>
      </c>
      <c r="C490" s="7" t="s">
        <v>152</v>
      </c>
      <c r="D490" s="7" t="s">
        <v>244</v>
      </c>
      <c r="E490" s="7" t="s">
        <v>245</v>
      </c>
      <c r="F490" s="7" t="s">
        <v>823</v>
      </c>
      <c r="G490" s="17"/>
      <c r="H490" s="17">
        <v>1215.92729797065</v>
      </c>
      <c r="I490" s="17"/>
      <c r="J490" s="7" t="s">
        <v>651</v>
      </c>
      <c r="K490" s="7">
        <v>2007</v>
      </c>
      <c r="L490" s="7" t="str">
        <f>IF(Y490&lt;&gt;"",Y490,IF(AND(K490&gt;=Hypothèses!$B$9,K490&lt;=Hypothèses!$B$10),"actuel",IF(K490=2030,"2030",IF(K490=2050,"2050","autre"))))</f>
        <v>autre</v>
      </c>
      <c r="M490" s="7"/>
      <c r="N490" s="7" t="s">
        <v>652</v>
      </c>
      <c r="O490" s="7"/>
      <c r="P490" s="7" t="s">
        <v>282</v>
      </c>
      <c r="Q490" s="7" t="s">
        <v>51</v>
      </c>
      <c r="R490" s="14">
        <f>INDEX(Hypothèses!$B$14:$B$22,MATCH(Q490,Hypothèses!$A$14:$A$22,0))</f>
        <v>1.3525</v>
      </c>
      <c r="S490" s="17" t="str">
        <f t="shared" si="21"/>
        <v/>
      </c>
      <c r="T490" s="17">
        <f t="shared" si="22"/>
        <v>1644.5416705053042</v>
      </c>
      <c r="U490" s="17" t="str">
        <f t="shared" si="23"/>
        <v/>
      </c>
      <c r="V490" s="7" t="s">
        <v>247</v>
      </c>
      <c r="W490" s="7" t="s">
        <v>84</v>
      </c>
      <c r="X490" s="7" t="s">
        <v>824</v>
      </c>
      <c r="Y490" s="7"/>
      <c r="Z490" s="7"/>
      <c r="AA490" s="7">
        <f>IF(AND(Hypothèses!$B$12=1,Z490="Secondary_Source"),0,1)</f>
        <v>1</v>
      </c>
    </row>
    <row r="491" spans="1:27" x14ac:dyDescent="0.3">
      <c r="A491" s="7" t="s">
        <v>828</v>
      </c>
      <c r="B491" s="7" t="s">
        <v>153</v>
      </c>
      <c r="C491" s="7" t="s">
        <v>152</v>
      </c>
      <c r="D491" s="7" t="s">
        <v>244</v>
      </c>
      <c r="E491" s="7" t="s">
        <v>245</v>
      </c>
      <c r="F491" s="7" t="s">
        <v>823</v>
      </c>
      <c r="G491" s="17"/>
      <c r="H491" s="17">
        <v>1051.8420075582601</v>
      </c>
      <c r="I491" s="17"/>
      <c r="J491" s="7" t="s">
        <v>651</v>
      </c>
      <c r="K491" s="7">
        <v>2008</v>
      </c>
      <c r="L491" s="7" t="str">
        <f>IF(Y491&lt;&gt;"",Y491,IF(AND(K491&gt;=Hypothèses!$B$9,K491&lt;=Hypothèses!$B$10),"actuel",IF(K491=2030,"2030",IF(K491=2050,"2050","autre"))))</f>
        <v>autre</v>
      </c>
      <c r="M491" s="7"/>
      <c r="N491" s="7" t="s">
        <v>652</v>
      </c>
      <c r="O491" s="7"/>
      <c r="P491" s="7" t="s">
        <v>282</v>
      </c>
      <c r="Q491" s="7" t="s">
        <v>51</v>
      </c>
      <c r="R491" s="14">
        <f>INDEX(Hypothèses!$B$14:$B$22,MATCH(Q491,Hypothèses!$A$14:$A$22,0))</f>
        <v>1.3525</v>
      </c>
      <c r="S491" s="17" t="str">
        <f t="shared" si="21"/>
        <v/>
      </c>
      <c r="T491" s="17">
        <f t="shared" si="22"/>
        <v>1422.6163152225467</v>
      </c>
      <c r="U491" s="17" t="str">
        <f t="shared" si="23"/>
        <v/>
      </c>
      <c r="V491" s="7" t="s">
        <v>247</v>
      </c>
      <c r="W491" s="7" t="s">
        <v>84</v>
      </c>
      <c r="X491" s="7" t="s">
        <v>824</v>
      </c>
      <c r="Y491" s="7"/>
      <c r="Z491" s="7"/>
      <c r="AA491" s="7">
        <f>IF(AND(Hypothèses!$B$12=1,Z491="Secondary_Source"),0,1)</f>
        <v>1</v>
      </c>
    </row>
    <row r="492" spans="1:27" x14ac:dyDescent="0.3">
      <c r="A492" s="7" t="s">
        <v>829</v>
      </c>
      <c r="B492" s="7" t="s">
        <v>153</v>
      </c>
      <c r="C492" s="7" t="s">
        <v>152</v>
      </c>
      <c r="D492" s="7" t="s">
        <v>244</v>
      </c>
      <c r="E492" s="7" t="s">
        <v>245</v>
      </c>
      <c r="F492" s="7" t="s">
        <v>823</v>
      </c>
      <c r="G492" s="17"/>
      <c r="H492" s="17">
        <v>1414.5346934173201</v>
      </c>
      <c r="I492" s="17"/>
      <c r="J492" s="7" t="s">
        <v>651</v>
      </c>
      <c r="K492" s="7">
        <v>2009</v>
      </c>
      <c r="L492" s="7" t="str">
        <f>IF(Y492&lt;&gt;"",Y492,IF(AND(K492&gt;=Hypothèses!$B$9,K492&lt;=Hypothèses!$B$10),"actuel",IF(K492=2030,"2030",IF(K492=2050,"2050","autre"))))</f>
        <v>autre</v>
      </c>
      <c r="M492" s="7"/>
      <c r="N492" s="7" t="s">
        <v>652</v>
      </c>
      <c r="O492" s="7"/>
      <c r="P492" s="7" t="s">
        <v>282</v>
      </c>
      <c r="Q492" s="7" t="s">
        <v>51</v>
      </c>
      <c r="R492" s="14">
        <f>INDEX(Hypothèses!$B$14:$B$22,MATCH(Q492,Hypothèses!$A$14:$A$22,0))</f>
        <v>1.3525</v>
      </c>
      <c r="S492" s="17" t="str">
        <f t="shared" si="21"/>
        <v/>
      </c>
      <c r="T492" s="17">
        <f t="shared" si="22"/>
        <v>1913.1581728469255</v>
      </c>
      <c r="U492" s="17" t="str">
        <f t="shared" si="23"/>
        <v/>
      </c>
      <c r="V492" s="7" t="s">
        <v>247</v>
      </c>
      <c r="W492" s="7" t="s">
        <v>84</v>
      </c>
      <c r="X492" s="7" t="s">
        <v>824</v>
      </c>
      <c r="Y492" s="7"/>
      <c r="Z492" s="7"/>
      <c r="AA492" s="7">
        <f>IF(AND(Hypothèses!$B$12=1,Z492="Secondary_Source"),0,1)</f>
        <v>1</v>
      </c>
    </row>
    <row r="493" spans="1:27" x14ac:dyDescent="0.3">
      <c r="A493" s="7" t="s">
        <v>830</v>
      </c>
      <c r="B493" s="7" t="s">
        <v>153</v>
      </c>
      <c r="C493" s="7" t="s">
        <v>152</v>
      </c>
      <c r="D493" s="7" t="s">
        <v>244</v>
      </c>
      <c r="E493" s="7" t="s">
        <v>245</v>
      </c>
      <c r="F493" s="7" t="s">
        <v>823</v>
      </c>
      <c r="G493" s="17"/>
      <c r="H493" s="17">
        <v>959.98654405314403</v>
      </c>
      <c r="I493" s="17"/>
      <c r="J493" s="7" t="s">
        <v>651</v>
      </c>
      <c r="K493" s="7">
        <v>2010</v>
      </c>
      <c r="L493" s="7" t="str">
        <f>IF(Y493&lt;&gt;"",Y493,IF(AND(K493&gt;=Hypothèses!$B$9,K493&lt;=Hypothèses!$B$10),"actuel",IF(K493=2030,"2030",IF(K493=2050,"2050","autre"))))</f>
        <v>autre</v>
      </c>
      <c r="M493" s="7"/>
      <c r="N493" s="7" t="s">
        <v>652</v>
      </c>
      <c r="O493" s="7"/>
      <c r="P493" s="7" t="s">
        <v>282</v>
      </c>
      <c r="Q493" s="7" t="s">
        <v>51</v>
      </c>
      <c r="R493" s="14">
        <f>INDEX(Hypothèses!$B$14:$B$22,MATCH(Q493,Hypothèses!$A$14:$A$22,0))</f>
        <v>1.3525</v>
      </c>
      <c r="S493" s="17" t="str">
        <f t="shared" si="21"/>
        <v/>
      </c>
      <c r="T493" s="17">
        <f t="shared" si="22"/>
        <v>1298.3818008318774</v>
      </c>
      <c r="U493" s="17" t="str">
        <f t="shared" si="23"/>
        <v/>
      </c>
      <c r="V493" s="7" t="s">
        <v>247</v>
      </c>
      <c r="W493" s="7" t="s">
        <v>84</v>
      </c>
      <c r="X493" s="7" t="s">
        <v>824</v>
      </c>
      <c r="Y493" s="7"/>
      <c r="Z493" s="7"/>
      <c r="AA493" s="7">
        <f>IF(AND(Hypothèses!$B$12=1,Z493="Secondary_Source"),0,1)</f>
        <v>1</v>
      </c>
    </row>
    <row r="494" spans="1:27" x14ac:dyDescent="0.3">
      <c r="A494" s="7" t="s">
        <v>831</v>
      </c>
      <c r="B494" s="7" t="s">
        <v>153</v>
      </c>
      <c r="C494" s="7" t="s">
        <v>152</v>
      </c>
      <c r="D494" s="7" t="s">
        <v>244</v>
      </c>
      <c r="E494" s="7" t="s">
        <v>245</v>
      </c>
      <c r="F494" s="7" t="s">
        <v>823</v>
      </c>
      <c r="G494" s="17"/>
      <c r="H494" s="17">
        <v>1178.63870153571</v>
      </c>
      <c r="I494" s="17"/>
      <c r="J494" s="7" t="s">
        <v>651</v>
      </c>
      <c r="K494" s="7">
        <v>2011</v>
      </c>
      <c r="L494" s="7" t="str">
        <f>IF(Y494&lt;&gt;"",Y494,IF(AND(K494&gt;=Hypothèses!$B$9,K494&lt;=Hypothèses!$B$10),"actuel",IF(K494=2030,"2030",IF(K494=2050,"2050","autre"))))</f>
        <v>autre</v>
      </c>
      <c r="M494" s="7"/>
      <c r="N494" s="7" t="s">
        <v>652</v>
      </c>
      <c r="O494" s="7"/>
      <c r="P494" s="7" t="s">
        <v>282</v>
      </c>
      <c r="Q494" s="7" t="s">
        <v>51</v>
      </c>
      <c r="R494" s="14">
        <f>INDEX(Hypothèses!$B$14:$B$22,MATCH(Q494,Hypothèses!$A$14:$A$22,0))</f>
        <v>1.3525</v>
      </c>
      <c r="S494" s="17" t="str">
        <f t="shared" si="21"/>
        <v/>
      </c>
      <c r="T494" s="17">
        <f t="shared" si="22"/>
        <v>1594.1088438270478</v>
      </c>
      <c r="U494" s="17" t="str">
        <f t="shared" si="23"/>
        <v/>
      </c>
      <c r="V494" s="7" t="s">
        <v>247</v>
      </c>
      <c r="W494" s="7" t="s">
        <v>84</v>
      </c>
      <c r="X494" s="7" t="s">
        <v>824</v>
      </c>
      <c r="Y494" s="7"/>
      <c r="Z494" s="7"/>
      <c r="AA494" s="7">
        <f>IF(AND(Hypothèses!$B$12=1,Z494="Secondary_Source"),0,1)</f>
        <v>1</v>
      </c>
    </row>
    <row r="495" spans="1:27" x14ac:dyDescent="0.3">
      <c r="A495" s="7" t="s">
        <v>832</v>
      </c>
      <c r="B495" s="7" t="s">
        <v>153</v>
      </c>
      <c r="C495" s="7" t="s">
        <v>152</v>
      </c>
      <c r="D495" s="7" t="s">
        <v>244</v>
      </c>
      <c r="E495" s="7" t="s">
        <v>245</v>
      </c>
      <c r="F495" s="7" t="s">
        <v>823</v>
      </c>
      <c r="G495" s="17"/>
      <c r="H495" s="17">
        <v>1214.72097476166</v>
      </c>
      <c r="I495" s="17"/>
      <c r="J495" s="7" t="s">
        <v>651</v>
      </c>
      <c r="K495" s="7">
        <v>2013</v>
      </c>
      <c r="L495" s="7" t="str">
        <f>IF(Y495&lt;&gt;"",Y495,IF(AND(K495&gt;=Hypothèses!$B$9,K495&lt;=Hypothèses!$B$10),"actuel",IF(K495=2030,"2030",IF(K495=2050,"2050","autre"))))</f>
        <v>autre</v>
      </c>
      <c r="M495" s="7"/>
      <c r="N495" s="7" t="s">
        <v>652</v>
      </c>
      <c r="O495" s="7"/>
      <c r="P495" s="7" t="s">
        <v>282</v>
      </c>
      <c r="Q495" s="7" t="s">
        <v>51</v>
      </c>
      <c r="R495" s="14">
        <f>INDEX(Hypothèses!$B$14:$B$22,MATCH(Q495,Hypothèses!$A$14:$A$22,0))</f>
        <v>1.3525</v>
      </c>
      <c r="S495" s="17" t="str">
        <f t="shared" si="21"/>
        <v/>
      </c>
      <c r="T495" s="17">
        <f t="shared" si="22"/>
        <v>1642.9101183651453</v>
      </c>
      <c r="U495" s="17" t="str">
        <f t="shared" si="23"/>
        <v/>
      </c>
      <c r="V495" s="7" t="s">
        <v>247</v>
      </c>
      <c r="W495" s="7" t="s">
        <v>84</v>
      </c>
      <c r="X495" s="7" t="s">
        <v>824</v>
      </c>
      <c r="Y495" s="7"/>
      <c r="Z495" s="7"/>
      <c r="AA495" s="7">
        <f>IF(AND(Hypothèses!$B$12=1,Z495="Secondary_Source"),0,1)</f>
        <v>1</v>
      </c>
    </row>
    <row r="496" spans="1:27" x14ac:dyDescent="0.3">
      <c r="A496" s="7" t="s">
        <v>833</v>
      </c>
      <c r="B496" s="7" t="s">
        <v>153</v>
      </c>
      <c r="C496" s="7" t="s">
        <v>152</v>
      </c>
      <c r="D496" s="7" t="s">
        <v>244</v>
      </c>
      <c r="E496" s="7" t="s">
        <v>245</v>
      </c>
      <c r="F496" s="7" t="s">
        <v>823</v>
      </c>
      <c r="G496" s="17"/>
      <c r="H496" s="17">
        <v>1138.9330567796201</v>
      </c>
      <c r="I496" s="17"/>
      <c r="J496" s="7" t="s">
        <v>651</v>
      </c>
      <c r="K496" s="7">
        <v>2014</v>
      </c>
      <c r="L496" s="7" t="str">
        <f>IF(Y496&lt;&gt;"",Y496,IF(AND(K496&gt;=Hypothèses!$B$9,K496&lt;=Hypothèses!$B$10),"actuel",IF(K496=2030,"2030",IF(K496=2050,"2050","autre"))))</f>
        <v>autre</v>
      </c>
      <c r="M496" s="7"/>
      <c r="N496" s="7" t="s">
        <v>652</v>
      </c>
      <c r="O496" s="7"/>
      <c r="P496" s="7" t="s">
        <v>282</v>
      </c>
      <c r="Q496" s="7" t="s">
        <v>51</v>
      </c>
      <c r="R496" s="14">
        <f>INDEX(Hypothèses!$B$14:$B$22,MATCH(Q496,Hypothèses!$A$14:$A$22,0))</f>
        <v>1.3525</v>
      </c>
      <c r="S496" s="17" t="str">
        <f t="shared" si="21"/>
        <v/>
      </c>
      <c r="T496" s="17">
        <f t="shared" si="22"/>
        <v>1540.4069592944361</v>
      </c>
      <c r="U496" s="17" t="str">
        <f t="shared" si="23"/>
        <v/>
      </c>
      <c r="V496" s="7" t="s">
        <v>247</v>
      </c>
      <c r="W496" s="7" t="s">
        <v>84</v>
      </c>
      <c r="X496" s="7" t="s">
        <v>824</v>
      </c>
      <c r="Y496" s="7"/>
      <c r="Z496" s="7"/>
      <c r="AA496" s="7">
        <f>IF(AND(Hypothèses!$B$12=1,Z496="Secondary_Source"),0,1)</f>
        <v>1</v>
      </c>
    </row>
    <row r="497" spans="1:27" x14ac:dyDescent="0.3">
      <c r="A497" s="7" t="s">
        <v>834</v>
      </c>
      <c r="B497" s="7" t="s">
        <v>153</v>
      </c>
      <c r="C497" s="7" t="s">
        <v>152</v>
      </c>
      <c r="D497" s="7" t="s">
        <v>244</v>
      </c>
      <c r="E497" s="7" t="s">
        <v>245</v>
      </c>
      <c r="F497" s="7" t="s">
        <v>823</v>
      </c>
      <c r="G497" s="17"/>
      <c r="H497" s="17">
        <v>1156.7780095872599</v>
      </c>
      <c r="I497" s="17"/>
      <c r="J497" s="7" t="s">
        <v>651</v>
      </c>
      <c r="K497" s="7">
        <v>2015</v>
      </c>
      <c r="L497" s="7" t="str">
        <f>IF(Y497&lt;&gt;"",Y497,IF(AND(K497&gt;=Hypothèses!$B$9,K497&lt;=Hypothèses!$B$10),"actuel",IF(K497=2030,"2030",IF(K497=2050,"2050","autre"))))</f>
        <v>autre</v>
      </c>
      <c r="M497" s="7"/>
      <c r="N497" s="7" t="s">
        <v>652</v>
      </c>
      <c r="O497" s="7"/>
      <c r="P497" s="7" t="s">
        <v>282</v>
      </c>
      <c r="Q497" s="7" t="s">
        <v>51</v>
      </c>
      <c r="R497" s="14">
        <f>INDEX(Hypothèses!$B$14:$B$22,MATCH(Q497,Hypothèses!$A$14:$A$22,0))</f>
        <v>1.3525</v>
      </c>
      <c r="S497" s="17" t="str">
        <f t="shared" si="21"/>
        <v/>
      </c>
      <c r="T497" s="17">
        <f t="shared" si="22"/>
        <v>1564.5422579667691</v>
      </c>
      <c r="U497" s="17" t="str">
        <f t="shared" si="23"/>
        <v/>
      </c>
      <c r="V497" s="7" t="s">
        <v>247</v>
      </c>
      <c r="W497" s="7" t="s">
        <v>84</v>
      </c>
      <c r="X497" s="7" t="s">
        <v>824</v>
      </c>
      <c r="Y497" s="7"/>
      <c r="Z497" s="7"/>
      <c r="AA497" s="7">
        <f>IF(AND(Hypothèses!$B$12=1,Z497="Secondary_Source"),0,1)</f>
        <v>1</v>
      </c>
    </row>
    <row r="498" spans="1:27" x14ac:dyDescent="0.3">
      <c r="A498" s="7" t="s">
        <v>835</v>
      </c>
      <c r="B498" s="7" t="s">
        <v>153</v>
      </c>
      <c r="C498" s="7" t="s">
        <v>152</v>
      </c>
      <c r="D498" s="7" t="s">
        <v>244</v>
      </c>
      <c r="E498" s="7" t="s">
        <v>245</v>
      </c>
      <c r="F498" s="7" t="s">
        <v>823</v>
      </c>
      <c r="G498" s="17"/>
      <c r="H498" s="17">
        <v>1012.26747896805</v>
      </c>
      <c r="I498" s="17"/>
      <c r="J498" s="7" t="s">
        <v>651</v>
      </c>
      <c r="K498" s="7">
        <v>2016</v>
      </c>
      <c r="L498" s="7" t="str">
        <f>IF(Y498&lt;&gt;"",Y498,IF(AND(K498&gt;=Hypothèses!$B$9,K498&lt;=Hypothèses!$B$10),"actuel",IF(K498=2030,"2030",IF(K498=2050,"2050","autre"))))</f>
        <v>autre</v>
      </c>
      <c r="M498" s="7"/>
      <c r="N498" s="7" t="s">
        <v>652</v>
      </c>
      <c r="O498" s="7"/>
      <c r="P498" s="7" t="s">
        <v>282</v>
      </c>
      <c r="Q498" s="7" t="s">
        <v>51</v>
      </c>
      <c r="R498" s="14">
        <f>INDEX(Hypothèses!$B$14:$B$22,MATCH(Q498,Hypothèses!$A$14:$A$22,0))</f>
        <v>1.3525</v>
      </c>
      <c r="S498" s="17" t="str">
        <f t="shared" si="21"/>
        <v/>
      </c>
      <c r="T498" s="17">
        <f t="shared" si="22"/>
        <v>1369.0917653042877</v>
      </c>
      <c r="U498" s="17" t="str">
        <f t="shared" si="23"/>
        <v/>
      </c>
      <c r="V498" s="7" t="s">
        <v>247</v>
      </c>
      <c r="W498" s="7" t="s">
        <v>84</v>
      </c>
      <c r="X498" s="7" t="s">
        <v>824</v>
      </c>
      <c r="Y498" s="7"/>
      <c r="Z498" s="7"/>
      <c r="AA498" s="7">
        <f>IF(AND(Hypothèses!$B$12=1,Z498="Secondary_Source"),0,1)</f>
        <v>1</v>
      </c>
    </row>
    <row r="499" spans="1:27" x14ac:dyDescent="0.3">
      <c r="A499" s="7" t="s">
        <v>836</v>
      </c>
      <c r="B499" s="7" t="s">
        <v>153</v>
      </c>
      <c r="C499" s="7" t="s">
        <v>152</v>
      </c>
      <c r="D499" s="7" t="s">
        <v>244</v>
      </c>
      <c r="E499" s="7" t="s">
        <v>245</v>
      </c>
      <c r="F499" s="7" t="s">
        <v>823</v>
      </c>
      <c r="G499" s="17"/>
      <c r="H499" s="17">
        <v>987.5</v>
      </c>
      <c r="I499" s="17"/>
      <c r="J499" s="7" t="s">
        <v>651</v>
      </c>
      <c r="K499" s="7">
        <v>2017</v>
      </c>
      <c r="L499" s="7" t="str">
        <f>IF(Y499&lt;&gt;"",Y499,IF(AND(K499&gt;=Hypothèses!$B$9,K499&lt;=Hypothèses!$B$10),"actuel",IF(K499=2030,"2030",IF(K499=2050,"2050","autre"))))</f>
        <v>autre</v>
      </c>
      <c r="M499" s="7"/>
      <c r="N499" s="7" t="s">
        <v>652</v>
      </c>
      <c r="O499" s="7"/>
      <c r="P499" s="7" t="s">
        <v>282</v>
      </c>
      <c r="Q499" s="7" t="s">
        <v>51</v>
      </c>
      <c r="R499" s="14">
        <f>INDEX(Hypothèses!$B$14:$B$22,MATCH(Q499,Hypothèses!$A$14:$A$22,0))</f>
        <v>1.3525</v>
      </c>
      <c r="S499" s="17" t="str">
        <f t="shared" si="21"/>
        <v/>
      </c>
      <c r="T499" s="17">
        <f t="shared" si="22"/>
        <v>1335.59375</v>
      </c>
      <c r="U499" s="17" t="str">
        <f t="shared" si="23"/>
        <v/>
      </c>
      <c r="V499" s="7" t="s">
        <v>247</v>
      </c>
      <c r="W499" s="7" t="s">
        <v>84</v>
      </c>
      <c r="X499" s="7" t="s">
        <v>824</v>
      </c>
      <c r="Y499" s="7"/>
      <c r="Z499" s="7"/>
      <c r="AA499" s="7">
        <f>IF(AND(Hypothèses!$B$12=1,Z499="Secondary_Source"),0,1)</f>
        <v>1</v>
      </c>
    </row>
    <row r="500" spans="1:27" x14ac:dyDescent="0.3">
      <c r="A500" s="7" t="s">
        <v>837</v>
      </c>
      <c r="B500" s="7" t="s">
        <v>153</v>
      </c>
      <c r="C500" s="7" t="s">
        <v>152</v>
      </c>
      <c r="D500" s="7" t="s">
        <v>244</v>
      </c>
      <c r="E500" s="7" t="s">
        <v>245</v>
      </c>
      <c r="F500" s="7" t="s">
        <v>823</v>
      </c>
      <c r="G500" s="17"/>
      <c r="H500" s="17">
        <v>800</v>
      </c>
      <c r="I500" s="17"/>
      <c r="J500" s="7" t="s">
        <v>651</v>
      </c>
      <c r="K500" s="7">
        <v>2018</v>
      </c>
      <c r="L500" s="7" t="str">
        <f>IF(Y500&lt;&gt;"",Y500,IF(AND(K500&gt;=Hypothèses!$B$9,K500&lt;=Hypothèses!$B$10),"actuel",IF(K500=2030,"2030",IF(K500=2050,"2050","autre"))))</f>
        <v>autre</v>
      </c>
      <c r="M500" s="7"/>
      <c r="N500" s="7" t="s">
        <v>652</v>
      </c>
      <c r="O500" s="7"/>
      <c r="P500" s="7" t="s">
        <v>282</v>
      </c>
      <c r="Q500" s="7" t="s">
        <v>51</v>
      </c>
      <c r="R500" s="14">
        <f>INDEX(Hypothèses!$B$14:$B$22,MATCH(Q500,Hypothèses!$A$14:$A$22,0))</f>
        <v>1.3525</v>
      </c>
      <c r="S500" s="17" t="str">
        <f t="shared" si="21"/>
        <v/>
      </c>
      <c r="T500" s="17">
        <f t="shared" si="22"/>
        <v>1082</v>
      </c>
      <c r="U500" s="17" t="str">
        <f t="shared" si="23"/>
        <v/>
      </c>
      <c r="V500" s="7" t="s">
        <v>247</v>
      </c>
      <c r="W500" s="7" t="s">
        <v>84</v>
      </c>
      <c r="X500" s="7" t="s">
        <v>824</v>
      </c>
      <c r="Y500" s="7"/>
      <c r="Z500" s="7"/>
      <c r="AA500" s="7">
        <f>IF(AND(Hypothèses!$B$12=1,Z500="Secondary_Source"),0,1)</f>
        <v>1</v>
      </c>
    </row>
    <row r="501" spans="1:27" x14ac:dyDescent="0.3">
      <c r="A501" s="7" t="s">
        <v>838</v>
      </c>
      <c r="B501" s="7" t="s">
        <v>153</v>
      </c>
      <c r="C501" s="7" t="s">
        <v>163</v>
      </c>
      <c r="D501" s="7" t="s">
        <v>244</v>
      </c>
      <c r="E501" s="7" t="s">
        <v>245</v>
      </c>
      <c r="F501" s="7" t="s">
        <v>823</v>
      </c>
      <c r="G501" s="17"/>
      <c r="H501" s="17">
        <v>986.74800000000005</v>
      </c>
      <c r="I501" s="17"/>
      <c r="J501" s="7" t="s">
        <v>651</v>
      </c>
      <c r="K501" s="7">
        <v>2020</v>
      </c>
      <c r="L501" s="7" t="str">
        <f>IF(Y501&lt;&gt;"",Y501,IF(AND(K501&gt;=Hypothèses!$B$9,K501&lt;=Hypothèses!$B$10),"actuel",IF(K501=2030,"2030",IF(K501=2050,"2050","autre"))))</f>
        <v>actuel</v>
      </c>
      <c r="M501" s="7"/>
      <c r="N501" s="7" t="s">
        <v>652</v>
      </c>
      <c r="O501" s="7"/>
      <c r="P501" s="7" t="s">
        <v>282</v>
      </c>
      <c r="Q501" s="7" t="s">
        <v>51</v>
      </c>
      <c r="R501" s="14">
        <f>INDEX(Hypothèses!$B$14:$B$22,MATCH(Q501,Hypothèses!$A$14:$A$22,0))</f>
        <v>1.3525</v>
      </c>
      <c r="S501" s="17" t="str">
        <f t="shared" si="21"/>
        <v/>
      </c>
      <c r="T501" s="17">
        <f t="shared" si="22"/>
        <v>1334.5766700000001</v>
      </c>
      <c r="U501" s="17" t="str">
        <f t="shared" si="23"/>
        <v/>
      </c>
      <c r="V501" s="7" t="s">
        <v>247</v>
      </c>
      <c r="W501" s="7" t="s">
        <v>84</v>
      </c>
      <c r="X501" s="7" t="s">
        <v>824</v>
      </c>
      <c r="Y501" s="7"/>
      <c r="Z501" s="7"/>
      <c r="AA501" s="7">
        <f>IF(AND(Hypothèses!$B$12=1,Z501="Secondary_Source"),0,1)</f>
        <v>1</v>
      </c>
    </row>
    <row r="502" spans="1:27" x14ac:dyDescent="0.3">
      <c r="A502" s="7" t="s">
        <v>839</v>
      </c>
      <c r="B502" s="7" t="s">
        <v>153</v>
      </c>
      <c r="C502" s="7" t="s">
        <v>165</v>
      </c>
      <c r="D502" s="7" t="s">
        <v>244</v>
      </c>
      <c r="E502" s="7" t="s">
        <v>245</v>
      </c>
      <c r="F502" s="7" t="s">
        <v>823</v>
      </c>
      <c r="G502" s="17"/>
      <c r="H502" s="17">
        <v>1134.546</v>
      </c>
      <c r="I502" s="17"/>
      <c r="J502" s="7" t="s">
        <v>651</v>
      </c>
      <c r="K502" s="7">
        <v>2021</v>
      </c>
      <c r="L502" s="7" t="str">
        <f>IF(Y502&lt;&gt;"",Y502,IF(AND(K502&gt;=Hypothèses!$B$9,K502&lt;=Hypothèses!$B$10),"actuel",IF(K502=2030,"2030",IF(K502=2050,"2050","autre"))))</f>
        <v>actuel</v>
      </c>
      <c r="M502" s="7"/>
      <c r="N502" s="7" t="s">
        <v>652</v>
      </c>
      <c r="O502" s="7"/>
      <c r="P502" s="7" t="s">
        <v>282</v>
      </c>
      <c r="Q502" s="7" t="s">
        <v>51</v>
      </c>
      <c r="R502" s="14">
        <f>INDEX(Hypothèses!$B$14:$B$22,MATCH(Q502,Hypothèses!$A$14:$A$22,0))</f>
        <v>1.3525</v>
      </c>
      <c r="S502" s="17" t="str">
        <f t="shared" si="21"/>
        <v/>
      </c>
      <c r="T502" s="17">
        <f t="shared" si="22"/>
        <v>1534.473465</v>
      </c>
      <c r="U502" s="17" t="str">
        <f t="shared" si="23"/>
        <v/>
      </c>
      <c r="V502" s="7" t="s">
        <v>247</v>
      </c>
      <c r="W502" s="7" t="s">
        <v>84</v>
      </c>
      <c r="X502" s="7" t="s">
        <v>824</v>
      </c>
      <c r="Y502" s="7"/>
      <c r="Z502" s="7"/>
      <c r="AA502" s="7">
        <f>IF(AND(Hypothèses!$B$12=1,Z502="Secondary_Source"),0,1)</f>
        <v>1</v>
      </c>
    </row>
    <row r="503" spans="1:27" x14ac:dyDescent="0.3">
      <c r="A503" s="7" t="s">
        <v>840</v>
      </c>
      <c r="B503" s="7" t="s">
        <v>153</v>
      </c>
      <c r="C503" s="7" t="s">
        <v>167</v>
      </c>
      <c r="D503" s="7" t="s">
        <v>244</v>
      </c>
      <c r="E503" s="7" t="s">
        <v>245</v>
      </c>
      <c r="F503" s="7" t="s">
        <v>823</v>
      </c>
      <c r="G503" s="17"/>
      <c r="H503" s="17">
        <v>1320.2964999999999</v>
      </c>
      <c r="I503" s="17"/>
      <c r="J503" s="7" t="s">
        <v>651</v>
      </c>
      <c r="K503" s="7">
        <v>2022</v>
      </c>
      <c r="L503" s="7" t="str">
        <f>IF(Y503&lt;&gt;"",Y503,IF(AND(K503&gt;=Hypothèses!$B$9,K503&lt;=Hypothèses!$B$10),"actuel",IF(K503=2030,"2030",IF(K503=2050,"2050","autre"))))</f>
        <v>actuel</v>
      </c>
      <c r="M503" s="7"/>
      <c r="N503" s="7" t="s">
        <v>652</v>
      </c>
      <c r="O503" s="7"/>
      <c r="P503" s="7" t="s">
        <v>282</v>
      </c>
      <c r="Q503" s="7" t="s">
        <v>51</v>
      </c>
      <c r="R503" s="14">
        <f>INDEX(Hypothèses!$B$14:$B$22,MATCH(Q503,Hypothèses!$A$14:$A$22,0))</f>
        <v>1.3525</v>
      </c>
      <c r="S503" s="17" t="str">
        <f t="shared" si="21"/>
        <v/>
      </c>
      <c r="T503" s="17">
        <f t="shared" si="22"/>
        <v>1785.7010162499998</v>
      </c>
      <c r="U503" s="17" t="str">
        <f t="shared" si="23"/>
        <v/>
      </c>
      <c r="V503" s="7" t="s">
        <v>247</v>
      </c>
      <c r="W503" s="7" t="s">
        <v>84</v>
      </c>
      <c r="X503" s="7" t="s">
        <v>824</v>
      </c>
      <c r="Y503" s="7"/>
      <c r="Z503" s="7"/>
      <c r="AA503" s="7">
        <f>IF(AND(Hypothèses!$B$12=1,Z503="Secondary_Source"),0,1)</f>
        <v>1</v>
      </c>
    </row>
    <row r="504" spans="1:27" x14ac:dyDescent="0.3">
      <c r="A504" s="7" t="s">
        <v>841</v>
      </c>
      <c r="B504" s="7" t="s">
        <v>153</v>
      </c>
      <c r="C504" s="7" t="s">
        <v>169</v>
      </c>
      <c r="D504" s="7" t="s">
        <v>244</v>
      </c>
      <c r="E504" s="7" t="s">
        <v>245</v>
      </c>
      <c r="F504" s="7" t="s">
        <v>823</v>
      </c>
      <c r="G504" s="17"/>
      <c r="H504" s="17">
        <v>1586.78</v>
      </c>
      <c r="I504" s="17"/>
      <c r="J504" s="7" t="s">
        <v>651</v>
      </c>
      <c r="K504" s="7">
        <v>2023</v>
      </c>
      <c r="L504" s="7" t="str">
        <f>IF(Y504&lt;&gt;"",Y504,IF(AND(K504&gt;=Hypothèses!$B$9,K504&lt;=Hypothèses!$B$10),"actuel",IF(K504=2030,"2030",IF(K504=2050,"2050","autre"))))</f>
        <v>actuel</v>
      </c>
      <c r="M504" s="7"/>
      <c r="N504" s="7" t="s">
        <v>652</v>
      </c>
      <c r="O504" s="7"/>
      <c r="P504" s="7" t="s">
        <v>282</v>
      </c>
      <c r="Q504" s="7" t="s">
        <v>51</v>
      </c>
      <c r="R504" s="14">
        <f>INDEX(Hypothèses!$B$14:$B$22,MATCH(Q504,Hypothèses!$A$14:$A$22,0))</f>
        <v>1.3525</v>
      </c>
      <c r="S504" s="17" t="str">
        <f t="shared" si="21"/>
        <v/>
      </c>
      <c r="T504" s="17">
        <f t="shared" si="22"/>
        <v>2146.1199500000002</v>
      </c>
      <c r="U504" s="17" t="str">
        <f t="shared" si="23"/>
        <v/>
      </c>
      <c r="V504" s="7" t="s">
        <v>247</v>
      </c>
      <c r="W504" s="7" t="s">
        <v>84</v>
      </c>
      <c r="X504" s="7" t="s">
        <v>824</v>
      </c>
      <c r="Y504" s="7"/>
      <c r="Z504" s="7"/>
      <c r="AA504" s="7">
        <f>IF(AND(Hypothèses!$B$12=1,Z504="Secondary_Source"),0,1)</f>
        <v>1</v>
      </c>
    </row>
    <row r="505" spans="1:27" x14ac:dyDescent="0.3">
      <c r="A505" s="7" t="s">
        <v>842</v>
      </c>
      <c r="B505" s="7" t="s">
        <v>153</v>
      </c>
      <c r="C505" s="7" t="s">
        <v>159</v>
      </c>
      <c r="D505" s="7" t="s">
        <v>244</v>
      </c>
      <c r="E505" s="7" t="s">
        <v>245</v>
      </c>
      <c r="F505" s="7" t="s">
        <v>823</v>
      </c>
      <c r="G505" s="17"/>
      <c r="H505" s="17">
        <v>779.23749999999995</v>
      </c>
      <c r="I505" s="17"/>
      <c r="J505" s="7" t="s">
        <v>651</v>
      </c>
      <c r="K505" s="7">
        <v>2019</v>
      </c>
      <c r="L505" s="7" t="str">
        <f>IF(Y505&lt;&gt;"",Y505,IF(AND(K505&gt;=Hypothèses!$B$9,K505&lt;=Hypothèses!$B$10),"actuel",IF(K505=2030,"2030",IF(K505=2050,"2050","autre"))))</f>
        <v>autre</v>
      </c>
      <c r="M505" s="7"/>
      <c r="N505" s="7" t="s">
        <v>652</v>
      </c>
      <c r="O505" s="7"/>
      <c r="P505" s="7" t="s">
        <v>282</v>
      </c>
      <c r="Q505" s="7" t="s">
        <v>51</v>
      </c>
      <c r="R505" s="14">
        <f>INDEX(Hypothèses!$B$14:$B$22,MATCH(Q505,Hypothèses!$A$14:$A$22,0))</f>
        <v>1.3525</v>
      </c>
      <c r="S505" s="17" t="str">
        <f t="shared" si="21"/>
        <v/>
      </c>
      <c r="T505" s="17">
        <f t="shared" si="22"/>
        <v>1053.9187187499999</v>
      </c>
      <c r="U505" s="17" t="str">
        <f t="shared" si="23"/>
        <v/>
      </c>
      <c r="V505" s="7" t="s">
        <v>247</v>
      </c>
      <c r="W505" s="7" t="s">
        <v>84</v>
      </c>
      <c r="X505" s="7" t="s">
        <v>824</v>
      </c>
      <c r="Y505" s="7"/>
      <c r="Z505" s="7"/>
      <c r="AA505" s="7">
        <f>IF(AND(Hypothèses!$B$12=1,Z505="Secondary_Source"),0,1)</f>
        <v>1</v>
      </c>
    </row>
    <row r="506" spans="1:27" x14ac:dyDescent="0.3">
      <c r="A506" s="7" t="s">
        <v>843</v>
      </c>
      <c r="B506" s="7" t="s">
        <v>153</v>
      </c>
      <c r="C506" s="7" t="s">
        <v>152</v>
      </c>
      <c r="D506" s="7" t="s">
        <v>465</v>
      </c>
      <c r="E506" s="7" t="s">
        <v>245</v>
      </c>
      <c r="F506" s="7" t="s">
        <v>823</v>
      </c>
      <c r="G506" s="17"/>
      <c r="H506" s="17">
        <v>3368.8735590945298</v>
      </c>
      <c r="I506" s="17"/>
      <c r="J506" s="7" t="s">
        <v>651</v>
      </c>
      <c r="K506" s="7">
        <v>2003</v>
      </c>
      <c r="L506" s="7" t="str">
        <f>IF(Y506&lt;&gt;"",Y506,IF(AND(K506&gt;=Hypothèses!$B$9,K506&lt;=Hypothèses!$B$10),"actuel",IF(K506=2030,"2030",IF(K506=2050,"2050","autre"))))</f>
        <v>autre</v>
      </c>
      <c r="M506" s="7"/>
      <c r="N506" s="7" t="s">
        <v>652</v>
      </c>
      <c r="O506" s="7"/>
      <c r="P506" s="7" t="s">
        <v>282</v>
      </c>
      <c r="Q506" s="7" t="s">
        <v>51</v>
      </c>
      <c r="R506" s="14">
        <f>INDEX(Hypothèses!$B$14:$B$22,MATCH(Q506,Hypothèses!$A$14:$A$22,0))</f>
        <v>1.3525</v>
      </c>
      <c r="S506" s="17" t="str">
        <f t="shared" si="21"/>
        <v/>
      </c>
      <c r="T506" s="17">
        <f t="shared" si="22"/>
        <v>4556.4014886753521</v>
      </c>
      <c r="U506" s="17" t="str">
        <f t="shared" si="23"/>
        <v/>
      </c>
      <c r="V506" s="7" t="s">
        <v>247</v>
      </c>
      <c r="W506" s="7" t="s">
        <v>84</v>
      </c>
      <c r="X506" s="7" t="s">
        <v>824</v>
      </c>
      <c r="Y506" s="7"/>
      <c r="Z506" s="7"/>
      <c r="AA506" s="7">
        <f>IF(AND(Hypothèses!$B$12=1,Z506="Secondary_Source"),0,1)</f>
        <v>1</v>
      </c>
    </row>
    <row r="507" spans="1:27" x14ac:dyDescent="0.3">
      <c r="A507" s="7" t="s">
        <v>844</v>
      </c>
      <c r="B507" s="7" t="s">
        <v>153</v>
      </c>
      <c r="C507" s="7" t="s">
        <v>152</v>
      </c>
      <c r="D507" s="7" t="s">
        <v>465</v>
      </c>
      <c r="E507" s="7" t="s">
        <v>245</v>
      </c>
      <c r="F507" s="7" t="s">
        <v>823</v>
      </c>
      <c r="G507" s="17"/>
      <c r="H507" s="17">
        <v>4795.90565155882</v>
      </c>
      <c r="I507" s="17"/>
      <c r="J507" s="7" t="s">
        <v>651</v>
      </c>
      <c r="K507" s="7">
        <v>2004</v>
      </c>
      <c r="L507" s="7" t="str">
        <f>IF(Y507&lt;&gt;"",Y507,IF(AND(K507&gt;=Hypothèses!$B$9,K507&lt;=Hypothèses!$B$10),"actuel",IF(K507=2030,"2030",IF(K507=2050,"2050","autre"))))</f>
        <v>autre</v>
      </c>
      <c r="M507" s="7"/>
      <c r="N507" s="7" t="s">
        <v>652</v>
      </c>
      <c r="O507" s="7"/>
      <c r="P507" s="7" t="s">
        <v>282</v>
      </c>
      <c r="Q507" s="7" t="s">
        <v>51</v>
      </c>
      <c r="R507" s="14">
        <f>INDEX(Hypothèses!$B$14:$B$22,MATCH(Q507,Hypothèses!$A$14:$A$22,0))</f>
        <v>1.3525</v>
      </c>
      <c r="S507" s="17" t="str">
        <f t="shared" si="21"/>
        <v/>
      </c>
      <c r="T507" s="17">
        <f t="shared" si="22"/>
        <v>6486.4623937333045</v>
      </c>
      <c r="U507" s="17" t="str">
        <f t="shared" si="23"/>
        <v/>
      </c>
      <c r="V507" s="7" t="s">
        <v>247</v>
      </c>
      <c r="W507" s="7" t="s">
        <v>84</v>
      </c>
      <c r="X507" s="7" t="s">
        <v>824</v>
      </c>
      <c r="Y507" s="7"/>
      <c r="Z507" s="7"/>
      <c r="AA507" s="7">
        <f>IF(AND(Hypothèses!$B$12=1,Z507="Secondary_Source"),0,1)</f>
        <v>1</v>
      </c>
    </row>
    <row r="508" spans="1:27" x14ac:dyDescent="0.3">
      <c r="A508" s="7" t="s">
        <v>845</v>
      </c>
      <c r="B508" s="7" t="s">
        <v>153</v>
      </c>
      <c r="C508" s="7" t="s">
        <v>152</v>
      </c>
      <c r="D508" s="7" t="s">
        <v>465</v>
      </c>
      <c r="E508" s="7" t="s">
        <v>245</v>
      </c>
      <c r="F508" s="7" t="s">
        <v>823</v>
      </c>
      <c r="G508" s="17"/>
      <c r="H508" s="17">
        <v>2440.3334992953501</v>
      </c>
      <c r="I508" s="17"/>
      <c r="J508" s="7" t="s">
        <v>651</v>
      </c>
      <c r="K508" s="7">
        <v>2005</v>
      </c>
      <c r="L508" s="7" t="str">
        <f>IF(Y508&lt;&gt;"",Y508,IF(AND(K508&gt;=Hypothèses!$B$9,K508&lt;=Hypothèses!$B$10),"actuel",IF(K508=2030,"2030",IF(K508=2050,"2050","autre"))))</f>
        <v>autre</v>
      </c>
      <c r="M508" s="7"/>
      <c r="N508" s="7" t="s">
        <v>652</v>
      </c>
      <c r="O508" s="7"/>
      <c r="P508" s="7" t="s">
        <v>282</v>
      </c>
      <c r="Q508" s="7" t="s">
        <v>51</v>
      </c>
      <c r="R508" s="14">
        <f>INDEX(Hypothèses!$B$14:$B$22,MATCH(Q508,Hypothèses!$A$14:$A$22,0))</f>
        <v>1.3525</v>
      </c>
      <c r="S508" s="17" t="str">
        <f t="shared" si="21"/>
        <v/>
      </c>
      <c r="T508" s="17">
        <f t="shared" si="22"/>
        <v>3300.5510577969612</v>
      </c>
      <c r="U508" s="17" t="str">
        <f t="shared" si="23"/>
        <v/>
      </c>
      <c r="V508" s="7" t="s">
        <v>247</v>
      </c>
      <c r="W508" s="7" t="s">
        <v>84</v>
      </c>
      <c r="X508" s="7" t="s">
        <v>824</v>
      </c>
      <c r="Y508" s="7"/>
      <c r="Z508" s="7"/>
      <c r="AA508" s="7">
        <f>IF(AND(Hypothèses!$B$12=1,Z508="Secondary_Source"),0,1)</f>
        <v>1</v>
      </c>
    </row>
    <row r="509" spans="1:27" x14ac:dyDescent="0.3">
      <c r="A509" s="7" t="s">
        <v>846</v>
      </c>
      <c r="B509" s="7" t="s">
        <v>153</v>
      </c>
      <c r="C509" s="7" t="s">
        <v>152</v>
      </c>
      <c r="D509" s="7" t="s">
        <v>465</v>
      </c>
      <c r="E509" s="7" t="s">
        <v>245</v>
      </c>
      <c r="F509" s="7" t="s">
        <v>823</v>
      </c>
      <c r="G509" s="17"/>
      <c r="H509" s="17">
        <v>3446.8715903626098</v>
      </c>
      <c r="I509" s="17"/>
      <c r="J509" s="7" t="s">
        <v>651</v>
      </c>
      <c r="K509" s="7">
        <v>2008</v>
      </c>
      <c r="L509" s="7" t="str">
        <f>IF(Y509&lt;&gt;"",Y509,IF(AND(K509&gt;=Hypothèses!$B$9,K509&lt;=Hypothèses!$B$10),"actuel",IF(K509=2030,"2030",IF(K509=2050,"2050","autre"))))</f>
        <v>autre</v>
      </c>
      <c r="M509" s="7"/>
      <c r="N509" s="7" t="s">
        <v>652</v>
      </c>
      <c r="O509" s="7"/>
      <c r="P509" s="7" t="s">
        <v>282</v>
      </c>
      <c r="Q509" s="7" t="s">
        <v>51</v>
      </c>
      <c r="R509" s="14">
        <f>INDEX(Hypothèses!$B$14:$B$22,MATCH(Q509,Hypothèses!$A$14:$A$22,0))</f>
        <v>1.3525</v>
      </c>
      <c r="S509" s="17" t="str">
        <f t="shared" si="21"/>
        <v/>
      </c>
      <c r="T509" s="17">
        <f t="shared" si="22"/>
        <v>4661.8938259654296</v>
      </c>
      <c r="U509" s="17" t="str">
        <f t="shared" si="23"/>
        <v/>
      </c>
      <c r="V509" s="7" t="s">
        <v>247</v>
      </c>
      <c r="W509" s="7" t="s">
        <v>84</v>
      </c>
      <c r="X509" s="7" t="s">
        <v>824</v>
      </c>
      <c r="Y509" s="7"/>
      <c r="Z509" s="7"/>
      <c r="AA509" s="7">
        <f>IF(AND(Hypothèses!$B$12=1,Z509="Secondary_Source"),0,1)</f>
        <v>1</v>
      </c>
    </row>
    <row r="510" spans="1:27" x14ac:dyDescent="0.3">
      <c r="A510" s="7" t="s">
        <v>847</v>
      </c>
      <c r="B510" s="7" t="s">
        <v>153</v>
      </c>
      <c r="C510" s="7" t="s">
        <v>152</v>
      </c>
      <c r="D510" s="7" t="s">
        <v>465</v>
      </c>
      <c r="E510" s="7" t="s">
        <v>245</v>
      </c>
      <c r="F510" s="7" t="s">
        <v>823</v>
      </c>
      <c r="G510" s="17"/>
      <c r="H510" s="17">
        <v>2153.8404163187201</v>
      </c>
      <c r="I510" s="17"/>
      <c r="J510" s="7" t="s">
        <v>651</v>
      </c>
      <c r="K510" s="7">
        <v>2009</v>
      </c>
      <c r="L510" s="7" t="str">
        <f>IF(Y510&lt;&gt;"",Y510,IF(AND(K510&gt;=Hypothèses!$B$9,K510&lt;=Hypothèses!$B$10),"actuel",IF(K510=2030,"2030",IF(K510=2050,"2050","autre"))))</f>
        <v>autre</v>
      </c>
      <c r="M510" s="7"/>
      <c r="N510" s="7" t="s">
        <v>652</v>
      </c>
      <c r="O510" s="7"/>
      <c r="P510" s="7" t="s">
        <v>282</v>
      </c>
      <c r="Q510" s="7" t="s">
        <v>51</v>
      </c>
      <c r="R510" s="14">
        <f>INDEX(Hypothèses!$B$14:$B$22,MATCH(Q510,Hypothèses!$A$14:$A$22,0))</f>
        <v>1.3525</v>
      </c>
      <c r="S510" s="17" t="str">
        <f t="shared" si="21"/>
        <v/>
      </c>
      <c r="T510" s="17">
        <f t="shared" si="22"/>
        <v>2913.0691630710689</v>
      </c>
      <c r="U510" s="17" t="str">
        <f t="shared" si="23"/>
        <v/>
      </c>
      <c r="V510" s="7" t="s">
        <v>247</v>
      </c>
      <c r="W510" s="7" t="s">
        <v>84</v>
      </c>
      <c r="X510" s="7" t="s">
        <v>824</v>
      </c>
      <c r="Y510" s="7"/>
      <c r="Z510" s="7"/>
      <c r="AA510" s="7">
        <f>IF(AND(Hypothèses!$B$12=1,Z510="Secondary_Source"),0,1)</f>
        <v>1</v>
      </c>
    </row>
    <row r="511" spans="1:27" x14ac:dyDescent="0.3">
      <c r="A511" s="7" t="s">
        <v>848</v>
      </c>
      <c r="B511" s="7" t="s">
        <v>153</v>
      </c>
      <c r="C511" s="7" t="s">
        <v>152</v>
      </c>
      <c r="D511" s="7" t="s">
        <v>465</v>
      </c>
      <c r="E511" s="7" t="s">
        <v>245</v>
      </c>
      <c r="F511" s="7" t="s">
        <v>823</v>
      </c>
      <c r="G511" s="17"/>
      <c r="H511" s="17">
        <v>2049.5712715534601</v>
      </c>
      <c r="I511" s="17"/>
      <c r="J511" s="7" t="s">
        <v>651</v>
      </c>
      <c r="K511" s="7">
        <v>2010</v>
      </c>
      <c r="L511" s="7" t="str">
        <f>IF(Y511&lt;&gt;"",Y511,IF(AND(K511&gt;=Hypothèses!$B$9,K511&lt;=Hypothèses!$B$10),"actuel",IF(K511=2030,"2030",IF(K511=2050,"2050","autre"))))</f>
        <v>autre</v>
      </c>
      <c r="M511" s="7"/>
      <c r="N511" s="7" t="s">
        <v>652</v>
      </c>
      <c r="O511" s="7"/>
      <c r="P511" s="7" t="s">
        <v>282</v>
      </c>
      <c r="Q511" s="7" t="s">
        <v>51</v>
      </c>
      <c r="R511" s="14">
        <f>INDEX(Hypothèses!$B$14:$B$22,MATCH(Q511,Hypothèses!$A$14:$A$22,0))</f>
        <v>1.3525</v>
      </c>
      <c r="S511" s="17" t="str">
        <f t="shared" si="21"/>
        <v/>
      </c>
      <c r="T511" s="17">
        <f t="shared" si="22"/>
        <v>2772.0451447760547</v>
      </c>
      <c r="U511" s="17" t="str">
        <f t="shared" si="23"/>
        <v/>
      </c>
      <c r="V511" s="7" t="s">
        <v>247</v>
      </c>
      <c r="W511" s="7" t="s">
        <v>84</v>
      </c>
      <c r="X511" s="7" t="s">
        <v>824</v>
      </c>
      <c r="Y511" s="7"/>
      <c r="Z511" s="7"/>
      <c r="AA511" s="7">
        <f>IF(AND(Hypothèses!$B$12=1,Z511="Secondary_Source"),0,1)</f>
        <v>1</v>
      </c>
    </row>
    <row r="512" spans="1:27" x14ac:dyDescent="0.3">
      <c r="A512" s="7" t="s">
        <v>849</v>
      </c>
      <c r="B512" s="7" t="s">
        <v>153</v>
      </c>
      <c r="C512" s="7" t="s">
        <v>152</v>
      </c>
      <c r="D512" s="7" t="s">
        <v>465</v>
      </c>
      <c r="E512" s="7" t="s">
        <v>245</v>
      </c>
      <c r="F512" s="7" t="s">
        <v>823</v>
      </c>
      <c r="G512" s="17"/>
      <c r="H512" s="17">
        <v>2367.9284793614002</v>
      </c>
      <c r="I512" s="17"/>
      <c r="J512" s="7" t="s">
        <v>651</v>
      </c>
      <c r="K512" s="7">
        <v>2013</v>
      </c>
      <c r="L512" s="7" t="str">
        <f>IF(Y512&lt;&gt;"",Y512,IF(AND(K512&gt;=Hypothèses!$B$9,K512&lt;=Hypothèses!$B$10),"actuel",IF(K512=2030,"2030",IF(K512=2050,"2050","autre"))))</f>
        <v>autre</v>
      </c>
      <c r="M512" s="7"/>
      <c r="N512" s="7" t="s">
        <v>652</v>
      </c>
      <c r="O512" s="7"/>
      <c r="P512" s="7" t="s">
        <v>282</v>
      </c>
      <c r="Q512" s="7" t="s">
        <v>51</v>
      </c>
      <c r="R512" s="14">
        <f>INDEX(Hypothèses!$B$14:$B$22,MATCH(Q512,Hypothèses!$A$14:$A$22,0))</f>
        <v>1.3525</v>
      </c>
      <c r="S512" s="17" t="str">
        <f t="shared" si="21"/>
        <v/>
      </c>
      <c r="T512" s="17">
        <f t="shared" si="22"/>
        <v>3202.6232683362937</v>
      </c>
      <c r="U512" s="17" t="str">
        <f t="shared" si="23"/>
        <v/>
      </c>
      <c r="V512" s="7" t="s">
        <v>247</v>
      </c>
      <c r="W512" s="7" t="s">
        <v>84</v>
      </c>
      <c r="X512" s="7" t="s">
        <v>824</v>
      </c>
      <c r="Y512" s="7"/>
      <c r="Z512" s="7"/>
      <c r="AA512" s="7">
        <f>IF(AND(Hypothèses!$B$12=1,Z512="Secondary_Source"),0,1)</f>
        <v>1</v>
      </c>
    </row>
    <row r="513" spans="1:27" x14ac:dyDescent="0.3">
      <c r="A513" s="7" t="s">
        <v>850</v>
      </c>
      <c r="B513" s="7" t="s">
        <v>153</v>
      </c>
      <c r="C513" s="7" t="s">
        <v>152</v>
      </c>
      <c r="D513" s="7" t="s">
        <v>465</v>
      </c>
      <c r="E513" s="7" t="s">
        <v>245</v>
      </c>
      <c r="F513" s="7" t="s">
        <v>823</v>
      </c>
      <c r="G513" s="17"/>
      <c r="H513" s="17">
        <v>2062.82986875287</v>
      </c>
      <c r="I513" s="17"/>
      <c r="J513" s="7" t="s">
        <v>651</v>
      </c>
      <c r="K513" s="7">
        <v>2014</v>
      </c>
      <c r="L513" s="7" t="str">
        <f>IF(Y513&lt;&gt;"",Y513,IF(AND(K513&gt;=Hypothèses!$B$9,K513&lt;=Hypothèses!$B$10),"actuel",IF(K513=2030,"2030",IF(K513=2050,"2050","autre"))))</f>
        <v>autre</v>
      </c>
      <c r="M513" s="7"/>
      <c r="N513" s="7" t="s">
        <v>652</v>
      </c>
      <c r="O513" s="7"/>
      <c r="P513" s="7" t="s">
        <v>282</v>
      </c>
      <c r="Q513" s="7" t="s">
        <v>51</v>
      </c>
      <c r="R513" s="14">
        <f>INDEX(Hypothèses!$B$14:$B$22,MATCH(Q513,Hypothèses!$A$14:$A$22,0))</f>
        <v>1.3525</v>
      </c>
      <c r="S513" s="17" t="str">
        <f t="shared" si="21"/>
        <v/>
      </c>
      <c r="T513" s="17">
        <f t="shared" si="22"/>
        <v>2789.9773974882569</v>
      </c>
      <c r="U513" s="17" t="str">
        <f t="shared" si="23"/>
        <v/>
      </c>
      <c r="V513" s="7" t="s">
        <v>247</v>
      </c>
      <c r="W513" s="7" t="s">
        <v>84</v>
      </c>
      <c r="X513" s="7" t="s">
        <v>824</v>
      </c>
      <c r="Y513" s="7"/>
      <c r="Z513" s="7"/>
      <c r="AA513" s="7">
        <f>IF(AND(Hypothèses!$B$12=1,Z513="Secondary_Source"),0,1)</f>
        <v>1</v>
      </c>
    </row>
    <row r="514" spans="1:27" x14ac:dyDescent="0.3">
      <c r="A514" s="7" t="s">
        <v>851</v>
      </c>
      <c r="B514" s="7" t="s">
        <v>153</v>
      </c>
      <c r="C514" s="7" t="s">
        <v>152</v>
      </c>
      <c r="D514" s="7" t="s">
        <v>465</v>
      </c>
      <c r="E514" s="7" t="s">
        <v>245</v>
      </c>
      <c r="F514" s="7" t="s">
        <v>823</v>
      </c>
      <c r="G514" s="17"/>
      <c r="H514" s="17">
        <v>2011.7878427604501</v>
      </c>
      <c r="I514" s="17"/>
      <c r="J514" s="7" t="s">
        <v>651</v>
      </c>
      <c r="K514" s="7">
        <v>2015</v>
      </c>
      <c r="L514" s="7" t="str">
        <f>IF(Y514&lt;&gt;"",Y514,IF(AND(K514&gt;=Hypothèses!$B$9,K514&lt;=Hypothèses!$B$10),"actuel",IF(K514=2030,"2030",IF(K514=2050,"2050","autre"))))</f>
        <v>autre</v>
      </c>
      <c r="M514" s="7"/>
      <c r="N514" s="7" t="s">
        <v>652</v>
      </c>
      <c r="O514" s="7"/>
      <c r="P514" s="7" t="s">
        <v>282</v>
      </c>
      <c r="Q514" s="7" t="s">
        <v>51</v>
      </c>
      <c r="R514" s="14">
        <f>INDEX(Hypothèses!$B$14:$B$22,MATCH(Q514,Hypothèses!$A$14:$A$22,0))</f>
        <v>1.3525</v>
      </c>
      <c r="S514" s="17" t="str">
        <f t="shared" ref="S514:S577" si="24">IF(G514="","",G514*R514)</f>
        <v/>
      </c>
      <c r="T514" s="17">
        <f t="shared" ref="T514:T530" si="25">IF(H514="","",H514*R514)</f>
        <v>2720.9430573335089</v>
      </c>
      <c r="U514" s="17" t="str">
        <f t="shared" ref="U514:U530" si="26">IF(I514="","",I514*R514)</f>
        <v/>
      </c>
      <c r="V514" s="7" t="s">
        <v>247</v>
      </c>
      <c r="W514" s="7" t="s">
        <v>84</v>
      </c>
      <c r="X514" s="7" t="s">
        <v>824</v>
      </c>
      <c r="Y514" s="7"/>
      <c r="Z514" s="7"/>
      <c r="AA514" s="7">
        <f>IF(AND(Hypothèses!$B$12=1,Z514="Secondary_Source"),0,1)</f>
        <v>1</v>
      </c>
    </row>
    <row r="515" spans="1:27" x14ac:dyDescent="0.3">
      <c r="A515" s="7" t="s">
        <v>852</v>
      </c>
      <c r="B515" s="7" t="s">
        <v>153</v>
      </c>
      <c r="C515" s="7" t="s">
        <v>152</v>
      </c>
      <c r="D515" s="7" t="s">
        <v>465</v>
      </c>
      <c r="E515" s="7" t="s">
        <v>245</v>
      </c>
      <c r="F515" s="7" t="s">
        <v>823</v>
      </c>
      <c r="G515" s="17"/>
      <c r="H515" s="17">
        <v>1900</v>
      </c>
      <c r="I515" s="17"/>
      <c r="J515" s="7" t="s">
        <v>651</v>
      </c>
      <c r="K515" s="7">
        <v>2016</v>
      </c>
      <c r="L515" s="7" t="str">
        <f>IF(Y515&lt;&gt;"",Y515,IF(AND(K515&gt;=Hypothèses!$B$9,K515&lt;=Hypothèses!$B$10),"actuel",IF(K515=2030,"2030",IF(K515=2050,"2050","autre"))))</f>
        <v>autre</v>
      </c>
      <c r="M515" s="7"/>
      <c r="N515" s="7" t="s">
        <v>652</v>
      </c>
      <c r="O515" s="7"/>
      <c r="P515" s="7" t="s">
        <v>282</v>
      </c>
      <c r="Q515" s="7" t="s">
        <v>51</v>
      </c>
      <c r="R515" s="14">
        <f>INDEX(Hypothèses!$B$14:$B$22,MATCH(Q515,Hypothèses!$A$14:$A$22,0))</f>
        <v>1.3525</v>
      </c>
      <c r="S515" s="17" t="str">
        <f t="shared" si="24"/>
        <v/>
      </c>
      <c r="T515" s="17">
        <f t="shared" si="25"/>
        <v>2569.75</v>
      </c>
      <c r="U515" s="17" t="str">
        <f t="shared" si="26"/>
        <v/>
      </c>
      <c r="V515" s="7" t="s">
        <v>247</v>
      </c>
      <c r="W515" s="7" t="s">
        <v>84</v>
      </c>
      <c r="X515" s="7" t="s">
        <v>824</v>
      </c>
      <c r="Y515" s="7"/>
      <c r="Z515" s="7"/>
      <c r="AA515" s="7">
        <f>IF(AND(Hypothèses!$B$12=1,Z515="Secondary_Source"),0,1)</f>
        <v>1</v>
      </c>
    </row>
    <row r="516" spans="1:27" x14ac:dyDescent="0.3">
      <c r="A516" s="7" t="s">
        <v>853</v>
      </c>
      <c r="B516" s="7" t="s">
        <v>153</v>
      </c>
      <c r="C516" s="7" t="s">
        <v>152</v>
      </c>
      <c r="D516" s="7" t="s">
        <v>465</v>
      </c>
      <c r="E516" s="7" t="s">
        <v>245</v>
      </c>
      <c r="F516" s="7" t="s">
        <v>823</v>
      </c>
      <c r="G516" s="17"/>
      <c r="H516" s="17">
        <v>1303.6385221087701</v>
      </c>
      <c r="I516" s="17"/>
      <c r="J516" s="7" t="s">
        <v>651</v>
      </c>
      <c r="K516" s="7">
        <v>2017</v>
      </c>
      <c r="L516" s="7" t="str">
        <f>IF(Y516&lt;&gt;"",Y516,IF(AND(K516&gt;=Hypothèses!$B$9,K516&lt;=Hypothèses!$B$10),"actuel",IF(K516=2030,"2030",IF(K516=2050,"2050","autre"))))</f>
        <v>autre</v>
      </c>
      <c r="M516" s="7"/>
      <c r="N516" s="7" t="s">
        <v>652</v>
      </c>
      <c r="O516" s="7"/>
      <c r="P516" s="7" t="s">
        <v>282</v>
      </c>
      <c r="Q516" s="7" t="s">
        <v>51</v>
      </c>
      <c r="R516" s="14">
        <f>INDEX(Hypothèses!$B$14:$B$22,MATCH(Q516,Hypothèses!$A$14:$A$22,0))</f>
        <v>1.3525</v>
      </c>
      <c r="S516" s="17" t="str">
        <f t="shared" si="24"/>
        <v/>
      </c>
      <c r="T516" s="17">
        <f t="shared" si="25"/>
        <v>1763.1711011521115</v>
      </c>
      <c r="U516" s="17" t="str">
        <f t="shared" si="26"/>
        <v/>
      </c>
      <c r="V516" s="7" t="s">
        <v>247</v>
      </c>
      <c r="W516" s="7" t="s">
        <v>84</v>
      </c>
      <c r="X516" s="7" t="s">
        <v>824</v>
      </c>
      <c r="Y516" s="7"/>
      <c r="Z516" s="7"/>
      <c r="AA516" s="7">
        <f>IF(AND(Hypothèses!$B$12=1,Z516="Secondary_Source"),0,1)</f>
        <v>1</v>
      </c>
    </row>
    <row r="517" spans="1:27" x14ac:dyDescent="0.3">
      <c r="A517" s="7" t="s">
        <v>854</v>
      </c>
      <c r="B517" s="7" t="s">
        <v>153</v>
      </c>
      <c r="C517" s="7" t="s">
        <v>152</v>
      </c>
      <c r="D517" s="7" t="s">
        <v>465</v>
      </c>
      <c r="E517" s="7" t="s">
        <v>245</v>
      </c>
      <c r="F517" s="7" t="s">
        <v>823</v>
      </c>
      <c r="G517" s="17"/>
      <c r="H517" s="17">
        <v>1000</v>
      </c>
      <c r="I517" s="17"/>
      <c r="J517" s="7" t="s">
        <v>651</v>
      </c>
      <c r="K517" s="7">
        <v>2018</v>
      </c>
      <c r="L517" s="7" t="str">
        <f>IF(Y517&lt;&gt;"",Y517,IF(AND(K517&gt;=Hypothèses!$B$9,K517&lt;=Hypothèses!$B$10),"actuel",IF(K517=2030,"2030",IF(K517=2050,"2050","autre"))))</f>
        <v>autre</v>
      </c>
      <c r="M517" s="7"/>
      <c r="N517" s="7" t="s">
        <v>652</v>
      </c>
      <c r="O517" s="7"/>
      <c r="P517" s="7" t="s">
        <v>282</v>
      </c>
      <c r="Q517" s="7" t="s">
        <v>51</v>
      </c>
      <c r="R517" s="14">
        <f>INDEX(Hypothèses!$B$14:$B$22,MATCH(Q517,Hypothèses!$A$14:$A$22,0))</f>
        <v>1.3525</v>
      </c>
      <c r="S517" s="17" t="str">
        <f t="shared" si="24"/>
        <v/>
      </c>
      <c r="T517" s="17">
        <f t="shared" si="25"/>
        <v>1352.5</v>
      </c>
      <c r="U517" s="17" t="str">
        <f t="shared" si="26"/>
        <v/>
      </c>
      <c r="V517" s="7" t="s">
        <v>247</v>
      </c>
      <c r="W517" s="7" t="s">
        <v>84</v>
      </c>
      <c r="X517" s="7" t="s">
        <v>824</v>
      </c>
      <c r="Y517" s="7"/>
      <c r="Z517" s="7"/>
      <c r="AA517" s="7">
        <f>IF(AND(Hypothèses!$B$12=1,Z517="Secondary_Source"),0,1)</f>
        <v>1</v>
      </c>
    </row>
    <row r="518" spans="1:27" x14ac:dyDescent="0.3">
      <c r="A518" s="7" t="s">
        <v>855</v>
      </c>
      <c r="B518" s="7" t="s">
        <v>153</v>
      </c>
      <c r="C518" s="7" t="s">
        <v>163</v>
      </c>
      <c r="D518" s="7" t="s">
        <v>465</v>
      </c>
      <c r="E518" s="7" t="s">
        <v>245</v>
      </c>
      <c r="F518" s="7" t="s">
        <v>823</v>
      </c>
      <c r="G518" s="17"/>
      <c r="H518" s="17">
        <v>1439.0074999999999</v>
      </c>
      <c r="I518" s="17"/>
      <c r="J518" s="7" t="s">
        <v>651</v>
      </c>
      <c r="K518" s="7">
        <v>2020</v>
      </c>
      <c r="L518" s="7" t="str">
        <f>IF(Y518&lt;&gt;"",Y518,IF(AND(K518&gt;=Hypothèses!$B$9,K518&lt;=Hypothèses!$B$10),"actuel",IF(K518=2030,"2030",IF(K518=2050,"2050","autre"))))</f>
        <v>actuel</v>
      </c>
      <c r="M518" s="7"/>
      <c r="N518" s="7" t="s">
        <v>652</v>
      </c>
      <c r="O518" s="7"/>
      <c r="P518" s="7" t="s">
        <v>282</v>
      </c>
      <c r="Q518" s="7" t="s">
        <v>51</v>
      </c>
      <c r="R518" s="14">
        <f>INDEX(Hypothèses!$B$14:$B$22,MATCH(Q518,Hypothèses!$A$14:$A$22,0))</f>
        <v>1.3525</v>
      </c>
      <c r="S518" s="17" t="str">
        <f t="shared" si="24"/>
        <v/>
      </c>
      <c r="T518" s="17">
        <f t="shared" si="25"/>
        <v>1946.2576437499999</v>
      </c>
      <c r="U518" s="17" t="str">
        <f t="shared" si="26"/>
        <v/>
      </c>
      <c r="V518" s="7" t="s">
        <v>247</v>
      </c>
      <c r="W518" s="7" t="s">
        <v>84</v>
      </c>
      <c r="X518" s="7" t="s">
        <v>824</v>
      </c>
      <c r="Y518" s="7"/>
      <c r="Z518" s="7"/>
      <c r="AA518" s="7">
        <f>IF(AND(Hypothèses!$B$12=1,Z518="Secondary_Source"),0,1)</f>
        <v>1</v>
      </c>
    </row>
    <row r="519" spans="1:27" x14ac:dyDescent="0.3">
      <c r="A519" s="7" t="s">
        <v>856</v>
      </c>
      <c r="B519" s="7" t="s">
        <v>153</v>
      </c>
      <c r="C519" s="7" t="s">
        <v>165</v>
      </c>
      <c r="D519" s="7" t="s">
        <v>465</v>
      </c>
      <c r="E519" s="7" t="s">
        <v>245</v>
      </c>
      <c r="F519" s="7" t="s">
        <v>823</v>
      </c>
      <c r="G519" s="17"/>
      <c r="H519" s="17">
        <v>1434.3903</v>
      </c>
      <c r="I519" s="17"/>
      <c r="J519" s="7" t="s">
        <v>651</v>
      </c>
      <c r="K519" s="7">
        <v>2021</v>
      </c>
      <c r="L519" s="7" t="str">
        <f>IF(Y519&lt;&gt;"",Y519,IF(AND(K519&gt;=Hypothèses!$B$9,K519&lt;=Hypothèses!$B$10),"actuel",IF(K519=2030,"2030",IF(K519=2050,"2050","autre"))))</f>
        <v>actuel</v>
      </c>
      <c r="M519" s="7"/>
      <c r="N519" s="7" t="s">
        <v>652</v>
      </c>
      <c r="O519" s="7"/>
      <c r="P519" s="7" t="s">
        <v>282</v>
      </c>
      <c r="Q519" s="7" t="s">
        <v>51</v>
      </c>
      <c r="R519" s="14">
        <f>INDEX(Hypothèses!$B$14:$B$22,MATCH(Q519,Hypothèses!$A$14:$A$22,0))</f>
        <v>1.3525</v>
      </c>
      <c r="S519" s="17" t="str">
        <f t="shared" si="24"/>
        <v/>
      </c>
      <c r="T519" s="17">
        <f t="shared" si="25"/>
        <v>1940.01288075</v>
      </c>
      <c r="U519" s="17" t="str">
        <f t="shared" si="26"/>
        <v/>
      </c>
      <c r="V519" s="7" t="s">
        <v>247</v>
      </c>
      <c r="W519" s="7" t="s">
        <v>84</v>
      </c>
      <c r="X519" s="7" t="s">
        <v>824</v>
      </c>
      <c r="Y519" s="7"/>
      <c r="Z519" s="7"/>
      <c r="AA519" s="7">
        <f>IF(AND(Hypothèses!$B$12=1,Z519="Secondary_Source"),0,1)</f>
        <v>1</v>
      </c>
    </row>
    <row r="520" spans="1:27" x14ac:dyDescent="0.3">
      <c r="A520" s="7" t="s">
        <v>857</v>
      </c>
      <c r="B520" s="7" t="s">
        <v>153</v>
      </c>
      <c r="C520" s="7" t="s">
        <v>167</v>
      </c>
      <c r="D520" s="7" t="s">
        <v>465</v>
      </c>
      <c r="E520" s="7" t="s">
        <v>245</v>
      </c>
      <c r="F520" s="7" t="s">
        <v>823</v>
      </c>
      <c r="G520" s="17"/>
      <c r="H520" s="17">
        <v>1553.29</v>
      </c>
      <c r="I520" s="17"/>
      <c r="J520" s="7" t="s">
        <v>651</v>
      </c>
      <c r="K520" s="7">
        <v>2022</v>
      </c>
      <c r="L520" s="7" t="str">
        <f>IF(Y520&lt;&gt;"",Y520,IF(AND(K520&gt;=Hypothèses!$B$9,K520&lt;=Hypothèses!$B$10),"actuel",IF(K520=2030,"2030",IF(K520=2050,"2050","autre"))))</f>
        <v>actuel</v>
      </c>
      <c r="M520" s="7"/>
      <c r="N520" s="7" t="s">
        <v>652</v>
      </c>
      <c r="O520" s="7"/>
      <c r="P520" s="7" t="s">
        <v>282</v>
      </c>
      <c r="Q520" s="7" t="s">
        <v>51</v>
      </c>
      <c r="R520" s="14">
        <f>INDEX(Hypothèses!$B$14:$B$22,MATCH(Q520,Hypothèses!$A$14:$A$22,0))</f>
        <v>1.3525</v>
      </c>
      <c r="S520" s="17" t="str">
        <f t="shared" si="24"/>
        <v/>
      </c>
      <c r="T520" s="17">
        <f t="shared" si="25"/>
        <v>2100.8247249999999</v>
      </c>
      <c r="U520" s="17" t="str">
        <f t="shared" si="26"/>
        <v/>
      </c>
      <c r="V520" s="7" t="s">
        <v>247</v>
      </c>
      <c r="W520" s="7" t="s">
        <v>84</v>
      </c>
      <c r="X520" s="7" t="s">
        <v>824</v>
      </c>
      <c r="Y520" s="7"/>
      <c r="Z520" s="7"/>
      <c r="AA520" s="7">
        <f>IF(AND(Hypothèses!$B$12=1,Z520="Secondary_Source"),0,1)</f>
        <v>1</v>
      </c>
    </row>
    <row r="521" spans="1:27" x14ac:dyDescent="0.3">
      <c r="A521" s="7" t="s">
        <v>858</v>
      </c>
      <c r="B521" s="7" t="s">
        <v>153</v>
      </c>
      <c r="C521" s="7" t="s">
        <v>169</v>
      </c>
      <c r="D521" s="7" t="s">
        <v>465</v>
      </c>
      <c r="E521" s="7" t="s">
        <v>245</v>
      </c>
      <c r="F521" s="7" t="s">
        <v>823</v>
      </c>
      <c r="G521" s="17"/>
      <c r="H521" s="17">
        <v>1943.8054999999999</v>
      </c>
      <c r="I521" s="17"/>
      <c r="J521" s="7" t="s">
        <v>651</v>
      </c>
      <c r="K521" s="7">
        <v>2023</v>
      </c>
      <c r="L521" s="7" t="str">
        <f>IF(Y521&lt;&gt;"",Y521,IF(AND(K521&gt;=Hypothèses!$B$9,K521&lt;=Hypothèses!$B$10),"actuel",IF(K521=2030,"2030",IF(K521=2050,"2050","autre"))))</f>
        <v>actuel</v>
      </c>
      <c r="M521" s="7"/>
      <c r="N521" s="7" t="s">
        <v>652</v>
      </c>
      <c r="O521" s="7"/>
      <c r="P521" s="7" t="s">
        <v>282</v>
      </c>
      <c r="Q521" s="7" t="s">
        <v>51</v>
      </c>
      <c r="R521" s="14">
        <f>INDEX(Hypothèses!$B$14:$B$22,MATCH(Q521,Hypothèses!$A$14:$A$22,0))</f>
        <v>1.3525</v>
      </c>
      <c r="S521" s="17" t="str">
        <f t="shared" si="24"/>
        <v/>
      </c>
      <c r="T521" s="17">
        <f t="shared" si="25"/>
        <v>2628.99693875</v>
      </c>
      <c r="U521" s="17" t="str">
        <f t="shared" si="26"/>
        <v/>
      </c>
      <c r="V521" s="7" t="s">
        <v>247</v>
      </c>
      <c r="W521" s="7" t="s">
        <v>84</v>
      </c>
      <c r="X521" s="7" t="s">
        <v>824</v>
      </c>
      <c r="Y521" s="7"/>
      <c r="Z521" s="7"/>
      <c r="AA521" s="7">
        <f>IF(AND(Hypothèses!$B$12=1,Z521="Secondary_Source"),0,1)</f>
        <v>1</v>
      </c>
    </row>
    <row r="522" spans="1:27" x14ac:dyDescent="0.3">
      <c r="A522" s="7" t="s">
        <v>859</v>
      </c>
      <c r="B522" s="7" t="s">
        <v>153</v>
      </c>
      <c r="C522" s="7" t="s">
        <v>159</v>
      </c>
      <c r="D522" s="7" t="s">
        <v>465</v>
      </c>
      <c r="E522" s="7" t="s">
        <v>245</v>
      </c>
      <c r="F522" s="7" t="s">
        <v>823</v>
      </c>
      <c r="G522" s="17"/>
      <c r="H522" s="17">
        <v>1189.3625</v>
      </c>
      <c r="I522" s="17"/>
      <c r="J522" s="7" t="s">
        <v>651</v>
      </c>
      <c r="K522" s="7">
        <v>2019</v>
      </c>
      <c r="L522" s="7" t="str">
        <f>IF(Y522&lt;&gt;"",Y522,IF(AND(K522&gt;=Hypothèses!$B$9,K522&lt;=Hypothèses!$B$10),"actuel",IF(K522=2030,"2030",IF(K522=2050,"2050","autre"))))</f>
        <v>autre</v>
      </c>
      <c r="M522" s="7"/>
      <c r="N522" s="7" t="s">
        <v>652</v>
      </c>
      <c r="O522" s="7"/>
      <c r="P522" s="7" t="s">
        <v>282</v>
      </c>
      <c r="Q522" s="7" t="s">
        <v>51</v>
      </c>
      <c r="R522" s="14">
        <f>INDEX(Hypothèses!$B$14:$B$22,MATCH(Q522,Hypothèses!$A$14:$A$22,0))</f>
        <v>1.3525</v>
      </c>
      <c r="S522" s="17" t="str">
        <f t="shared" si="24"/>
        <v/>
      </c>
      <c r="T522" s="17">
        <f t="shared" si="25"/>
        <v>1608.6127812499999</v>
      </c>
      <c r="U522" s="17" t="str">
        <f t="shared" si="26"/>
        <v/>
      </c>
      <c r="V522" s="7" t="s">
        <v>247</v>
      </c>
      <c r="W522" s="7" t="s">
        <v>84</v>
      </c>
      <c r="X522" s="7" t="s">
        <v>824</v>
      </c>
      <c r="Y522" s="7"/>
      <c r="Z522" s="7"/>
      <c r="AA522" s="7">
        <f>IF(AND(Hypothèses!$B$12=1,Z522="Secondary_Source"),0,1)</f>
        <v>1</v>
      </c>
    </row>
    <row r="523" spans="1:27" x14ac:dyDescent="0.3">
      <c r="A523" s="7" t="s">
        <v>860</v>
      </c>
      <c r="B523" s="7" t="s">
        <v>172</v>
      </c>
      <c r="C523" s="7" t="s">
        <v>171</v>
      </c>
      <c r="D523" s="7" t="s">
        <v>465</v>
      </c>
      <c r="E523" s="7" t="s">
        <v>245</v>
      </c>
      <c r="F523" s="7" t="s">
        <v>861</v>
      </c>
      <c r="G523" s="17"/>
      <c r="H523" s="17">
        <v>1188</v>
      </c>
      <c r="I523" s="17"/>
      <c r="J523" s="7" t="s">
        <v>862</v>
      </c>
      <c r="K523" s="7">
        <v>2024</v>
      </c>
      <c r="L523" s="7" t="str">
        <f>IF(Y523&lt;&gt;"",Y523,IF(AND(K523&gt;=Hypothèses!$B$9,K523&lt;=Hypothèses!$B$10),"actuel",IF(K523=2030,"2030",IF(K523=2050,"2050","autre"))))</f>
        <v>actuel</v>
      </c>
      <c r="M523" s="7" t="s">
        <v>863</v>
      </c>
      <c r="N523" s="7" t="s">
        <v>864</v>
      </c>
      <c r="O523" s="7"/>
      <c r="P523" s="7" t="s">
        <v>865</v>
      </c>
      <c r="Q523" s="7" t="s">
        <v>53</v>
      </c>
      <c r="R523" s="14">
        <f>INDEX(Hypothèses!$B$14:$B$22,MATCH(Q523,Hypothèses!$A$14:$A$22,0))</f>
        <v>1.0820000000000001</v>
      </c>
      <c r="S523" s="17" t="str">
        <f t="shared" si="24"/>
        <v/>
      </c>
      <c r="T523" s="17">
        <f t="shared" si="25"/>
        <v>1285.4160000000002</v>
      </c>
      <c r="U523" s="17" t="str">
        <f t="shared" si="26"/>
        <v/>
      </c>
      <c r="V523" s="7" t="s">
        <v>247</v>
      </c>
      <c r="W523" s="7" t="s">
        <v>84</v>
      </c>
      <c r="X523" s="7" t="s">
        <v>866</v>
      </c>
      <c r="Y523" s="7"/>
      <c r="Z523" s="7"/>
      <c r="AA523" s="7">
        <f>IF(AND(Hypothèses!$B$12=1,Z523="Secondary_Source"),0,1)</f>
        <v>1</v>
      </c>
    </row>
    <row r="524" spans="1:27" x14ac:dyDescent="0.3">
      <c r="A524" s="7" t="s">
        <v>867</v>
      </c>
      <c r="B524" s="7" t="s">
        <v>172</v>
      </c>
      <c r="C524" s="7" t="s">
        <v>171</v>
      </c>
      <c r="D524" s="7" t="s">
        <v>465</v>
      </c>
      <c r="E524" s="7" t="s">
        <v>868</v>
      </c>
      <c r="F524" s="7" t="s">
        <v>861</v>
      </c>
      <c r="G524" s="17"/>
      <c r="H524" s="17">
        <v>5</v>
      </c>
      <c r="I524" s="17"/>
      <c r="J524" s="7" t="s">
        <v>869</v>
      </c>
      <c r="K524" s="7">
        <v>2024</v>
      </c>
      <c r="L524" s="7" t="str">
        <f>IF(Y524&lt;&gt;"",Y524,IF(AND(K524&gt;=Hypothèses!$B$9,K524&lt;=Hypothèses!$B$10),"actuel",IF(K524=2030,"2030",IF(K524=2050,"2050","autre"))))</f>
        <v>actuel</v>
      </c>
      <c r="M524" s="7" t="s">
        <v>863</v>
      </c>
      <c r="N524" s="7" t="s">
        <v>864</v>
      </c>
      <c r="O524" s="7"/>
      <c r="P524" s="7" t="s">
        <v>865</v>
      </c>
      <c r="Q524" s="7" t="s">
        <v>55</v>
      </c>
      <c r="R524" s="14">
        <f>INDEX(Hypothèses!$B$14:$B$22,MATCH(Q524,Hypothèses!$A$14:$A$22,0))</f>
        <v>1</v>
      </c>
      <c r="S524" s="17" t="str">
        <f t="shared" si="24"/>
        <v/>
      </c>
      <c r="T524" s="17">
        <f t="shared" si="25"/>
        <v>5</v>
      </c>
      <c r="U524" s="17" t="str">
        <f t="shared" si="26"/>
        <v/>
      </c>
      <c r="V524" s="7" t="s">
        <v>869</v>
      </c>
      <c r="W524" s="7" t="s">
        <v>84</v>
      </c>
      <c r="X524" s="7" t="s">
        <v>866</v>
      </c>
      <c r="Y524" s="7"/>
      <c r="Z524" s="7"/>
      <c r="AA524" s="7">
        <f>IF(AND(Hypothèses!$B$12=1,Z524="Secondary_Source"),0,1)</f>
        <v>1</v>
      </c>
    </row>
    <row r="525" spans="1:27" x14ac:dyDescent="0.3">
      <c r="A525" s="7" t="s">
        <v>870</v>
      </c>
      <c r="B525" s="7" t="s">
        <v>172</v>
      </c>
      <c r="C525" s="7" t="s">
        <v>171</v>
      </c>
      <c r="D525" s="7" t="s">
        <v>465</v>
      </c>
      <c r="E525" s="7" t="s">
        <v>871</v>
      </c>
      <c r="F525" s="7" t="s">
        <v>861</v>
      </c>
      <c r="G525" s="17"/>
      <c r="H525" s="17">
        <v>30</v>
      </c>
      <c r="I525" s="17"/>
      <c r="J525" s="7" t="s">
        <v>872</v>
      </c>
      <c r="K525" s="7">
        <v>2024</v>
      </c>
      <c r="L525" s="7" t="str">
        <f>IF(Y525&lt;&gt;"",Y525,IF(AND(K525&gt;=Hypothèses!$B$9,K525&lt;=Hypothèses!$B$10),"actuel",IF(K525=2030,"2030",IF(K525=2050,"2050","autre"))))</f>
        <v>actuel</v>
      </c>
      <c r="M525" s="7" t="s">
        <v>863</v>
      </c>
      <c r="N525" s="7" t="s">
        <v>864</v>
      </c>
      <c r="O525" s="7"/>
      <c r="P525" s="7" t="s">
        <v>865</v>
      </c>
      <c r="Q525" s="7" t="s">
        <v>55</v>
      </c>
      <c r="R525" s="14">
        <f>INDEX(Hypothèses!$B$14:$B$22,MATCH(Q525,Hypothèses!$A$14:$A$22,0))</f>
        <v>1</v>
      </c>
      <c r="S525" s="17" t="str">
        <f t="shared" si="24"/>
        <v/>
      </c>
      <c r="T525" s="17">
        <f t="shared" si="25"/>
        <v>30</v>
      </c>
      <c r="U525" s="17" t="str">
        <f t="shared" si="26"/>
        <v/>
      </c>
      <c r="V525" s="7" t="s">
        <v>872</v>
      </c>
      <c r="W525" s="7" t="s">
        <v>84</v>
      </c>
      <c r="X525" s="7" t="s">
        <v>866</v>
      </c>
      <c r="Y525" s="7"/>
      <c r="Z525" s="7"/>
      <c r="AA525" s="7">
        <f>IF(AND(Hypothèses!$B$12=1,Z525="Secondary_Source"),0,1)</f>
        <v>1</v>
      </c>
    </row>
    <row r="526" spans="1:27" x14ac:dyDescent="0.3">
      <c r="A526" s="7" t="s">
        <v>873</v>
      </c>
      <c r="B526" s="7" t="s">
        <v>172</v>
      </c>
      <c r="C526" s="7" t="s">
        <v>171</v>
      </c>
      <c r="D526" s="7" t="s">
        <v>465</v>
      </c>
      <c r="E526" s="7" t="s">
        <v>874</v>
      </c>
      <c r="F526" s="7" t="s">
        <v>861</v>
      </c>
      <c r="G526" s="17"/>
      <c r="H526" s="17">
        <v>10</v>
      </c>
      <c r="I526" s="17"/>
      <c r="J526" s="7" t="s">
        <v>875</v>
      </c>
      <c r="K526" s="7">
        <v>2024</v>
      </c>
      <c r="L526" s="7" t="str">
        <f>IF(Y526&lt;&gt;"",Y526,IF(AND(K526&gt;=Hypothèses!$B$9,K526&lt;=Hypothèses!$B$10),"actuel",IF(K526=2030,"2030",IF(K526=2050,"2050","autre"))))</f>
        <v>actuel</v>
      </c>
      <c r="M526" s="7" t="s">
        <v>863</v>
      </c>
      <c r="N526" s="7" t="s">
        <v>864</v>
      </c>
      <c r="O526" s="7"/>
      <c r="P526" s="7" t="s">
        <v>865</v>
      </c>
      <c r="Q526" s="7" t="s">
        <v>55</v>
      </c>
      <c r="R526" s="14">
        <f>INDEX(Hypothèses!$B$14:$B$22,MATCH(Q526,Hypothèses!$A$14:$A$22,0))</f>
        <v>1</v>
      </c>
      <c r="S526" s="17" t="str">
        <f t="shared" si="24"/>
        <v/>
      </c>
      <c r="T526" s="17">
        <f t="shared" si="25"/>
        <v>10</v>
      </c>
      <c r="U526" s="17" t="str">
        <f t="shared" si="26"/>
        <v/>
      </c>
      <c r="V526" s="7" t="s">
        <v>875</v>
      </c>
      <c r="W526" s="7" t="s">
        <v>84</v>
      </c>
      <c r="X526" s="7" t="s">
        <v>866</v>
      </c>
      <c r="Y526" s="7"/>
      <c r="Z526" s="7"/>
      <c r="AA526" s="7">
        <f>IF(AND(Hypothèses!$B$12=1,Z526="Secondary_Source"),0,1)</f>
        <v>1</v>
      </c>
    </row>
    <row r="527" spans="1:27" x14ac:dyDescent="0.3">
      <c r="A527" s="7" t="s">
        <v>876</v>
      </c>
      <c r="B527" s="7" t="s">
        <v>172</v>
      </c>
      <c r="C527" s="7" t="s">
        <v>171</v>
      </c>
      <c r="D527" s="7" t="s">
        <v>465</v>
      </c>
      <c r="E527" s="7" t="s">
        <v>877</v>
      </c>
      <c r="F527" s="7" t="s">
        <v>861</v>
      </c>
      <c r="G527" s="17"/>
      <c r="H527" s="17">
        <v>3</v>
      </c>
      <c r="I527" s="17"/>
      <c r="J527" s="7" t="s">
        <v>878</v>
      </c>
      <c r="K527" s="7">
        <v>2024</v>
      </c>
      <c r="L527" s="7" t="str">
        <f>IF(Y527&lt;&gt;"",Y527,IF(AND(K527&gt;=Hypothèses!$B$9,K527&lt;=Hypothèses!$B$10),"actuel",IF(K527=2030,"2030",IF(K527=2050,"2050","autre"))))</f>
        <v>actuel</v>
      </c>
      <c r="M527" s="7" t="s">
        <v>863</v>
      </c>
      <c r="N527" s="7" t="s">
        <v>864</v>
      </c>
      <c r="O527" s="7"/>
      <c r="P527" s="7" t="s">
        <v>865</v>
      </c>
      <c r="Q527" s="7" t="s">
        <v>55</v>
      </c>
      <c r="R527" s="14">
        <f>INDEX(Hypothèses!$B$14:$B$22,MATCH(Q527,Hypothèses!$A$14:$A$22,0))</f>
        <v>1</v>
      </c>
      <c r="S527" s="17" t="str">
        <f t="shared" si="24"/>
        <v/>
      </c>
      <c r="T527" s="17">
        <f t="shared" si="25"/>
        <v>3</v>
      </c>
      <c r="U527" s="17" t="str">
        <f t="shared" si="26"/>
        <v/>
      </c>
      <c r="V527" s="7" t="s">
        <v>878</v>
      </c>
      <c r="W527" s="7" t="s">
        <v>84</v>
      </c>
      <c r="X527" s="7" t="s">
        <v>866</v>
      </c>
      <c r="Y527" s="7"/>
      <c r="Z527" s="7"/>
      <c r="AA527" s="7">
        <f>IF(AND(Hypothèses!$B$12=1,Z527="Secondary_Source"),0,1)</f>
        <v>1</v>
      </c>
    </row>
    <row r="528" spans="1:27" x14ac:dyDescent="0.3">
      <c r="A528" s="7" t="s">
        <v>879</v>
      </c>
      <c r="B528" s="7" t="s">
        <v>172</v>
      </c>
      <c r="C528" s="7" t="s">
        <v>171</v>
      </c>
      <c r="D528" s="7" t="s">
        <v>465</v>
      </c>
      <c r="E528" s="7" t="s">
        <v>705</v>
      </c>
      <c r="F528" s="7" t="s">
        <v>861</v>
      </c>
      <c r="G528" s="17"/>
      <c r="H528" s="17">
        <v>65</v>
      </c>
      <c r="I528" s="17"/>
      <c r="J528" s="7" t="s">
        <v>706</v>
      </c>
      <c r="K528" s="7">
        <v>2024</v>
      </c>
      <c r="L528" s="7" t="str">
        <f>IF(Y528&lt;&gt;"",Y528,IF(AND(K528&gt;=Hypothèses!$B$9,K528&lt;=Hypothèses!$B$10),"actuel",IF(K528=2030,"2030",IF(K528=2050,"2050","autre"))))</f>
        <v>actuel</v>
      </c>
      <c r="M528" s="7" t="s">
        <v>863</v>
      </c>
      <c r="N528" s="7" t="s">
        <v>864</v>
      </c>
      <c r="O528" s="7" t="s">
        <v>714</v>
      </c>
      <c r="P528" s="7" t="s">
        <v>865</v>
      </c>
      <c r="Q528" s="7" t="s">
        <v>55</v>
      </c>
      <c r="R528" s="14">
        <f>INDEX(Hypothèses!$B$14:$B$22,MATCH(Q528,Hypothèses!$A$14:$A$22,0))</f>
        <v>1</v>
      </c>
      <c r="S528" s="17" t="str">
        <f t="shared" si="24"/>
        <v/>
      </c>
      <c r="T528" s="17">
        <f t="shared" si="25"/>
        <v>65</v>
      </c>
      <c r="U528" s="17" t="str">
        <f t="shared" si="26"/>
        <v/>
      </c>
      <c r="V528" s="7" t="s">
        <v>706</v>
      </c>
      <c r="W528" s="7" t="s">
        <v>84</v>
      </c>
      <c r="X528" s="7" t="s">
        <v>866</v>
      </c>
      <c r="Y528" s="7"/>
      <c r="Z528" s="7"/>
      <c r="AA528" s="7">
        <f>IF(AND(Hypothèses!$B$12=1,Z528="Secondary_Source"),0,1)</f>
        <v>1</v>
      </c>
    </row>
    <row r="529" spans="1:27" x14ac:dyDescent="0.3">
      <c r="A529" s="7" t="s">
        <v>880</v>
      </c>
      <c r="B529" s="7" t="s">
        <v>172</v>
      </c>
      <c r="C529" s="7" t="s">
        <v>171</v>
      </c>
      <c r="D529" s="7" t="s">
        <v>881</v>
      </c>
      <c r="E529" s="7" t="s">
        <v>882</v>
      </c>
      <c r="F529" s="7" t="s">
        <v>861</v>
      </c>
      <c r="G529" s="17"/>
      <c r="H529" s="17">
        <v>4</v>
      </c>
      <c r="I529" s="17"/>
      <c r="J529" s="7" t="s">
        <v>883</v>
      </c>
      <c r="K529" s="7">
        <v>2024</v>
      </c>
      <c r="L529" s="7" t="str">
        <f>IF(Y529&lt;&gt;"",Y529,IF(AND(K529&gt;=Hypothèses!$B$9,K529&lt;=Hypothèses!$B$10),"actuel",IF(K529=2030,"2030",IF(K529=2050,"2050","autre"))))</f>
        <v>actuel</v>
      </c>
      <c r="M529" s="7"/>
      <c r="N529" s="7" t="s">
        <v>884</v>
      </c>
      <c r="O529" s="7"/>
      <c r="P529" s="7" t="s">
        <v>865</v>
      </c>
      <c r="Q529" s="7" t="s">
        <v>55</v>
      </c>
      <c r="R529" s="14">
        <f>INDEX(Hypothèses!$B$14:$B$22,MATCH(Q529,Hypothèses!$A$14:$A$22,0))</f>
        <v>1</v>
      </c>
      <c r="S529" s="17" t="str">
        <f t="shared" si="24"/>
        <v/>
      </c>
      <c r="T529" s="17">
        <f t="shared" si="25"/>
        <v>4</v>
      </c>
      <c r="U529" s="17" t="str">
        <f t="shared" si="26"/>
        <v/>
      </c>
      <c r="V529" s="7" t="s">
        <v>883</v>
      </c>
      <c r="W529" s="7" t="s">
        <v>84</v>
      </c>
      <c r="X529" s="7" t="s">
        <v>866</v>
      </c>
      <c r="Y529" s="7"/>
      <c r="Z529" s="7"/>
      <c r="AA529" s="7">
        <f>IF(AND(Hypothèses!$B$12=1,Z529="Secondary_Source"),0,1)</f>
        <v>1</v>
      </c>
    </row>
    <row r="530" spans="1:27" x14ac:dyDescent="0.3">
      <c r="A530" s="7" t="s">
        <v>885</v>
      </c>
      <c r="B530" s="7" t="s">
        <v>172</v>
      </c>
      <c r="C530" s="7" t="s">
        <v>171</v>
      </c>
      <c r="D530" s="7" t="s">
        <v>881</v>
      </c>
      <c r="E530" s="7" t="s">
        <v>886</v>
      </c>
      <c r="F530" s="7" t="s">
        <v>861</v>
      </c>
      <c r="G530" s="17"/>
      <c r="H530" s="17">
        <v>9</v>
      </c>
      <c r="I530" s="17"/>
      <c r="J530" s="7" t="s">
        <v>887</v>
      </c>
      <c r="K530" s="7">
        <v>2024</v>
      </c>
      <c r="L530" s="7" t="str">
        <f>IF(Y530&lt;&gt;"",Y530,IF(AND(K530&gt;=Hypothèses!$B$9,K530&lt;=Hypothèses!$B$10),"actuel",IF(K530=2030,"2030",IF(K530=2050,"2050","autre"))))</f>
        <v>actuel</v>
      </c>
      <c r="M530" s="7"/>
      <c r="N530" s="7" t="s">
        <v>884</v>
      </c>
      <c r="O530" s="7"/>
      <c r="P530" s="7" t="s">
        <v>865</v>
      </c>
      <c r="Q530" s="7" t="s">
        <v>55</v>
      </c>
      <c r="R530" s="14">
        <f>INDEX(Hypothèses!$B$14:$B$22,MATCH(Q530,Hypothèses!$A$14:$A$22,0))</f>
        <v>1</v>
      </c>
      <c r="S530" s="17" t="str">
        <f t="shared" si="24"/>
        <v/>
      </c>
      <c r="T530" s="17">
        <f t="shared" si="25"/>
        <v>9</v>
      </c>
      <c r="U530" s="17" t="str">
        <f t="shared" si="26"/>
        <v/>
      </c>
      <c r="V530" s="7" t="s">
        <v>887</v>
      </c>
      <c r="W530" s="7" t="s">
        <v>84</v>
      </c>
      <c r="X530" s="7" t="s">
        <v>888</v>
      </c>
      <c r="Y530" s="7"/>
      <c r="Z530" s="7"/>
      <c r="AA530" s="7">
        <f>IF(AND(Hypothèses!$B$12=1,Z530="Secondary_Source"),0,1)</f>
        <v>1</v>
      </c>
    </row>
  </sheetData>
  <autoFilter ref="A1:AA530"/>
  <dataValidations count="1">
    <dataValidation type="list" allowBlank="1" sqref="W2:W800">
      <formula1>"à vérifier,vérifié"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13" customWidth="1"/>
    <col min="2" max="4" width="10" customWidth="1"/>
    <col min="5" max="7" width="11" customWidth="1"/>
    <col min="8" max="9" width="13" customWidth="1"/>
    <col min="10" max="11" width="12" customWidth="1"/>
    <col min="12" max="14" width="11" customWidth="1"/>
  </cols>
  <sheetData>
    <row r="1" spans="1:14" ht="16.8" x14ac:dyDescent="0.3">
      <c r="A1" s="6" t="s">
        <v>889</v>
      </c>
    </row>
    <row r="2" spans="1:14" ht="42" customHeight="1" x14ac:dyDescent="0.3">
      <c r="A2" s="2" t="s">
        <v>890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43.5" customHeight="1" x14ac:dyDescent="0.3">
      <c r="A4" s="8" t="s">
        <v>222</v>
      </c>
      <c r="B4" s="8" t="s">
        <v>229</v>
      </c>
      <c r="C4" s="8" t="s">
        <v>891</v>
      </c>
      <c r="D4" s="8" t="s">
        <v>892</v>
      </c>
      <c r="E4" s="8" t="s">
        <v>893</v>
      </c>
      <c r="F4" s="8" t="s">
        <v>894</v>
      </c>
      <c r="G4" s="8" t="s">
        <v>895</v>
      </c>
      <c r="H4" s="8" t="s">
        <v>896</v>
      </c>
      <c r="I4" s="8" t="s">
        <v>897</v>
      </c>
      <c r="J4" s="8" t="s">
        <v>898</v>
      </c>
      <c r="K4" s="8" t="s">
        <v>899</v>
      </c>
      <c r="L4" s="8" t="s">
        <v>900</v>
      </c>
      <c r="M4" s="8" t="s">
        <v>901</v>
      </c>
      <c r="N4" s="8" t="s">
        <v>902</v>
      </c>
    </row>
    <row r="5" spans="1:14" x14ac:dyDescent="0.3">
      <c r="A5" s="18" t="s">
        <v>244</v>
      </c>
      <c r="B5" s="18" t="s">
        <v>654</v>
      </c>
      <c r="C5" s="19">
        <f>SUMPRODUCT((Données!$D$2:$D$800=$A5)*(Données!$E$2:$E$800="CAPEX")*(Données!$L$2:$L$800=$B5)*ISNUMBER(Données!$T$2:$T$800)*(Données!$AA$2:$AA$800=1))</f>
        <v>50</v>
      </c>
      <c r="D5" s="19">
        <f>SUMPRODUCT(((Données!$D$2:$D$800=$A5)*(Données!$E$2:$E$800="CAPEX")*(Données!$L$2:$L$800=$B5)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29.000000000000011</v>
      </c>
      <c r="E5" s="20">
        <f t="array" ref="E5">IF(C5=0,"—",MIN(IF((Données!$D$2:$D$800=$A5)*(Données!$E$2:$E$800="CAPEX")*(Données!$L$2:$L$800=$B5)*ISNUMBER(Données!$T$2:$T$800)*(Données!$AA$2:$AA$800=1),Données!$T$2:$T$800)))</f>
        <v>206</v>
      </c>
      <c r="F5" s="20">
        <f t="array" ref="F5">IF(C5=0,"—",MEDIAN(IF((Données!$D$2:$D$800=$A5)*(Données!$E$2:$E$800="CAPEX")*(Données!$L$2:$L$800=$B5)*ISNUMBER(Données!$T$2:$T$800)*(Données!$AA$2:$AA$800=1),Données!$T$2:$T$800)))</f>
        <v>996.66981543255201</v>
      </c>
      <c r="G5" s="20">
        <f t="array" ref="G5">IF(C5=0,"—",MAX(IF((Données!$D$2:$D$800=$A5)*(Données!$E$2:$E$800="CAPEX")*(Données!$L$2:$L$800=$B5)*ISNUMBER(Données!$T$2:$T$800)*(Données!$AA$2:$AA$800=1),Données!$T$2:$T$800)))</f>
        <v>2146.1199500000002</v>
      </c>
      <c r="H5" s="20">
        <f t="array" ref="H5">IF(SUMPRODUCT((Données!$D$2:$D$800=$A5)*(Données!$E$2:$E$800="CAPEX")*(Données!$L$2:$L$800=$B5)*ISNUMBER(Données!$S$2:$S$800)*(Données!$AA$2:$AA$800=1))=0,"—",MIN(IF((Données!$D$2:$D$800=$A5)*(Données!$E$2:$E$800="CAPEX")*(Données!$L$2:$L$800=$B5)*ISNUMBER(Données!$S$2:$S$800)*(Données!$AA$2:$AA$800=1),Données!$S$2:$S$800)))</f>
        <v>352.26</v>
      </c>
      <c r="I5" s="20">
        <f t="array" ref="I5">IF(SUMPRODUCT((Données!$D$2:$D$800=$A5)*(Données!$E$2:$E$800="CAPEX")*(Données!$L$2:$L$800=$B5)*ISNUMBER(Données!$U$2:$U$800)*(Données!$AA$2:$AA$800=1))=0,"—",MAX(IF((Données!$D$2:$D$800=$A5)*(Données!$E$2:$E$800="CAPEX")*(Données!$L$2:$L$800=$B5)*ISNUMBER(Données!$U$2:$U$800)*(Données!$AA$2:$AA$800=1),Données!$U$2:$U$800)))</f>
        <v>2457</v>
      </c>
      <c r="J5" s="19">
        <f>SUMPRODUCT((Données!$D$2:$D$800=$A5)*(Données!$E$2:$E$800="Rendement (PCI)")*(Données!$L$2:$L$800=$B5)*ISNUMBER(Données!$T$2:$T$800)*(Données!$AA$2:$AA$800=1))</f>
        <v>10</v>
      </c>
      <c r="K5" s="19">
        <f>SUMPRODUCT(((Données!$D$2:$D$800=$A5)*(Données!$E$2:$E$800="Rendement (PCI)")*(Données!$L$2:$L$800=$B5)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7</v>
      </c>
      <c r="L5" s="21">
        <f t="array" ref="L5">IF(J5=0,"—",MIN(IF((Données!$D$2:$D$800=$A5)*(Données!$E$2:$E$800="Rendement (PCI)")*(Données!$L$2:$L$800=$B5)*ISNUMBER(Données!$T$2:$T$800)*(Données!$AA$2:$AA$800=1),Données!$T$2:$T$800)))</f>
        <v>57</v>
      </c>
      <c r="M5" s="21">
        <f t="array" ref="M5">IF(J5=0,"—",MEDIAN(IF((Données!$D$2:$D$800=$A5)*(Données!$E$2:$E$800="Rendement (PCI)")*(Données!$L$2:$L$800=$B5)*ISNUMBER(Données!$T$2:$T$800)*(Données!$AA$2:$AA$800=1),Données!$T$2:$T$800)))</f>
        <v>61</v>
      </c>
      <c r="N5" s="21">
        <f t="array" ref="N5">IF(J5=0,"—",MAX(IF((Données!$D$2:$D$800=$A5)*(Données!$E$2:$E$800="Rendement (PCI)")*(Données!$L$2:$L$800=$B5)*ISNUMBER(Données!$T$2:$T$800)*(Données!$AA$2:$AA$800=1),Données!$T$2:$T$800)))</f>
        <v>70</v>
      </c>
    </row>
    <row r="6" spans="1:14" x14ac:dyDescent="0.3">
      <c r="A6" s="18" t="s">
        <v>244</v>
      </c>
      <c r="B6" s="18" t="s">
        <v>903</v>
      </c>
      <c r="C6" s="19">
        <f>SUMPRODUCT((Données!$D$2:$D$800=$A6)*(Données!$E$2:$E$800="CAPEX")*(Données!$L$2:$L$800=$B6)*ISNUMBER(Données!$T$2:$T$800)*(Données!$AA$2:$AA$800=1))</f>
        <v>19</v>
      </c>
      <c r="D6" s="19">
        <f>SUMPRODUCT(((Données!$D$2:$D$800=$A6)*(Données!$E$2:$E$800="CAPEX")*(Données!$L$2:$L$800=$B6)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19</v>
      </c>
      <c r="E6" s="20">
        <f t="array" ref="E6">IF(C6=0,"—",MIN(IF((Données!$D$2:$D$800=$A6)*(Données!$E$2:$E$800="CAPEX")*(Données!$L$2:$L$800=$B6)*ISNUMBER(Données!$T$2:$T$800)*(Données!$AA$2:$AA$800=1),Données!$T$2:$T$800)))</f>
        <v>128.75</v>
      </c>
      <c r="F6" s="20">
        <f t="array" ref="F6">IF(C6=0,"—",MEDIAN(IF((Données!$D$2:$D$800=$A6)*(Données!$E$2:$E$800="CAPEX")*(Données!$L$2:$L$800=$B6)*ISNUMBER(Données!$T$2:$T$800)*(Données!$AA$2:$AA$800=1),Données!$T$2:$T$800)))</f>
        <v>594.23076923076906</v>
      </c>
      <c r="G6" s="20">
        <f t="array" ref="G6">IF(C6=0,"—",MAX(IF((Données!$D$2:$D$800=$A6)*(Données!$E$2:$E$800="CAPEX")*(Données!$L$2:$L$800=$B6)*ISNUMBER(Données!$T$2:$T$800)*(Données!$AA$2:$AA$800=1),Données!$T$2:$T$800)))</f>
        <v>999.76800000000014</v>
      </c>
      <c r="H6" s="20">
        <f t="array" ref="H6">IF(SUMPRODUCT((Données!$D$2:$D$800=$A6)*(Données!$E$2:$E$800="CAPEX")*(Données!$L$2:$L$800=$B6)*ISNUMBER(Données!$S$2:$S$800)*(Données!$AA$2:$AA$800=1))=0,"—",MIN(IF((Données!$D$2:$D$800=$A6)*(Données!$E$2:$E$800="CAPEX")*(Données!$L$2:$L$800=$B6)*ISNUMBER(Données!$S$2:$S$800)*(Données!$AA$2:$AA$800=1),Données!$S$2:$S$800)))</f>
        <v>196.73</v>
      </c>
      <c r="I6" s="20">
        <f t="array" ref="I6">IF(SUMPRODUCT((Données!$D$2:$D$800=$A6)*(Données!$E$2:$E$800="CAPEX")*(Données!$L$2:$L$800=$B6)*ISNUMBER(Données!$U$2:$U$800)*(Données!$AA$2:$AA$800=1))=0,"—",MAX(IF((Données!$D$2:$D$800=$A6)*(Données!$E$2:$E$800="CAPEX")*(Données!$L$2:$L$800=$B6)*ISNUMBER(Données!$U$2:$U$800)*(Données!$AA$2:$AA$800=1),Données!$U$2:$U$800)))</f>
        <v>1141.3383181818199</v>
      </c>
      <c r="J6" s="19">
        <f>SUMPRODUCT((Données!$D$2:$D$800=$A6)*(Données!$E$2:$E$800="Rendement (PCI)")*(Données!$L$2:$L$800=$B6)*ISNUMBER(Données!$T$2:$T$800)*(Données!$AA$2:$AA$800=1))</f>
        <v>4</v>
      </c>
      <c r="K6" s="19">
        <f>SUMPRODUCT(((Données!$D$2:$D$800=$A6)*(Données!$E$2:$E$800="Rendement (PCI)")*(Données!$L$2:$L$800=$B6)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4</v>
      </c>
      <c r="L6" s="21">
        <f t="array" ref="L6">IF(J6=0,"—",MIN(IF((Données!$D$2:$D$800=$A6)*(Données!$E$2:$E$800="Rendement (PCI)")*(Données!$L$2:$L$800=$B6)*ISNUMBER(Données!$T$2:$T$800)*(Données!$AA$2:$AA$800=1),Données!$T$2:$T$800)))</f>
        <v>61</v>
      </c>
      <c r="M6" s="21">
        <f t="array" ref="M6">IF(J6=0,"—",MEDIAN(IF((Données!$D$2:$D$800=$A6)*(Données!$E$2:$E$800="Rendement (PCI)")*(Données!$L$2:$L$800=$B6)*ISNUMBER(Données!$T$2:$T$800)*(Données!$AA$2:$AA$800=1),Données!$T$2:$T$800)))</f>
        <v>65.75</v>
      </c>
      <c r="N6" s="21">
        <f t="array" ref="N6">IF(J6=0,"—",MAX(IF((Données!$D$2:$D$800=$A6)*(Données!$E$2:$E$800="Rendement (PCI)")*(Données!$L$2:$L$800=$B6)*ISNUMBER(Données!$T$2:$T$800)*(Données!$AA$2:$AA$800=1),Données!$T$2:$T$800)))</f>
        <v>75</v>
      </c>
    </row>
    <row r="7" spans="1:14" x14ac:dyDescent="0.3">
      <c r="A7" s="18" t="s">
        <v>244</v>
      </c>
      <c r="B7" s="18" t="s">
        <v>904</v>
      </c>
      <c r="C7" s="19">
        <f>SUMPRODUCT((Données!$D$2:$D$800=$A7)*(Données!$E$2:$E$800="CAPEX")*(Données!$L$2:$L$800=$B7)*ISNUMBER(Données!$T$2:$T$800)*(Données!$AA$2:$AA$800=1))</f>
        <v>17</v>
      </c>
      <c r="D7" s="19">
        <f>SUMPRODUCT(((Données!$D$2:$D$800=$A7)*(Données!$E$2:$E$800="CAPEX")*(Données!$L$2:$L$800=$B7)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17</v>
      </c>
      <c r="E7" s="20">
        <f t="array" ref="E7">IF(C7=0,"—",MIN(IF((Données!$D$2:$D$800=$A7)*(Données!$E$2:$E$800="CAPEX")*(Données!$L$2:$L$800=$B7)*ISNUMBER(Données!$T$2:$T$800)*(Données!$AA$2:$AA$800=1),Données!$T$2:$T$800)))</f>
        <v>79.230769230769198</v>
      </c>
      <c r="F7" s="20">
        <f t="array" ref="F7">IF(C7=0,"—",MEDIAN(IF((Données!$D$2:$D$800=$A7)*(Données!$E$2:$E$800="CAPEX")*(Données!$L$2:$L$800=$B7)*ISNUMBER(Données!$T$2:$T$800)*(Données!$AA$2:$AA$800=1),Données!$T$2:$T$800)))</f>
        <v>368.85845</v>
      </c>
      <c r="G7" s="20">
        <f t="array" ref="G7">IF(C7=0,"—",MAX(IF((Données!$D$2:$D$800=$A7)*(Données!$E$2:$E$800="CAPEX")*(Données!$L$2:$L$800=$B7)*ISNUMBER(Données!$T$2:$T$800)*(Données!$AA$2:$AA$800=1),Données!$T$2:$T$800)))</f>
        <v>840.67072000000007</v>
      </c>
      <c r="H7" s="20">
        <f t="array" ref="H7">IF(SUMPRODUCT((Données!$D$2:$D$800=$A7)*(Données!$E$2:$E$800="CAPEX")*(Données!$L$2:$L$800=$B7)*ISNUMBER(Données!$S$2:$S$800)*(Données!$AA$2:$AA$800=1))=0,"—",MIN(IF((Données!$D$2:$D$800=$A7)*(Données!$E$2:$E$800="CAPEX")*(Données!$L$2:$L$800=$B7)*ISNUMBER(Données!$S$2:$S$800)*(Données!$AA$2:$AA$800=1),Données!$S$2:$S$800)))</f>
        <v>76.22</v>
      </c>
      <c r="I7" s="20">
        <f t="array" ref="I7">IF(SUMPRODUCT((Données!$D$2:$D$800=$A7)*(Données!$E$2:$E$800="CAPEX")*(Données!$L$2:$L$800=$B7)*ISNUMBER(Données!$U$2:$U$800)*(Données!$AA$2:$AA$800=1))=0,"—",MAX(IF((Données!$D$2:$D$800=$A7)*(Données!$E$2:$E$800="CAPEX")*(Données!$L$2:$L$800=$B7)*ISNUMBER(Données!$U$2:$U$800)*(Données!$AA$2:$AA$800=1),Données!$U$2:$U$800)))</f>
        <v>1024.8757499999999</v>
      </c>
      <c r="J7" s="19">
        <f>SUMPRODUCT((Données!$D$2:$D$800=$A7)*(Données!$E$2:$E$800="Rendement (PCI)")*(Données!$L$2:$L$800=$B7)*ISNUMBER(Données!$T$2:$T$800)*(Données!$AA$2:$AA$800=1))</f>
        <v>3</v>
      </c>
      <c r="K7" s="19">
        <f>SUMPRODUCT(((Données!$D$2:$D$800=$A7)*(Données!$E$2:$E$800="Rendement (PCI)")*(Données!$L$2:$L$800=$B7)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3</v>
      </c>
      <c r="L7" s="21">
        <f t="array" ref="L7">IF(J7=0,"—",MIN(IF((Données!$D$2:$D$800=$A7)*(Données!$E$2:$E$800="Rendement (PCI)")*(Données!$L$2:$L$800=$B7)*ISNUMBER(Données!$T$2:$T$800)*(Données!$AA$2:$AA$800=1),Données!$T$2:$T$800)))</f>
        <v>61</v>
      </c>
      <c r="M7" s="21">
        <f t="array" ref="M7">IF(J7=0,"—",MEDIAN(IF((Données!$D$2:$D$800=$A7)*(Données!$E$2:$E$800="Rendement (PCI)")*(Données!$L$2:$L$800=$B7)*ISNUMBER(Données!$T$2:$T$800)*(Données!$AA$2:$AA$800=1),Données!$T$2:$T$800)))</f>
        <v>61</v>
      </c>
      <c r="N7" s="21">
        <f t="array" ref="N7">IF(J7=0,"—",MAX(IF((Données!$D$2:$D$800=$A7)*(Données!$E$2:$E$800="Rendement (PCI)")*(Données!$L$2:$L$800=$B7)*ISNUMBER(Données!$T$2:$T$800)*(Données!$AA$2:$AA$800=1),Données!$T$2:$T$800)))</f>
        <v>72.2</v>
      </c>
    </row>
    <row r="8" spans="1:14" x14ac:dyDescent="0.3">
      <c r="A8" s="18" t="s">
        <v>465</v>
      </c>
      <c r="B8" s="18" t="s">
        <v>654</v>
      </c>
      <c r="C8" s="19">
        <f>SUMPRODUCT((Données!$D$2:$D$800=$A8)*(Données!$E$2:$E$800="CAPEX")*(Données!$L$2:$L$800=$B8)*ISNUMBER(Données!$T$2:$T$800)*(Données!$AA$2:$AA$800=1))</f>
        <v>64</v>
      </c>
      <c r="D8" s="19">
        <f>SUMPRODUCT(((Données!$D$2:$D$800=$A8)*(Données!$E$2:$E$800="CAPEX")*(Données!$L$2:$L$800=$B8)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32</v>
      </c>
      <c r="E8" s="20">
        <f t="array" ref="E8">IF(C8=0,"—",MIN(IF((Données!$D$2:$D$800=$A8)*(Données!$E$2:$E$800="CAPEX")*(Données!$L$2:$L$800=$B8)*ISNUMBER(Données!$T$2:$T$800)*(Données!$AA$2:$AA$800=1),Données!$T$2:$T$800)))</f>
        <v>555.71074999999996</v>
      </c>
      <c r="F8" s="20">
        <f t="array" ref="F8">IF(C8=0,"—",MEDIAN(IF((Données!$D$2:$D$800=$A8)*(Données!$E$2:$E$800="CAPEX")*(Données!$L$2:$L$800=$B8)*ISNUMBER(Données!$T$2:$T$800)*(Données!$AA$2:$AA$800=1),Données!$T$2:$T$800)))</f>
        <v>1338.85374</v>
      </c>
      <c r="G8" s="20">
        <f t="array" ref="G8">IF(C8=0,"—",MAX(IF((Données!$D$2:$D$800=$A8)*(Données!$E$2:$E$800="CAPEX")*(Données!$L$2:$L$800=$B8)*ISNUMBER(Données!$T$2:$T$800)*(Données!$AA$2:$AA$800=1),Données!$T$2:$T$800)))</f>
        <v>2837.0039999999999</v>
      </c>
      <c r="H8" s="20">
        <f t="array" ref="H8">IF(SUMPRODUCT((Données!$D$2:$D$800=$A8)*(Données!$E$2:$E$800="CAPEX")*(Données!$L$2:$L$800=$B8)*ISNUMBER(Données!$S$2:$S$800)*(Données!$AA$2:$AA$800=1))=0,"—",MIN(IF((Données!$D$2:$D$800=$A8)*(Données!$E$2:$E$800="CAPEX")*(Données!$L$2:$L$800=$B8)*ISNUMBER(Données!$S$2:$S$800)*(Données!$AA$2:$AA$800=1),Données!$S$2:$S$800)))</f>
        <v>357.727913461539</v>
      </c>
      <c r="I8" s="20">
        <f t="array" ref="I8">IF(SUMPRODUCT((Données!$D$2:$D$800=$A8)*(Données!$E$2:$E$800="CAPEX")*(Données!$L$2:$L$800=$B8)*ISNUMBER(Données!$U$2:$U$800)*(Données!$AA$2:$AA$800=1))=0,"—",MAX(IF((Données!$D$2:$D$800=$A8)*(Données!$E$2:$E$800="CAPEX")*(Données!$L$2:$L$800=$B8)*ISNUMBER(Données!$U$2:$U$800)*(Données!$AA$2:$AA$800=1),Données!$U$2:$U$800)))</f>
        <v>2769.8760000000002</v>
      </c>
      <c r="J8" s="19">
        <f>SUMPRODUCT((Données!$D$2:$D$800=$A8)*(Données!$E$2:$E$800="Rendement (PCI)")*(Données!$L$2:$L$800=$B8)*ISNUMBER(Données!$T$2:$T$800)*(Données!$AA$2:$AA$800=1))</f>
        <v>8</v>
      </c>
      <c r="K8" s="19">
        <f>SUMPRODUCT(((Données!$D$2:$D$800=$A8)*(Données!$E$2:$E$800="Rendement (PCI)")*(Données!$L$2:$L$800=$B8)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7</v>
      </c>
      <c r="L8" s="21">
        <f t="array" ref="L8">IF(J8=0,"—",MIN(IF((Données!$D$2:$D$800=$A8)*(Données!$E$2:$E$800="Rendement (PCI)")*(Données!$L$2:$L$800=$B8)*ISNUMBER(Données!$T$2:$T$800)*(Données!$AA$2:$AA$800=1),Données!$T$2:$T$800)))</f>
        <v>54</v>
      </c>
      <c r="M8" s="21">
        <f t="array" ref="M8">IF(J8=0,"—",MEDIAN(IF((Données!$D$2:$D$800=$A8)*(Données!$E$2:$E$800="Rendement (PCI)")*(Données!$L$2:$L$800=$B8)*ISNUMBER(Données!$T$2:$T$800)*(Données!$AA$2:$AA$800=1),Données!$T$2:$T$800)))</f>
        <v>63.15</v>
      </c>
      <c r="N8" s="21">
        <f t="array" ref="N8">IF(J8=0,"—",MAX(IF((Données!$D$2:$D$800=$A8)*(Données!$E$2:$E$800="Rendement (PCI)")*(Données!$L$2:$L$800=$B8)*ISNUMBER(Données!$T$2:$T$800)*(Données!$AA$2:$AA$800=1),Données!$T$2:$T$800)))</f>
        <v>67</v>
      </c>
    </row>
    <row r="9" spans="1:14" x14ac:dyDescent="0.3">
      <c r="A9" s="18" t="s">
        <v>465</v>
      </c>
      <c r="B9" s="18" t="s">
        <v>903</v>
      </c>
      <c r="C9" s="19">
        <f>SUMPRODUCT((Données!$D$2:$D$800=$A9)*(Données!$E$2:$E$800="CAPEX")*(Données!$L$2:$L$800=$B9)*ISNUMBER(Données!$T$2:$T$800)*(Données!$AA$2:$AA$800=1))</f>
        <v>22</v>
      </c>
      <c r="D9" s="19">
        <f>SUMPRODUCT(((Données!$D$2:$D$800=$A9)*(Données!$E$2:$E$800="CAPEX")*(Données!$L$2:$L$800=$B9)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22</v>
      </c>
      <c r="E9" s="20">
        <f t="array" ref="E9">IF(C9=0,"—",MIN(IF((Données!$D$2:$D$800=$A9)*(Données!$E$2:$E$800="CAPEX")*(Données!$L$2:$L$800=$B9)*ISNUMBER(Données!$T$2:$T$800)*(Données!$AA$2:$AA$800=1),Données!$T$2:$T$800)))</f>
        <v>361.12691346153798</v>
      </c>
      <c r="F9" s="20">
        <f t="array" ref="F9">IF(C9=0,"—",MEDIAN(IF((Données!$D$2:$D$800=$A9)*(Données!$E$2:$E$800="CAPEX")*(Données!$L$2:$L$800=$B9)*ISNUMBER(Données!$T$2:$T$800)*(Données!$AA$2:$AA$800=1),Données!$T$2:$T$800)))</f>
        <v>703.65139999999997</v>
      </c>
      <c r="G9" s="20">
        <f t="array" ref="G9">IF(C9=0,"—",MAX(IF((Données!$D$2:$D$800=$A9)*(Données!$E$2:$E$800="CAPEX")*(Données!$L$2:$L$800=$B9)*ISNUMBER(Données!$T$2:$T$800)*(Données!$AA$2:$AA$800=1),Données!$T$2:$T$800)))</f>
        <v>1294.9376000000002</v>
      </c>
      <c r="H9" s="20">
        <f t="array" ref="H9">IF(SUMPRODUCT((Données!$D$2:$D$800=$A9)*(Données!$E$2:$E$800="CAPEX")*(Données!$L$2:$L$800=$B9)*ISNUMBER(Données!$S$2:$S$800)*(Données!$AA$2:$AA$800=1))=0,"—",MIN(IF((Données!$D$2:$D$800=$A9)*(Données!$E$2:$E$800="CAPEX")*(Données!$L$2:$L$800=$B9)*ISNUMBER(Données!$S$2:$S$800)*(Données!$AA$2:$AA$800=1),Données!$S$2:$S$800)))</f>
        <v>197.13308653846201</v>
      </c>
      <c r="I9" s="20">
        <f t="array" ref="I9">IF(SUMPRODUCT((Données!$D$2:$D$800=$A9)*(Données!$E$2:$E$800="CAPEX")*(Données!$L$2:$L$800=$B9)*ISNUMBER(Données!$U$2:$U$800)*(Données!$AA$2:$AA$800=1))=0,"—",MAX(IF((Données!$D$2:$D$800=$A9)*(Données!$E$2:$E$800="CAPEX")*(Données!$L$2:$L$800=$B9)*ISNUMBER(Données!$U$2:$U$800)*(Données!$AA$2:$AA$800=1),Données!$U$2:$U$800)))</f>
        <v>1405.95</v>
      </c>
      <c r="J9" s="19">
        <f>SUMPRODUCT((Données!$D$2:$D$800=$A9)*(Données!$E$2:$E$800="Rendement (PCI)")*(Données!$L$2:$L$800=$B9)*ISNUMBER(Données!$T$2:$T$800)*(Données!$AA$2:$AA$800=1))</f>
        <v>3</v>
      </c>
      <c r="K9" s="19">
        <f>SUMPRODUCT(((Données!$D$2:$D$800=$A9)*(Données!$E$2:$E$800="Rendement (PCI)")*(Données!$L$2:$L$800=$B9)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3</v>
      </c>
      <c r="L9" s="21">
        <f t="array" ref="L9">IF(J9=0,"—",MIN(IF((Données!$D$2:$D$800=$A9)*(Données!$E$2:$E$800="Rendement (PCI)")*(Données!$L$2:$L$800=$B9)*ISNUMBER(Données!$T$2:$T$800)*(Données!$AA$2:$AA$800=1),Données!$T$2:$T$800)))</f>
        <v>65.5</v>
      </c>
      <c r="M9" s="21">
        <f t="array" ref="M9">IF(J9=0,"—",MEDIAN(IF((Données!$D$2:$D$800=$A9)*(Données!$E$2:$E$800="Rendement (PCI)")*(Données!$L$2:$L$800=$B9)*ISNUMBER(Données!$T$2:$T$800)*(Données!$AA$2:$AA$800=1),Données!$T$2:$T$800)))</f>
        <v>69</v>
      </c>
      <c r="N9" s="21">
        <f t="array" ref="N9">IF(J9=0,"—",MAX(IF((Données!$D$2:$D$800=$A9)*(Données!$E$2:$E$800="Rendement (PCI)")*(Données!$L$2:$L$800=$B9)*ISNUMBER(Données!$T$2:$T$800)*(Données!$AA$2:$AA$800=1),Données!$T$2:$T$800)))</f>
        <v>72</v>
      </c>
    </row>
    <row r="10" spans="1:14" x14ac:dyDescent="0.3">
      <c r="A10" s="18" t="s">
        <v>465</v>
      </c>
      <c r="B10" s="18" t="s">
        <v>904</v>
      </c>
      <c r="C10" s="19">
        <f>SUMPRODUCT((Données!$D$2:$D$800=$A10)*(Données!$E$2:$E$800="CAPEX")*(Données!$L$2:$L$800=$B10)*ISNUMBER(Données!$T$2:$T$800)*(Données!$AA$2:$AA$800=1))</f>
        <v>18</v>
      </c>
      <c r="D10" s="19">
        <f>SUMPRODUCT(((Données!$D$2:$D$800=$A10)*(Données!$E$2:$E$800="CAPEX")*(Données!$L$2:$L$800=$B10)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18</v>
      </c>
      <c r="E10" s="20">
        <f t="array" ref="E10">IF(C10=0,"—",MIN(IF((Données!$D$2:$D$800=$A10)*(Données!$E$2:$E$800="CAPEX")*(Données!$L$2:$L$800=$B10)*ISNUMBER(Données!$T$2:$T$800)*(Données!$AA$2:$AA$800=1),Données!$T$2:$T$800)))</f>
        <v>154.5</v>
      </c>
      <c r="F10" s="20">
        <f t="array" ref="F10">IF(C10=0,"—",MEDIAN(IF((Données!$D$2:$D$800=$A10)*(Données!$E$2:$E$800="CAPEX")*(Données!$L$2:$L$800=$B10)*ISNUMBER(Données!$T$2:$T$800)*(Données!$AA$2:$AA$800=1),Données!$T$2:$T$800)))</f>
        <v>351.11500000000001</v>
      </c>
      <c r="G10" s="20">
        <f t="array" ref="G10">IF(C10=0,"—",MAX(IF((Données!$D$2:$D$800=$A10)*(Données!$E$2:$E$800="CAPEX")*(Données!$L$2:$L$800=$B10)*ISNUMBER(Données!$T$2:$T$800)*(Données!$AA$2:$AA$800=1),Données!$T$2:$T$800)))</f>
        <v>731.01365999999996</v>
      </c>
      <c r="H10" s="20">
        <f t="array" ref="H10">IF(SUMPRODUCT((Données!$D$2:$D$800=$A10)*(Données!$E$2:$E$800="CAPEX")*(Données!$L$2:$L$800=$B10)*ISNUMBER(Données!$S$2:$S$800)*(Données!$AA$2:$AA$800=1))=0,"—",MIN(IF((Données!$D$2:$D$800=$A10)*(Données!$E$2:$E$800="CAPEX")*(Données!$L$2:$L$800=$B10)*ISNUMBER(Données!$S$2:$S$800)*(Données!$AA$2:$AA$800=1),Données!$S$2:$S$800)))</f>
        <v>56.080925000000001</v>
      </c>
      <c r="I10" s="20">
        <f t="array" ref="I10">IF(SUMPRODUCT((Données!$D$2:$D$800=$A10)*(Données!$E$2:$E$800="CAPEX")*(Données!$L$2:$L$800=$B10)*ISNUMBER(Données!$U$2:$U$800)*(Données!$AA$2:$AA$800=1))=0,"—",MAX(IF((Données!$D$2:$D$800=$A10)*(Données!$E$2:$E$800="CAPEX")*(Données!$L$2:$L$800=$B10)*ISNUMBER(Données!$U$2:$U$800)*(Données!$AA$2:$AA$800=1),Données!$U$2:$U$800)))</f>
        <v>1031.4317000000001</v>
      </c>
      <c r="J10" s="19">
        <f>SUMPRODUCT((Données!$D$2:$D$800=$A10)*(Données!$E$2:$E$800="Rendement (PCI)")*(Données!$L$2:$L$800=$B10)*ISNUMBER(Données!$T$2:$T$800)*(Données!$AA$2:$AA$800=1))</f>
        <v>2</v>
      </c>
      <c r="K10" s="19">
        <f>SUMPRODUCT(((Données!$D$2:$D$800=$A10)*(Données!$E$2:$E$800="Rendement (PCI)")*(Données!$L$2:$L$800=$B10)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2</v>
      </c>
      <c r="L10" s="21">
        <f t="array" ref="L10">IF(J10=0,"—",MIN(IF((Données!$D$2:$D$800=$A10)*(Données!$E$2:$E$800="Rendement (PCI)")*(Données!$L$2:$L$800=$B10)*ISNUMBER(Données!$T$2:$T$800)*(Données!$AA$2:$AA$800=1),Données!$T$2:$T$800)))</f>
        <v>70</v>
      </c>
      <c r="M10" s="21">
        <f t="array" ref="M10">IF(J10=0,"—",MEDIAN(IF((Données!$D$2:$D$800=$A10)*(Données!$E$2:$E$800="Rendement (PCI)")*(Données!$L$2:$L$800=$B10)*ISNUMBER(Données!$T$2:$T$800)*(Données!$AA$2:$AA$800=1),Données!$T$2:$T$800)))</f>
        <v>71.099999999999994</v>
      </c>
      <c r="N10" s="21">
        <f t="array" ref="N10">IF(J10=0,"—",MAX(IF((Données!$D$2:$D$800=$A10)*(Données!$E$2:$E$800="Rendement (PCI)")*(Données!$L$2:$L$800=$B10)*ISNUMBER(Données!$T$2:$T$800)*(Données!$AA$2:$AA$800=1),Données!$T$2:$T$800)))</f>
        <v>72.2</v>
      </c>
    </row>
    <row r="11" spans="1:14" x14ac:dyDescent="0.3">
      <c r="A11" s="18" t="s">
        <v>794</v>
      </c>
      <c r="B11" s="18" t="s">
        <v>654</v>
      </c>
      <c r="C11" s="19">
        <f>SUMPRODUCT((Données!$D$2:$D$800=$A11)*(Données!$E$2:$E$800="CAPEX")*(Données!$L$2:$L$800=$B11)*ISNUMBER(Données!$T$2:$T$800)*(Données!$AA$2:$AA$800=1))</f>
        <v>3</v>
      </c>
      <c r="D11" s="19">
        <f>SUMPRODUCT(((Données!$D$2:$D$800=$A11)*(Données!$E$2:$E$800="CAPEX")*(Données!$L$2:$L$800=$B11)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3</v>
      </c>
      <c r="E11" s="20">
        <f t="array" ref="E11">IF(C11=0,"—",MIN(IF((Données!$D$2:$D$800=$A11)*(Données!$E$2:$E$800="CAPEX")*(Données!$L$2:$L$800=$B11)*ISNUMBER(Données!$T$2:$T$800)*(Données!$AA$2:$AA$800=1),Données!$T$2:$T$800)))</f>
        <v>1907.0250000000001</v>
      </c>
      <c r="F11" s="20">
        <f t="array" ref="F11">IF(C11=0,"—",MEDIAN(IF((Données!$D$2:$D$800=$A11)*(Données!$E$2:$E$800="CAPEX")*(Données!$L$2:$L$800=$B11)*ISNUMBER(Données!$T$2:$T$800)*(Données!$AA$2:$AA$800=1),Données!$T$2:$T$800)))</f>
        <v>3167.4468000000002</v>
      </c>
      <c r="G11" s="20">
        <f t="array" ref="G11">IF(C11=0,"—",MAX(IF((Données!$D$2:$D$800=$A11)*(Données!$E$2:$E$800="CAPEX")*(Données!$L$2:$L$800=$B11)*ISNUMBER(Données!$T$2:$T$800)*(Données!$AA$2:$AA$800=1),Données!$T$2:$T$800)))</f>
        <v>3462.4000000000005</v>
      </c>
      <c r="H11" s="20" t="str">
        <f t="array" ref="H11">IF(SUMPRODUCT((Données!$D$2:$D$800=$A11)*(Données!$E$2:$E$800="CAPEX")*(Données!$L$2:$L$800=$B11)*ISNUMBER(Données!$S$2:$S$800)*(Données!$AA$2:$AA$800=1))=0,"—",MIN(IF((Données!$D$2:$D$800=$A11)*(Données!$E$2:$E$800="CAPEX")*(Données!$L$2:$L$800=$B11)*ISNUMBER(Données!$S$2:$S$800)*(Données!$AA$2:$AA$800=1),Données!$S$2:$S$800)))</f>
        <v>—</v>
      </c>
      <c r="I11" s="20" t="str">
        <f t="array" ref="I11">IF(SUMPRODUCT((Données!$D$2:$D$800=$A11)*(Données!$E$2:$E$800="CAPEX")*(Données!$L$2:$L$800=$B11)*ISNUMBER(Données!$U$2:$U$800)*(Données!$AA$2:$AA$800=1))=0,"—",MAX(IF((Données!$D$2:$D$800=$A11)*(Données!$E$2:$E$800="CAPEX")*(Données!$L$2:$L$800=$B11)*ISNUMBER(Données!$U$2:$U$800)*(Données!$AA$2:$AA$800=1),Données!$U$2:$U$800)))</f>
        <v>—</v>
      </c>
      <c r="J11" s="19">
        <f>SUMPRODUCT((Données!$D$2:$D$800=$A11)*(Données!$E$2:$E$800="Rendement (PCI)")*(Données!$L$2:$L$800=$B11)*ISNUMBER(Données!$T$2:$T$800)*(Données!$AA$2:$AA$800=1))</f>
        <v>2</v>
      </c>
      <c r="K11" s="19">
        <f>SUMPRODUCT(((Données!$D$2:$D$800=$A11)*(Données!$E$2:$E$800="Rendement (PCI)")*(Données!$L$2:$L$800=$B11)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2</v>
      </c>
      <c r="L11" s="21">
        <f t="array" ref="L11">IF(J11=0,"—",MIN(IF((Données!$D$2:$D$800=$A11)*(Données!$E$2:$E$800="Rendement (PCI)")*(Données!$L$2:$L$800=$B11)*ISNUMBER(Données!$T$2:$T$800)*(Données!$AA$2:$AA$800=1),Données!$T$2:$T$800)))</f>
        <v>81</v>
      </c>
      <c r="M11" s="21">
        <f t="array" ref="M11">IF(J11=0,"—",MEDIAN(IF((Données!$D$2:$D$800=$A11)*(Données!$E$2:$E$800="Rendement (PCI)")*(Données!$L$2:$L$800=$B11)*ISNUMBER(Données!$T$2:$T$800)*(Données!$AA$2:$AA$800=1),Données!$T$2:$T$800)))</f>
        <v>82</v>
      </c>
      <c r="N11" s="21">
        <f t="array" ref="N11">IF(J11=0,"—",MAX(IF((Données!$D$2:$D$800=$A11)*(Données!$E$2:$E$800="Rendement (PCI)")*(Données!$L$2:$L$800=$B11)*ISNUMBER(Données!$T$2:$T$800)*(Données!$AA$2:$AA$800=1),Données!$T$2:$T$800)))</f>
        <v>83</v>
      </c>
    </row>
    <row r="12" spans="1:14" x14ac:dyDescent="0.3">
      <c r="A12" s="18" t="s">
        <v>794</v>
      </c>
      <c r="B12" s="18" t="s">
        <v>903</v>
      </c>
      <c r="C12" s="19">
        <f>SUMPRODUCT((Données!$D$2:$D$800=$A12)*(Données!$E$2:$E$800="CAPEX")*(Données!$L$2:$L$800=$B12)*ISNUMBER(Données!$T$2:$T$800)*(Données!$AA$2:$AA$800=1))</f>
        <v>5</v>
      </c>
      <c r="D12" s="19">
        <f>SUMPRODUCT(((Données!$D$2:$D$800=$A12)*(Données!$E$2:$E$800="CAPEX")*(Données!$L$2:$L$800=$B12)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5</v>
      </c>
      <c r="E12" s="20">
        <f t="array" ref="E12">IF(C12=0,"—",MIN(IF((Données!$D$2:$D$800=$A12)*(Données!$E$2:$E$800="CAPEX")*(Données!$L$2:$L$800=$B12)*ISNUMBER(Données!$T$2:$T$800)*(Données!$AA$2:$AA$800=1),Données!$T$2:$T$800)))</f>
        <v>904.98480000000006</v>
      </c>
      <c r="F12" s="20">
        <f t="array" ref="F12">IF(C12=0,"—",MEDIAN(IF((Données!$D$2:$D$800=$A12)*(Données!$E$2:$E$800="CAPEX")*(Données!$L$2:$L$800=$B12)*ISNUMBER(Données!$T$2:$T$800)*(Données!$AA$2:$AA$800=1),Données!$T$2:$T$800)))</f>
        <v>1082</v>
      </c>
      <c r="G12" s="20">
        <f t="array" ref="G12">IF(C12=0,"—",MAX(IF((Données!$D$2:$D$800=$A12)*(Données!$E$2:$E$800="CAPEX")*(Données!$L$2:$L$800=$B12)*ISNUMBER(Données!$T$2:$T$800)*(Données!$AA$2:$AA$800=1),Données!$T$2:$T$800)))</f>
        <v>2215.9360000000001</v>
      </c>
      <c r="H12" s="20" t="str">
        <f t="array" ref="H12">IF(SUMPRODUCT((Données!$D$2:$D$800=$A12)*(Données!$E$2:$E$800="CAPEX")*(Données!$L$2:$L$800=$B12)*ISNUMBER(Données!$S$2:$S$800)*(Données!$AA$2:$AA$800=1))=0,"—",MIN(IF((Données!$D$2:$D$800=$A12)*(Données!$E$2:$E$800="CAPEX")*(Données!$L$2:$L$800=$B12)*ISNUMBER(Données!$S$2:$S$800)*(Données!$AA$2:$AA$800=1),Données!$S$2:$S$800)))</f>
        <v>—</v>
      </c>
      <c r="I12" s="20" t="str">
        <f t="array" ref="I12">IF(SUMPRODUCT((Données!$D$2:$D$800=$A12)*(Données!$E$2:$E$800="CAPEX")*(Données!$L$2:$L$800=$B12)*ISNUMBER(Données!$U$2:$U$800)*(Données!$AA$2:$AA$800=1))=0,"—",MAX(IF((Données!$D$2:$D$800=$A12)*(Données!$E$2:$E$800="CAPEX")*(Données!$L$2:$L$800=$B12)*ISNUMBER(Données!$U$2:$U$800)*(Données!$AA$2:$AA$800=1),Données!$U$2:$U$800)))</f>
        <v>—</v>
      </c>
      <c r="J12" s="19">
        <f>SUMPRODUCT((Données!$D$2:$D$800=$A12)*(Données!$E$2:$E$800="Rendement (PCI)")*(Données!$L$2:$L$800=$B12)*ISNUMBER(Données!$T$2:$T$800)*(Données!$AA$2:$AA$800=1))</f>
        <v>3</v>
      </c>
      <c r="K12" s="19">
        <f>SUMPRODUCT(((Données!$D$2:$D$800=$A12)*(Données!$E$2:$E$800="Rendement (PCI)")*(Données!$L$2:$L$800=$B12)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3</v>
      </c>
      <c r="L12" s="21">
        <f t="array" ref="L12">IF(J12=0,"—",MIN(IF((Données!$D$2:$D$800=$A12)*(Données!$E$2:$E$800="Rendement (PCI)")*(Données!$L$2:$L$800=$B12)*ISNUMBER(Données!$T$2:$T$800)*(Données!$AA$2:$AA$800=1),Données!$T$2:$T$800)))</f>
        <v>81</v>
      </c>
      <c r="M12" s="21">
        <f t="array" ref="M12">IF(J12=0,"—",MEDIAN(IF((Données!$D$2:$D$800=$A12)*(Données!$E$2:$E$800="Rendement (PCI)")*(Données!$L$2:$L$800=$B12)*ISNUMBER(Données!$T$2:$T$800)*(Données!$AA$2:$AA$800=1),Données!$T$2:$T$800)))</f>
        <v>84</v>
      </c>
      <c r="N12" s="21">
        <f t="array" ref="N12">IF(J12=0,"—",MAX(IF((Données!$D$2:$D$800=$A12)*(Données!$E$2:$E$800="Rendement (PCI)")*(Données!$L$2:$L$800=$B12)*ISNUMBER(Données!$T$2:$T$800)*(Données!$AA$2:$AA$800=1),Données!$T$2:$T$800)))</f>
        <v>84.4</v>
      </c>
    </row>
    <row r="13" spans="1:14" x14ac:dyDescent="0.3">
      <c r="A13" s="18" t="s">
        <v>794</v>
      </c>
      <c r="B13" s="18" t="s">
        <v>904</v>
      </c>
      <c r="C13" s="19">
        <f>SUMPRODUCT((Données!$D$2:$D$800=$A13)*(Données!$E$2:$E$800="CAPEX")*(Données!$L$2:$L$800=$B13)*ISNUMBER(Données!$T$2:$T$800)*(Données!$AA$2:$AA$800=1))</f>
        <v>2</v>
      </c>
      <c r="D13" s="19">
        <f>SUMPRODUCT(((Données!$D$2:$D$800=$A13)*(Données!$E$2:$E$800="CAPEX")*(Données!$L$2:$L$800=$B13)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2</v>
      </c>
      <c r="E13" s="20">
        <f t="array" ref="E13">IF(C13=0,"—",MIN(IF((Données!$D$2:$D$800=$A13)*(Données!$E$2:$E$800="CAPEX")*(Données!$L$2:$L$800=$B13)*ISNUMBER(Données!$T$2:$T$800)*(Données!$AA$2:$AA$800=1),Données!$T$2:$T$800)))</f>
        <v>565.61550000000011</v>
      </c>
      <c r="F13" s="20">
        <f t="array" ref="F13">IF(C13=0,"—",MEDIAN(IF((Données!$D$2:$D$800=$A13)*(Données!$E$2:$E$800="CAPEX")*(Données!$L$2:$L$800=$B13)*ISNUMBER(Données!$T$2:$T$800)*(Données!$AA$2:$AA$800=1),Données!$T$2:$T$800)))</f>
        <v>698.29575000000011</v>
      </c>
      <c r="G13" s="20">
        <f t="array" ref="G13">IF(C13=0,"—",MAX(IF((Données!$D$2:$D$800=$A13)*(Données!$E$2:$E$800="CAPEX")*(Données!$L$2:$L$800=$B13)*ISNUMBER(Données!$T$2:$T$800)*(Données!$AA$2:$AA$800=1),Données!$T$2:$T$800)))</f>
        <v>830.97600000000011</v>
      </c>
      <c r="H13" s="20" t="str">
        <f t="array" ref="H13">IF(SUMPRODUCT((Données!$D$2:$D$800=$A13)*(Données!$E$2:$E$800="CAPEX")*(Données!$L$2:$L$800=$B13)*ISNUMBER(Données!$S$2:$S$800)*(Données!$AA$2:$AA$800=1))=0,"—",MIN(IF((Données!$D$2:$D$800=$A13)*(Données!$E$2:$E$800="CAPEX")*(Données!$L$2:$L$800=$B13)*ISNUMBER(Données!$S$2:$S$800)*(Données!$AA$2:$AA$800=1),Données!$S$2:$S$800)))</f>
        <v>—</v>
      </c>
      <c r="I13" s="20" t="str">
        <f t="array" ref="I13">IF(SUMPRODUCT((Données!$D$2:$D$800=$A13)*(Données!$E$2:$E$800="CAPEX")*(Données!$L$2:$L$800=$B13)*ISNUMBER(Données!$U$2:$U$800)*(Données!$AA$2:$AA$800=1))=0,"—",MAX(IF((Données!$D$2:$D$800=$A13)*(Données!$E$2:$E$800="CAPEX")*(Données!$L$2:$L$800=$B13)*ISNUMBER(Données!$U$2:$U$800)*(Données!$AA$2:$AA$800=1),Données!$U$2:$U$800)))</f>
        <v>—</v>
      </c>
      <c r="J13" s="19">
        <f>SUMPRODUCT((Données!$D$2:$D$800=$A13)*(Données!$E$2:$E$800="Rendement (PCI)")*(Données!$L$2:$L$800=$B13)*ISNUMBER(Données!$T$2:$T$800)*(Données!$AA$2:$AA$800=1))</f>
        <v>1</v>
      </c>
      <c r="K13" s="19">
        <f>SUMPRODUCT(((Données!$D$2:$D$800=$A13)*(Données!$E$2:$E$800="Rendement (PCI)")*(Données!$L$2:$L$800=$B13)*ISNUMBER(Données!$T$2:$T$800)*(Données!$AA$2:$AA$800=1))/(COUNTIFS(Données!$C$2:$C$800,Données!$C$2:$C$800,Données!$D$2:$D$800,Données!$D$2:$D$800,Données!$E$2:$E$800,Données!$E$2:$E$800,Données!$L$2:$L$800,Données!$L$2:$L$800,Données!$AA$2:$AA$800,Données!$AA$2:$AA$800)+(Données!$C$2:$C$800="")))</f>
        <v>1</v>
      </c>
      <c r="L13" s="21">
        <f t="array" ref="L13">IF(J13=0,"—",MIN(IF((Données!$D$2:$D$800=$A13)*(Données!$E$2:$E$800="Rendement (PCI)")*(Données!$L$2:$L$800=$B13)*ISNUMBER(Données!$T$2:$T$800)*(Données!$AA$2:$AA$800=1),Données!$T$2:$T$800)))</f>
        <v>90</v>
      </c>
      <c r="M13" s="21">
        <f t="array" ref="M13">IF(J13=0,"—",MEDIAN(IF((Données!$D$2:$D$800=$A13)*(Données!$E$2:$E$800="Rendement (PCI)")*(Données!$L$2:$L$800=$B13)*ISNUMBER(Données!$T$2:$T$800)*(Données!$AA$2:$AA$800=1),Données!$T$2:$T$800)))</f>
        <v>90</v>
      </c>
      <c r="N13" s="21">
        <f t="array" ref="N13">IF(J13=0,"—",MAX(IF((Données!$D$2:$D$800=$A13)*(Données!$E$2:$E$800="Rendement (PCI)")*(Données!$L$2:$L$800=$B13)*ISNUMBER(Données!$T$2:$T$800)*(Données!$AA$2:$AA$800=1),Données!$T$2:$T$800)))</f>
        <v>90</v>
      </c>
    </row>
    <row r="15" spans="1:14" ht="43.5" customHeight="1" x14ac:dyDescent="0.3">
      <c r="A15" s="1" t="s">
        <v>905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mergeCells count="2">
    <mergeCell ref="A2:N2"/>
    <mergeCell ref="A15:N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Normal="100" workbookViewId="0"/>
  </sheetViews>
  <sheetFormatPr baseColWidth="10" defaultColWidth="8.6640625" defaultRowHeight="14.4" x14ac:dyDescent="0.3"/>
  <cols>
    <col min="1" max="1" width="28" customWidth="1"/>
    <col min="2" max="4" width="10" customWidth="1"/>
    <col min="5" max="5" width="24" customWidth="1"/>
    <col min="6" max="6" width="80" customWidth="1"/>
  </cols>
  <sheetData>
    <row r="1" spans="1:6" ht="16.8" x14ac:dyDescent="0.3">
      <c r="A1" s="6" t="s">
        <v>906</v>
      </c>
    </row>
    <row r="2" spans="1:6" x14ac:dyDescent="0.3">
      <c r="A2" s="7" t="s">
        <v>907</v>
      </c>
    </row>
    <row r="4" spans="1:6" x14ac:dyDescent="0.3">
      <c r="A4" s="8" t="s">
        <v>25</v>
      </c>
      <c r="B4" s="8" t="s">
        <v>244</v>
      </c>
      <c r="C4" s="8" t="s">
        <v>465</v>
      </c>
      <c r="D4" s="8" t="s">
        <v>794</v>
      </c>
      <c r="E4" s="8" t="s">
        <v>908</v>
      </c>
      <c r="F4" s="8" t="s">
        <v>909</v>
      </c>
    </row>
    <row r="5" spans="1:6" x14ac:dyDescent="0.3">
      <c r="A5" s="18" t="s">
        <v>245</v>
      </c>
      <c r="B5" s="22">
        <f>SUMPRODUCT((((Données!$D$2:$D$800=B$4)+(Données!$D$2:$D$800="Tous")&gt;0)*(Données!$E$2:$E$800=$A5)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31.000000000000021</v>
      </c>
      <c r="C5" s="22">
        <f>SUMPRODUCT((((Données!$D$2:$D$800=C$4)+(Données!$D$2:$D$800="Tous")&gt;0)*(Données!$E$2:$E$800=$A5)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36.000000000000014</v>
      </c>
      <c r="D5" s="22">
        <f>SUMPRODUCT((((Données!$D$2:$D$800=D$4)+(Données!$D$2:$D$800="Tous")&gt;0)*(Données!$E$2:$E$800=$A5)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5</v>
      </c>
      <c r="E5" s="23" t="str">
        <f t="shared" ref="E5:E14" si="0">IF(MIN(B5:D5)&gt;=2,"Couvert (≥2 sources)",IF(MAX(B5:D5)=0,"Lacune","À compléter"))</f>
        <v>Couvert (≥2 sources)</v>
      </c>
      <c r="F5" s="23" t="s">
        <v>910</v>
      </c>
    </row>
    <row r="6" spans="1:6" x14ac:dyDescent="0.3">
      <c r="A6" s="18" t="s">
        <v>705</v>
      </c>
      <c r="B6" s="22">
        <f>SUMPRODUCT((((Données!$D$2:$D$800=B$4)+(Données!$D$2:$D$800="Tous")&gt;0)*(Données!$E$2:$E$800=$A6)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7.9999999999999991</v>
      </c>
      <c r="C6" s="22">
        <f>SUMPRODUCT((((Données!$D$2:$D$800=C$4)+(Données!$D$2:$D$800="Tous")&gt;0)*(Données!$E$2:$E$800=$A6)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8</v>
      </c>
      <c r="D6" s="22">
        <f>SUMPRODUCT((((Données!$D$2:$D$800=D$4)+(Données!$D$2:$D$800="Tous")&gt;0)*(Données!$E$2:$E$800=$A6)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4</v>
      </c>
      <c r="E6" s="23" t="str">
        <f t="shared" si="0"/>
        <v>Couvert (≥2 sources)</v>
      </c>
      <c r="F6" s="23" t="s">
        <v>911</v>
      </c>
    </row>
    <row r="7" spans="1:6" x14ac:dyDescent="0.3">
      <c r="A7" s="18" t="s">
        <v>877</v>
      </c>
      <c r="B7" s="22">
        <f>SUMPRODUCT((((Données!$D$2:$D$800=B$4)+(Données!$D$2:$D$800="Tous")&gt;0)*(Données!$E$2:$E$800=$A7)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C7" s="22">
        <f>SUMPRODUCT((((Données!$D$2:$D$800=C$4)+(Données!$D$2:$D$800="Tous")&gt;0)*(Données!$E$2:$E$800=$A7)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D7" s="22">
        <f>SUMPRODUCT((((Données!$D$2:$D$800=D$4)+(Données!$D$2:$D$800="Tous")&gt;0)*(Données!$E$2:$E$800=$A7)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E7" s="23" t="str">
        <f t="shared" si="0"/>
        <v>À compléter</v>
      </c>
      <c r="F7" s="23" t="s">
        <v>912</v>
      </c>
    </row>
    <row r="8" spans="1:6" x14ac:dyDescent="0.3">
      <c r="A8" s="18" t="s">
        <v>868</v>
      </c>
      <c r="B8" s="22">
        <f>SUMPRODUCT((((Données!$D$2:$D$800=B$4)+(Données!$D$2:$D$800="Tous")&gt;0)*(Données!$E$2:$E$800=$A8)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C8" s="22">
        <f>SUMPRODUCT((((Données!$D$2:$D$800=C$4)+(Données!$D$2:$D$800="Tous")&gt;0)*(Données!$E$2:$E$800=$A8)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D8" s="22">
        <f>SUMPRODUCT((((Données!$D$2:$D$800=D$4)+(Données!$D$2:$D$800="Tous")&gt;0)*(Données!$E$2:$E$800=$A8)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E8" s="23" t="str">
        <f t="shared" si="0"/>
        <v>À compléter</v>
      </c>
      <c r="F8" s="23" t="s">
        <v>913</v>
      </c>
    </row>
    <row r="9" spans="1:6" x14ac:dyDescent="0.3">
      <c r="A9" s="18" t="s">
        <v>874</v>
      </c>
      <c r="B9" s="22">
        <f>SUMPRODUCT((((Données!$D$2:$D$800=B$4)+(Données!$D$2:$D$800="Tous")&gt;0)*(Données!$E$2:$E$800=$A9)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C9" s="22">
        <f>SUMPRODUCT((((Données!$D$2:$D$800=C$4)+(Données!$D$2:$D$800="Tous")&gt;0)*(Données!$E$2:$E$800=$A9)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D9" s="22">
        <f>SUMPRODUCT((((Données!$D$2:$D$800=D$4)+(Données!$D$2:$D$800="Tous")&gt;0)*(Données!$E$2:$E$800=$A9)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E9" s="23" t="str">
        <f t="shared" si="0"/>
        <v>À compléter</v>
      </c>
      <c r="F9" s="23" t="s">
        <v>914</v>
      </c>
    </row>
    <row r="10" spans="1:6" x14ac:dyDescent="0.3">
      <c r="A10" s="18" t="s">
        <v>871</v>
      </c>
      <c r="B10" s="22">
        <f>SUMPRODUCT((((Données!$D$2:$D$800=B$4)+(Données!$D$2:$D$800="Tous")&gt;0)*(Données!$E$2:$E$800=$A10)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C10" s="22">
        <f>SUMPRODUCT((((Données!$D$2:$D$800=C$4)+(Données!$D$2:$D$800="Tous")&gt;0)*(Données!$E$2:$E$800=$A10)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D10" s="22">
        <f>SUMPRODUCT((((Données!$D$2:$D$800=D$4)+(Données!$D$2:$D$800="Tous")&gt;0)*(Données!$E$2:$E$800=$A10)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E10" s="23" t="str">
        <f t="shared" si="0"/>
        <v>À compléter</v>
      </c>
      <c r="F10" s="23" t="s">
        <v>915</v>
      </c>
    </row>
    <row r="11" spans="1:6" x14ac:dyDescent="0.3">
      <c r="A11" s="18" t="s">
        <v>886</v>
      </c>
      <c r="B11" s="22">
        <f>SUMPRODUCT((((Données!$D$2:$D$800=B$4)+(Données!$D$2:$D$800="Tous")&gt;0)*(Données!$E$2:$E$800=$A11)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C11" s="22">
        <f>SUMPRODUCT((((Données!$D$2:$D$800=C$4)+(Données!$D$2:$D$800="Tous")&gt;0)*(Données!$E$2:$E$800=$A11)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D11" s="22">
        <f>SUMPRODUCT((((Données!$D$2:$D$800=D$4)+(Données!$D$2:$D$800="Tous")&gt;0)*(Données!$E$2:$E$800=$A11)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E11" s="23" t="str">
        <f t="shared" si="0"/>
        <v>À compléter</v>
      </c>
      <c r="F11" s="23" t="s">
        <v>916</v>
      </c>
    </row>
    <row r="12" spans="1:6" x14ac:dyDescent="0.3">
      <c r="A12" s="18" t="s">
        <v>882</v>
      </c>
      <c r="B12" s="22">
        <f>SUMPRODUCT((((Données!$D$2:$D$800=B$4)+(Données!$D$2:$D$800="Tous")&gt;0)*(Données!$E$2:$E$800=$A12)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C12" s="22">
        <f>SUMPRODUCT((((Données!$D$2:$D$800=C$4)+(Données!$D$2:$D$800="Tous")&gt;0)*(Données!$E$2:$E$800=$A12)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D12" s="22">
        <f>SUMPRODUCT((((Données!$D$2:$D$800=D$4)+(Données!$D$2:$D$800="Tous")&gt;0)*(Données!$E$2:$E$800=$A12)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1</v>
      </c>
      <c r="E12" s="23" t="str">
        <f t="shared" si="0"/>
        <v>À compléter</v>
      </c>
      <c r="F12" s="23" t="s">
        <v>917</v>
      </c>
    </row>
    <row r="13" spans="1:6" x14ac:dyDescent="0.3">
      <c r="A13" s="18" t="s">
        <v>918</v>
      </c>
      <c r="B13" s="22">
        <f>SUMPRODUCT((((Données!$D$2:$D$800=B$4)+(Données!$D$2:$D$800="Tous")&gt;0)*(Données!$E$2:$E$800=$A13)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C13" s="22">
        <f>SUMPRODUCT((((Données!$D$2:$D$800=C$4)+(Données!$D$2:$D$800="Tous")&gt;0)*(Données!$E$2:$E$800=$A13)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D13" s="22">
        <f>SUMPRODUCT((((Données!$D$2:$D$800=D$4)+(Données!$D$2:$D$800="Tous")&gt;0)*(Données!$E$2:$E$800=$A13)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E13" s="23" t="str">
        <f t="shared" si="0"/>
        <v>Lacune</v>
      </c>
      <c r="F13" s="23" t="s">
        <v>919</v>
      </c>
    </row>
    <row r="14" spans="1:6" x14ac:dyDescent="0.3">
      <c r="A14" s="18" t="s">
        <v>920</v>
      </c>
      <c r="B14" s="22">
        <f>SUMPRODUCT((((Données!$D$2:$D$800=B$4)+(Données!$D$2:$D$800="Tous")&gt;0)*(Données!$E$2:$E$800=$A14)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C14" s="22">
        <f>SUMPRODUCT((((Données!$D$2:$D$800=C$4)+(Données!$D$2:$D$800="Tous")&gt;0)*(Données!$E$2:$E$800=$A14)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D14" s="22">
        <f>SUMPRODUCT((((Données!$D$2:$D$800=D$4)+(Données!$D$2:$D$800="Tous")&gt;0)*(Données!$E$2:$E$800=$A14)*((Données!$T$2:$T$800&lt;&gt;"")*ISNUMBER(Données!$T$2:$T$800))*(Données!$AA$2:$AA$800=1))/(COUNTIFS(Données!$C$2:$C$800,Données!$C$2:$C$800,Données!$E$2:$E$800,Données!$E$2:$E$800,Données!$D$2:$D$800,Données!$D$2:$D$800,Données!$AA$2:$AA$800,Données!$AA$2:$AA$800)+(Données!$C$2:$C$800="")))</f>
        <v>0</v>
      </c>
      <c r="E14" s="23" t="str">
        <f t="shared" si="0"/>
        <v>Lacune</v>
      </c>
      <c r="F14" s="23" t="s">
        <v>921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2" width="32" customWidth="1"/>
    <col min="3" max="3" width="26" customWidth="1"/>
    <col min="4" max="4" width="38" customWidth="1"/>
    <col min="5" max="5" width="55" customWidth="1"/>
  </cols>
  <sheetData>
    <row r="1" spans="1:5" ht="16.8" x14ac:dyDescent="0.3">
      <c r="A1" s="6" t="s">
        <v>922</v>
      </c>
    </row>
    <row r="3" spans="1:5" x14ac:dyDescent="0.3">
      <c r="A3" s="8" t="s">
        <v>923</v>
      </c>
      <c r="B3" s="8" t="s">
        <v>924</v>
      </c>
      <c r="C3" s="8" t="s">
        <v>227</v>
      </c>
      <c r="D3" s="8" t="s">
        <v>925</v>
      </c>
      <c r="E3" s="8" t="s">
        <v>239</v>
      </c>
    </row>
    <row r="4" spans="1:5" x14ac:dyDescent="0.3">
      <c r="A4" s="16" t="s">
        <v>926</v>
      </c>
      <c r="B4" s="16" t="s">
        <v>927</v>
      </c>
      <c r="C4" s="16" t="s">
        <v>928</v>
      </c>
      <c r="D4" s="16" t="s">
        <v>929</v>
      </c>
      <c r="E4" s="16" t="s">
        <v>930</v>
      </c>
    </row>
    <row r="5" spans="1:5" x14ac:dyDescent="0.3">
      <c r="A5" s="16" t="s">
        <v>926</v>
      </c>
      <c r="B5" s="16" t="s">
        <v>931</v>
      </c>
      <c r="C5" s="16" t="s">
        <v>932</v>
      </c>
      <c r="D5" s="16" t="s">
        <v>933</v>
      </c>
      <c r="E5" s="16" t="s">
        <v>934</v>
      </c>
    </row>
    <row r="6" spans="1:5" x14ac:dyDescent="0.3">
      <c r="A6" s="16" t="s">
        <v>935</v>
      </c>
      <c r="B6" s="16" t="s">
        <v>936</v>
      </c>
      <c r="C6" s="16" t="s">
        <v>937</v>
      </c>
      <c r="D6" s="16" t="s">
        <v>705</v>
      </c>
      <c r="E6" s="16" t="s">
        <v>938</v>
      </c>
    </row>
    <row r="7" spans="1:5" x14ac:dyDescent="0.3">
      <c r="A7" s="16" t="s">
        <v>935</v>
      </c>
      <c r="B7" s="16" t="s">
        <v>939</v>
      </c>
      <c r="C7" s="16" t="s">
        <v>937</v>
      </c>
      <c r="D7" s="16" t="s">
        <v>940</v>
      </c>
      <c r="E7" s="16" t="s">
        <v>941</v>
      </c>
    </row>
    <row r="8" spans="1:5" x14ac:dyDescent="0.3">
      <c r="A8" s="16" t="s">
        <v>935</v>
      </c>
      <c r="B8" s="16" t="s">
        <v>942</v>
      </c>
      <c r="C8" s="16" t="s">
        <v>928</v>
      </c>
      <c r="D8" s="16" t="s">
        <v>943</v>
      </c>
      <c r="E8" s="16" t="s">
        <v>944</v>
      </c>
    </row>
    <row r="9" spans="1:5" x14ac:dyDescent="0.3">
      <c r="A9" s="16" t="s">
        <v>25</v>
      </c>
      <c r="B9" s="16" t="s">
        <v>245</v>
      </c>
      <c r="C9" s="16" t="s">
        <v>247</v>
      </c>
      <c r="D9" s="16" t="s">
        <v>945</v>
      </c>
      <c r="E9" s="16"/>
    </row>
    <row r="10" spans="1:5" x14ac:dyDescent="0.3">
      <c r="A10" s="16" t="s">
        <v>25</v>
      </c>
      <c r="B10" s="16" t="s">
        <v>946</v>
      </c>
      <c r="C10" s="16" t="s">
        <v>947</v>
      </c>
      <c r="D10" s="16" t="s">
        <v>948</v>
      </c>
      <c r="E10" s="16" t="s">
        <v>949</v>
      </c>
    </row>
    <row r="11" spans="1:5" x14ac:dyDescent="0.3">
      <c r="A11" s="16" t="s">
        <v>25</v>
      </c>
      <c r="B11" s="16" t="s">
        <v>943</v>
      </c>
      <c r="C11" s="16" t="s">
        <v>950</v>
      </c>
      <c r="D11" s="16" t="s">
        <v>945</v>
      </c>
      <c r="E11" s="16" t="s">
        <v>951</v>
      </c>
    </row>
    <row r="12" spans="1:5" x14ac:dyDescent="0.3">
      <c r="A12" s="16" t="s">
        <v>25</v>
      </c>
      <c r="B12" s="16" t="s">
        <v>868</v>
      </c>
      <c r="C12" s="16" t="s">
        <v>869</v>
      </c>
      <c r="D12" s="16" t="s">
        <v>948</v>
      </c>
      <c r="E12" s="16" t="s">
        <v>949</v>
      </c>
    </row>
    <row r="13" spans="1:5" x14ac:dyDescent="0.3">
      <c r="A13" s="16" t="s">
        <v>25</v>
      </c>
      <c r="B13" s="16" t="s">
        <v>874</v>
      </c>
      <c r="C13" s="16" t="s">
        <v>952</v>
      </c>
      <c r="D13" s="16" t="s">
        <v>948</v>
      </c>
      <c r="E13" s="16" t="s">
        <v>953</v>
      </c>
    </row>
    <row r="14" spans="1:5" x14ac:dyDescent="0.3">
      <c r="A14" s="16" t="s">
        <v>25</v>
      </c>
      <c r="B14" s="16" t="s">
        <v>871</v>
      </c>
      <c r="C14" s="16" t="s">
        <v>872</v>
      </c>
      <c r="D14" s="16" t="s">
        <v>954</v>
      </c>
      <c r="E14" s="16" t="s">
        <v>949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22" customWidth="1"/>
    <col min="3" max="3" width="12" customWidth="1"/>
    <col min="4" max="4" width="24" customWidth="1"/>
    <col min="5" max="5" width="18" customWidth="1"/>
    <col min="6" max="6" width="12" customWidth="1"/>
    <col min="7" max="7" width="46" customWidth="1"/>
    <col min="8" max="8" width="24" customWidth="1"/>
    <col min="10" max="10" width="90" customWidth="1"/>
  </cols>
  <sheetData>
    <row r="1" spans="1:10" ht="26.4" x14ac:dyDescent="0.3">
      <c r="A1" s="8" t="s">
        <v>28</v>
      </c>
      <c r="B1" s="8" t="s">
        <v>75</v>
      </c>
      <c r="C1" s="8" t="s">
        <v>222</v>
      </c>
      <c r="D1" s="8" t="s">
        <v>955</v>
      </c>
      <c r="E1" s="8" t="s">
        <v>956</v>
      </c>
      <c r="F1" s="8" t="s">
        <v>957</v>
      </c>
      <c r="G1" s="8" t="s">
        <v>68</v>
      </c>
      <c r="H1" s="8" t="s">
        <v>227</v>
      </c>
      <c r="J1" s="24" t="s">
        <v>958</v>
      </c>
    </row>
    <row r="2" spans="1:10" ht="26.4" x14ac:dyDescent="0.3">
      <c r="A2" s="7">
        <v>1965</v>
      </c>
      <c r="B2" s="7" t="s">
        <v>959</v>
      </c>
      <c r="C2" s="7" t="s">
        <v>244</v>
      </c>
      <c r="D2" s="25">
        <v>0</v>
      </c>
      <c r="E2" s="25">
        <f t="shared" ref="E2:E33" si="0">IF(D2&gt;1000000,D2/1000000000000000,IF(AND(D2&gt;=1000,D2&lt;1000000),D2/1000,D2))</f>
        <v>0</v>
      </c>
      <c r="F2" s="7" t="str">
        <f t="shared" ref="F2:F33" si="1">IF(E2=D2,"tel quel","reconstruit")</f>
        <v>tel quel</v>
      </c>
      <c r="G2" s="7" t="s">
        <v>960</v>
      </c>
      <c r="H2" s="7" t="s">
        <v>961</v>
      </c>
      <c r="J2" s="4" t="s">
        <v>962</v>
      </c>
    </row>
    <row r="3" spans="1:10" ht="26.4" x14ac:dyDescent="0.3">
      <c r="A3" s="7">
        <v>1965</v>
      </c>
      <c r="B3" s="7" t="s">
        <v>963</v>
      </c>
      <c r="C3" s="7" t="s">
        <v>244</v>
      </c>
      <c r="D3" s="25">
        <v>0</v>
      </c>
      <c r="E3" s="25">
        <f t="shared" si="0"/>
        <v>0</v>
      </c>
      <c r="F3" s="7" t="str">
        <f t="shared" si="1"/>
        <v>tel quel</v>
      </c>
      <c r="G3" s="7" t="s">
        <v>960</v>
      </c>
      <c r="H3" s="7" t="s">
        <v>961</v>
      </c>
      <c r="J3" s="4" t="s">
        <v>964</v>
      </c>
    </row>
    <row r="4" spans="1:10" ht="26.4" x14ac:dyDescent="0.3">
      <c r="A4" s="7">
        <v>1965</v>
      </c>
      <c r="B4" s="7" t="s">
        <v>965</v>
      </c>
      <c r="C4" s="7" t="s">
        <v>244</v>
      </c>
      <c r="D4" s="25">
        <v>0</v>
      </c>
      <c r="E4" s="25">
        <f t="shared" si="0"/>
        <v>0</v>
      </c>
      <c r="F4" s="7" t="str">
        <f t="shared" si="1"/>
        <v>tel quel</v>
      </c>
      <c r="G4" s="7" t="s">
        <v>960</v>
      </c>
      <c r="H4" s="7" t="s">
        <v>961</v>
      </c>
      <c r="J4" s="4" t="s">
        <v>966</v>
      </c>
    </row>
    <row r="5" spans="1:10" x14ac:dyDescent="0.3">
      <c r="A5" s="7">
        <v>1965</v>
      </c>
      <c r="B5" s="7" t="s">
        <v>967</v>
      </c>
      <c r="C5" s="7" t="s">
        <v>244</v>
      </c>
      <c r="D5" s="25">
        <v>25</v>
      </c>
      <c r="E5" s="25">
        <f t="shared" si="0"/>
        <v>25</v>
      </c>
      <c r="F5" s="7" t="str">
        <f t="shared" si="1"/>
        <v>tel quel</v>
      </c>
      <c r="G5" s="7" t="s">
        <v>960</v>
      </c>
      <c r="H5" s="7" t="s">
        <v>961</v>
      </c>
      <c r="J5" s="4" t="s">
        <v>968</v>
      </c>
    </row>
    <row r="6" spans="1:10" x14ac:dyDescent="0.3">
      <c r="A6" s="7">
        <v>2000</v>
      </c>
      <c r="B6" s="7" t="s">
        <v>959</v>
      </c>
      <c r="C6" s="7" t="s">
        <v>244</v>
      </c>
      <c r="D6" s="25">
        <v>0</v>
      </c>
      <c r="E6" s="25">
        <f t="shared" si="0"/>
        <v>0</v>
      </c>
      <c r="F6" s="7" t="str">
        <f t="shared" si="1"/>
        <v>tel quel</v>
      </c>
      <c r="G6" s="7" t="s">
        <v>960</v>
      </c>
      <c r="H6" s="7" t="s">
        <v>961</v>
      </c>
    </row>
    <row r="7" spans="1:10" x14ac:dyDescent="0.3">
      <c r="A7" s="7">
        <v>2000</v>
      </c>
      <c r="B7" s="7" t="s">
        <v>963</v>
      </c>
      <c r="C7" s="7" t="s">
        <v>244</v>
      </c>
      <c r="D7" s="25">
        <v>0</v>
      </c>
      <c r="E7" s="25">
        <f t="shared" si="0"/>
        <v>0</v>
      </c>
      <c r="F7" s="7" t="str">
        <f t="shared" si="1"/>
        <v>tel quel</v>
      </c>
      <c r="G7" s="7" t="s">
        <v>960</v>
      </c>
      <c r="H7" s="7" t="s">
        <v>961</v>
      </c>
    </row>
    <row r="8" spans="1:10" x14ac:dyDescent="0.3">
      <c r="A8" s="7">
        <v>2000</v>
      </c>
      <c r="B8" s="7" t="s">
        <v>965</v>
      </c>
      <c r="C8" s="7" t="s">
        <v>244</v>
      </c>
      <c r="D8" s="25">
        <v>0</v>
      </c>
      <c r="E8" s="25">
        <f t="shared" si="0"/>
        <v>0</v>
      </c>
      <c r="F8" s="7" t="str">
        <f t="shared" si="1"/>
        <v>tel quel</v>
      </c>
      <c r="G8" s="7" t="s">
        <v>960</v>
      </c>
      <c r="H8" s="7" t="s">
        <v>961</v>
      </c>
    </row>
    <row r="9" spans="1:10" x14ac:dyDescent="0.3">
      <c r="A9" s="7">
        <v>2000</v>
      </c>
      <c r="B9" s="7" t="s">
        <v>967</v>
      </c>
      <c r="C9" s="7" t="s">
        <v>244</v>
      </c>
      <c r="D9" s="25">
        <v>25</v>
      </c>
      <c r="E9" s="25">
        <f t="shared" si="0"/>
        <v>25</v>
      </c>
      <c r="F9" s="7" t="str">
        <f t="shared" si="1"/>
        <v>tel quel</v>
      </c>
      <c r="G9" s="7" t="s">
        <v>960</v>
      </c>
      <c r="H9" s="7" t="s">
        <v>961</v>
      </c>
    </row>
    <row r="10" spans="1:10" x14ac:dyDescent="0.3">
      <c r="A10" s="7">
        <v>2007</v>
      </c>
      <c r="B10" s="7" t="s">
        <v>959</v>
      </c>
      <c r="C10" s="7" t="s">
        <v>244</v>
      </c>
      <c r="D10" s="25">
        <v>0</v>
      </c>
      <c r="E10" s="25">
        <f t="shared" si="0"/>
        <v>0</v>
      </c>
      <c r="F10" s="7" t="str">
        <f t="shared" si="1"/>
        <v>tel quel</v>
      </c>
      <c r="G10" s="7" t="s">
        <v>960</v>
      </c>
      <c r="H10" s="7" t="s">
        <v>961</v>
      </c>
    </row>
    <row r="11" spans="1:10" x14ac:dyDescent="0.3">
      <c r="A11" s="7">
        <v>2007</v>
      </c>
      <c r="B11" s="7" t="s">
        <v>963</v>
      </c>
      <c r="C11" s="7" t="s">
        <v>244</v>
      </c>
      <c r="D11" s="25">
        <v>0</v>
      </c>
      <c r="E11" s="25">
        <f t="shared" si="0"/>
        <v>0</v>
      </c>
      <c r="F11" s="7" t="str">
        <f t="shared" si="1"/>
        <v>tel quel</v>
      </c>
      <c r="G11" s="7" t="s">
        <v>960</v>
      </c>
      <c r="H11" s="7" t="s">
        <v>961</v>
      </c>
    </row>
    <row r="12" spans="1:10" x14ac:dyDescent="0.3">
      <c r="A12" s="7">
        <v>2007</v>
      </c>
      <c r="B12" s="7" t="s">
        <v>965</v>
      </c>
      <c r="C12" s="7" t="s">
        <v>244</v>
      </c>
      <c r="D12" s="25">
        <v>0</v>
      </c>
      <c r="E12" s="25">
        <f t="shared" si="0"/>
        <v>0</v>
      </c>
      <c r="F12" s="7" t="str">
        <f t="shared" si="1"/>
        <v>tel quel</v>
      </c>
      <c r="G12" s="7" t="s">
        <v>960</v>
      </c>
      <c r="H12" s="7" t="s">
        <v>961</v>
      </c>
    </row>
    <row r="13" spans="1:10" x14ac:dyDescent="0.3">
      <c r="A13" s="7">
        <v>2007</v>
      </c>
      <c r="B13" s="7" t="s">
        <v>967</v>
      </c>
      <c r="C13" s="7" t="s">
        <v>244</v>
      </c>
      <c r="D13" s="25">
        <v>25</v>
      </c>
      <c r="E13" s="25">
        <f t="shared" si="0"/>
        <v>25</v>
      </c>
      <c r="F13" s="7" t="str">
        <f t="shared" si="1"/>
        <v>tel quel</v>
      </c>
      <c r="G13" s="7" t="s">
        <v>960</v>
      </c>
      <c r="H13" s="7" t="s">
        <v>961</v>
      </c>
    </row>
    <row r="14" spans="1:10" x14ac:dyDescent="0.3">
      <c r="A14" s="7">
        <v>2008</v>
      </c>
      <c r="B14" s="7" t="s">
        <v>959</v>
      </c>
      <c r="C14" s="7" t="s">
        <v>244</v>
      </c>
      <c r="D14" s="25">
        <v>0</v>
      </c>
      <c r="E14" s="25">
        <f t="shared" si="0"/>
        <v>0</v>
      </c>
      <c r="F14" s="7" t="str">
        <f t="shared" si="1"/>
        <v>tel quel</v>
      </c>
      <c r="G14" s="7" t="s">
        <v>960</v>
      </c>
      <c r="H14" s="7" t="s">
        <v>961</v>
      </c>
    </row>
    <row r="15" spans="1:10" x14ac:dyDescent="0.3">
      <c r="A15" s="7">
        <v>2008</v>
      </c>
      <c r="B15" s="7" t="s">
        <v>963</v>
      </c>
      <c r="C15" s="7" t="s">
        <v>244</v>
      </c>
      <c r="D15" s="25">
        <v>0</v>
      </c>
      <c r="E15" s="25">
        <f t="shared" si="0"/>
        <v>0</v>
      </c>
      <c r="F15" s="7" t="str">
        <f t="shared" si="1"/>
        <v>tel quel</v>
      </c>
      <c r="G15" s="7" t="s">
        <v>960</v>
      </c>
      <c r="H15" s="7" t="s">
        <v>961</v>
      </c>
    </row>
    <row r="16" spans="1:10" x14ac:dyDescent="0.3">
      <c r="A16" s="7">
        <v>2008</v>
      </c>
      <c r="B16" s="7" t="s">
        <v>965</v>
      </c>
      <c r="C16" s="7" t="s">
        <v>244</v>
      </c>
      <c r="D16" s="25">
        <v>0</v>
      </c>
      <c r="E16" s="25">
        <f t="shared" si="0"/>
        <v>0</v>
      </c>
      <c r="F16" s="7" t="str">
        <f t="shared" si="1"/>
        <v>tel quel</v>
      </c>
      <c r="G16" s="7" t="s">
        <v>960</v>
      </c>
      <c r="H16" s="7" t="s">
        <v>961</v>
      </c>
    </row>
    <row r="17" spans="1:8" x14ac:dyDescent="0.3">
      <c r="A17" s="7">
        <v>2008</v>
      </c>
      <c r="B17" s="7" t="s">
        <v>967</v>
      </c>
      <c r="C17" s="7" t="s">
        <v>244</v>
      </c>
      <c r="D17" s="25">
        <v>25</v>
      </c>
      <c r="E17" s="25">
        <f t="shared" si="0"/>
        <v>25</v>
      </c>
      <c r="F17" s="7" t="str">
        <f t="shared" si="1"/>
        <v>tel quel</v>
      </c>
      <c r="G17" s="7" t="s">
        <v>960</v>
      </c>
      <c r="H17" s="7" t="s">
        <v>961</v>
      </c>
    </row>
    <row r="18" spans="1:8" x14ac:dyDescent="0.3">
      <c r="A18" s="7">
        <v>2009</v>
      </c>
      <c r="B18" s="7" t="s">
        <v>959</v>
      </c>
      <c r="C18" s="7" t="s">
        <v>244</v>
      </c>
      <c r="D18" s="25">
        <v>0</v>
      </c>
      <c r="E18" s="25">
        <f t="shared" si="0"/>
        <v>0</v>
      </c>
      <c r="F18" s="7" t="str">
        <f t="shared" si="1"/>
        <v>tel quel</v>
      </c>
      <c r="G18" s="7" t="s">
        <v>960</v>
      </c>
      <c r="H18" s="7" t="s">
        <v>961</v>
      </c>
    </row>
    <row r="19" spans="1:8" x14ac:dyDescent="0.3">
      <c r="A19" s="7">
        <v>2009</v>
      </c>
      <c r="B19" s="7" t="s">
        <v>963</v>
      </c>
      <c r="C19" s="7" t="s">
        <v>244</v>
      </c>
      <c r="D19" s="25">
        <v>0</v>
      </c>
      <c r="E19" s="25">
        <f t="shared" si="0"/>
        <v>0</v>
      </c>
      <c r="F19" s="7" t="str">
        <f t="shared" si="1"/>
        <v>tel quel</v>
      </c>
      <c r="G19" s="7" t="s">
        <v>960</v>
      </c>
      <c r="H19" s="7" t="s">
        <v>961</v>
      </c>
    </row>
    <row r="20" spans="1:8" x14ac:dyDescent="0.3">
      <c r="A20" s="7">
        <v>2009</v>
      </c>
      <c r="B20" s="7" t="s">
        <v>965</v>
      </c>
      <c r="C20" s="7" t="s">
        <v>244</v>
      </c>
      <c r="D20" s="25">
        <v>0</v>
      </c>
      <c r="E20" s="25">
        <f t="shared" si="0"/>
        <v>0</v>
      </c>
      <c r="F20" s="7" t="str">
        <f t="shared" si="1"/>
        <v>tel quel</v>
      </c>
      <c r="G20" s="7" t="s">
        <v>960</v>
      </c>
      <c r="H20" s="7" t="s">
        <v>961</v>
      </c>
    </row>
    <row r="21" spans="1:8" x14ac:dyDescent="0.3">
      <c r="A21" s="7">
        <v>2009</v>
      </c>
      <c r="B21" s="7" t="s">
        <v>967</v>
      </c>
      <c r="C21" s="7" t="s">
        <v>244</v>
      </c>
      <c r="D21" s="25">
        <v>2.58279999999999E+16</v>
      </c>
      <c r="E21" s="25">
        <f t="shared" si="0"/>
        <v>25.8279999999999</v>
      </c>
      <c r="F21" s="7" t="str">
        <f t="shared" si="1"/>
        <v>reconstruit</v>
      </c>
      <c r="G21" s="7" t="s">
        <v>960</v>
      </c>
      <c r="H21" s="7" t="s">
        <v>961</v>
      </c>
    </row>
    <row r="22" spans="1:8" x14ac:dyDescent="0.3">
      <c r="A22" s="7">
        <v>2010</v>
      </c>
      <c r="B22" s="7" t="s">
        <v>959</v>
      </c>
      <c r="C22" s="7" t="s">
        <v>244</v>
      </c>
      <c r="D22" s="25">
        <v>0</v>
      </c>
      <c r="E22" s="25">
        <f t="shared" si="0"/>
        <v>0</v>
      </c>
      <c r="F22" s="7" t="str">
        <f t="shared" si="1"/>
        <v>tel quel</v>
      </c>
      <c r="G22" s="7" t="s">
        <v>960</v>
      </c>
      <c r="H22" s="7" t="s">
        <v>961</v>
      </c>
    </row>
    <row r="23" spans="1:8" x14ac:dyDescent="0.3">
      <c r="A23" s="7">
        <v>2010</v>
      </c>
      <c r="B23" s="7" t="s">
        <v>963</v>
      </c>
      <c r="C23" s="7" t="s">
        <v>244</v>
      </c>
      <c r="D23" s="25">
        <v>0</v>
      </c>
      <c r="E23" s="25">
        <f t="shared" si="0"/>
        <v>0</v>
      </c>
      <c r="F23" s="7" t="str">
        <f t="shared" si="1"/>
        <v>tel quel</v>
      </c>
      <c r="G23" s="7" t="s">
        <v>960</v>
      </c>
      <c r="H23" s="7" t="s">
        <v>961</v>
      </c>
    </row>
    <row r="24" spans="1:8" x14ac:dyDescent="0.3">
      <c r="A24" s="7">
        <v>2010</v>
      </c>
      <c r="B24" s="7" t="s">
        <v>965</v>
      </c>
      <c r="C24" s="7" t="s">
        <v>244</v>
      </c>
      <c r="D24" s="25">
        <v>0</v>
      </c>
      <c r="E24" s="25">
        <f t="shared" si="0"/>
        <v>0</v>
      </c>
      <c r="F24" s="7" t="str">
        <f t="shared" si="1"/>
        <v>tel quel</v>
      </c>
      <c r="G24" s="7" t="s">
        <v>960</v>
      </c>
      <c r="H24" s="7" t="s">
        <v>961</v>
      </c>
    </row>
    <row r="25" spans="1:8" x14ac:dyDescent="0.3">
      <c r="A25" s="7">
        <v>2010</v>
      </c>
      <c r="B25" s="7" t="s">
        <v>967</v>
      </c>
      <c r="C25" s="7" t="s">
        <v>244</v>
      </c>
      <c r="D25" s="25">
        <v>2.58279999999999E+16</v>
      </c>
      <c r="E25" s="25">
        <f t="shared" si="0"/>
        <v>25.8279999999999</v>
      </c>
      <c r="F25" s="7" t="str">
        <f t="shared" si="1"/>
        <v>reconstruit</v>
      </c>
      <c r="G25" s="7" t="s">
        <v>960</v>
      </c>
      <c r="H25" s="7" t="s">
        <v>961</v>
      </c>
    </row>
    <row r="26" spans="1:8" x14ac:dyDescent="0.3">
      <c r="A26" s="7">
        <v>2012</v>
      </c>
      <c r="B26" s="7" t="s">
        <v>959</v>
      </c>
      <c r="C26" s="7" t="s">
        <v>244</v>
      </c>
      <c r="D26" s="25">
        <v>0</v>
      </c>
      <c r="E26" s="25">
        <f t="shared" si="0"/>
        <v>0</v>
      </c>
      <c r="F26" s="7" t="str">
        <f t="shared" si="1"/>
        <v>tel quel</v>
      </c>
      <c r="G26" s="7" t="s">
        <v>960</v>
      </c>
      <c r="H26" s="7" t="s">
        <v>961</v>
      </c>
    </row>
    <row r="27" spans="1:8" x14ac:dyDescent="0.3">
      <c r="A27" s="7">
        <v>2012</v>
      </c>
      <c r="B27" s="7" t="s">
        <v>963</v>
      </c>
      <c r="C27" s="7" t="s">
        <v>244</v>
      </c>
      <c r="D27" s="25">
        <v>0</v>
      </c>
      <c r="E27" s="25">
        <f t="shared" si="0"/>
        <v>0</v>
      </c>
      <c r="F27" s="7" t="str">
        <f t="shared" si="1"/>
        <v>tel quel</v>
      </c>
      <c r="G27" s="7" t="s">
        <v>960</v>
      </c>
      <c r="H27" s="7" t="s">
        <v>961</v>
      </c>
    </row>
    <row r="28" spans="1:8" x14ac:dyDescent="0.3">
      <c r="A28" s="7">
        <v>2012</v>
      </c>
      <c r="B28" s="7" t="s">
        <v>965</v>
      </c>
      <c r="C28" s="7" t="s">
        <v>244</v>
      </c>
      <c r="D28" s="25">
        <v>0</v>
      </c>
      <c r="E28" s="25">
        <f t="shared" si="0"/>
        <v>0</v>
      </c>
      <c r="F28" s="7" t="str">
        <f t="shared" si="1"/>
        <v>tel quel</v>
      </c>
      <c r="G28" s="7" t="s">
        <v>960</v>
      </c>
      <c r="H28" s="7" t="s">
        <v>961</v>
      </c>
    </row>
    <row r="29" spans="1:8" x14ac:dyDescent="0.3">
      <c r="A29" s="7">
        <v>2012</v>
      </c>
      <c r="B29" s="7" t="s">
        <v>967</v>
      </c>
      <c r="C29" s="7" t="s">
        <v>244</v>
      </c>
      <c r="D29" s="25">
        <v>2.58279999999999E+16</v>
      </c>
      <c r="E29" s="25">
        <f t="shared" si="0"/>
        <v>25.8279999999999</v>
      </c>
      <c r="F29" s="7" t="str">
        <f t="shared" si="1"/>
        <v>reconstruit</v>
      </c>
      <c r="G29" s="7" t="s">
        <v>960</v>
      </c>
      <c r="H29" s="7" t="s">
        <v>961</v>
      </c>
    </row>
    <row r="30" spans="1:8" x14ac:dyDescent="0.3">
      <c r="A30" s="7">
        <v>2013</v>
      </c>
      <c r="B30" s="7" t="s">
        <v>959</v>
      </c>
      <c r="C30" s="7" t="s">
        <v>244</v>
      </c>
      <c r="D30" s="25">
        <v>0</v>
      </c>
      <c r="E30" s="25">
        <f t="shared" si="0"/>
        <v>0</v>
      </c>
      <c r="F30" s="7" t="str">
        <f t="shared" si="1"/>
        <v>tel quel</v>
      </c>
      <c r="G30" s="7" t="s">
        <v>960</v>
      </c>
      <c r="H30" s="7" t="s">
        <v>961</v>
      </c>
    </row>
    <row r="31" spans="1:8" x14ac:dyDescent="0.3">
      <c r="A31" s="7">
        <v>2013</v>
      </c>
      <c r="B31" s="7" t="s">
        <v>963</v>
      </c>
      <c r="C31" s="7" t="s">
        <v>244</v>
      </c>
      <c r="D31" s="25">
        <v>0</v>
      </c>
      <c r="E31" s="25">
        <f t="shared" si="0"/>
        <v>0</v>
      </c>
      <c r="F31" s="7" t="str">
        <f t="shared" si="1"/>
        <v>tel quel</v>
      </c>
      <c r="G31" s="7" t="s">
        <v>960</v>
      </c>
      <c r="H31" s="7" t="s">
        <v>961</v>
      </c>
    </row>
    <row r="32" spans="1:8" x14ac:dyDescent="0.3">
      <c r="A32" s="7">
        <v>2013</v>
      </c>
      <c r="B32" s="7" t="s">
        <v>965</v>
      </c>
      <c r="C32" s="7" t="s">
        <v>244</v>
      </c>
      <c r="D32" s="25">
        <v>0</v>
      </c>
      <c r="E32" s="25">
        <f t="shared" si="0"/>
        <v>0</v>
      </c>
      <c r="F32" s="7" t="str">
        <f t="shared" si="1"/>
        <v>tel quel</v>
      </c>
      <c r="G32" s="7" t="s">
        <v>960</v>
      </c>
      <c r="H32" s="7" t="s">
        <v>961</v>
      </c>
    </row>
    <row r="33" spans="1:8" x14ac:dyDescent="0.3">
      <c r="A33" s="7">
        <v>2013</v>
      </c>
      <c r="B33" s="7" t="s">
        <v>967</v>
      </c>
      <c r="C33" s="7" t="s">
        <v>244</v>
      </c>
      <c r="D33" s="25">
        <v>2.78279999999999E+16</v>
      </c>
      <c r="E33" s="25">
        <f t="shared" si="0"/>
        <v>27.8279999999999</v>
      </c>
      <c r="F33" s="7" t="str">
        <f t="shared" si="1"/>
        <v>reconstruit</v>
      </c>
      <c r="G33" s="7" t="s">
        <v>960</v>
      </c>
      <c r="H33" s="7" t="s">
        <v>961</v>
      </c>
    </row>
    <row r="34" spans="1:8" x14ac:dyDescent="0.3">
      <c r="A34" s="7">
        <v>2014</v>
      </c>
      <c r="B34" s="7" t="s">
        <v>959</v>
      </c>
      <c r="C34" s="7" t="s">
        <v>244</v>
      </c>
      <c r="D34" s="25">
        <v>0</v>
      </c>
      <c r="E34" s="25">
        <f t="shared" ref="E34:E65" si="2">IF(D34&gt;1000000,D34/1000000000000000,IF(AND(D34&gt;=1000,D34&lt;1000000),D34/1000,D34))</f>
        <v>0</v>
      </c>
      <c r="F34" s="7" t="str">
        <f t="shared" ref="F34:F65" si="3">IF(E34=D34,"tel quel","reconstruit")</f>
        <v>tel quel</v>
      </c>
      <c r="G34" s="7" t="s">
        <v>960</v>
      </c>
      <c r="H34" s="7" t="s">
        <v>961</v>
      </c>
    </row>
    <row r="35" spans="1:8" x14ac:dyDescent="0.3">
      <c r="A35" s="7">
        <v>2014</v>
      </c>
      <c r="B35" s="7" t="s">
        <v>963</v>
      </c>
      <c r="C35" s="7" t="s">
        <v>244</v>
      </c>
      <c r="D35" s="25">
        <v>0</v>
      </c>
      <c r="E35" s="25">
        <f t="shared" si="2"/>
        <v>0</v>
      </c>
      <c r="F35" s="7" t="str">
        <f t="shared" si="3"/>
        <v>tel quel</v>
      </c>
      <c r="G35" s="7" t="s">
        <v>960</v>
      </c>
      <c r="H35" s="7" t="s">
        <v>961</v>
      </c>
    </row>
    <row r="36" spans="1:8" x14ac:dyDescent="0.3">
      <c r="A36" s="7">
        <v>2014</v>
      </c>
      <c r="B36" s="7" t="s">
        <v>965</v>
      </c>
      <c r="C36" s="7" t="s">
        <v>244</v>
      </c>
      <c r="D36" s="25">
        <v>0</v>
      </c>
      <c r="E36" s="25">
        <f t="shared" si="2"/>
        <v>0</v>
      </c>
      <c r="F36" s="7" t="str">
        <f t="shared" si="3"/>
        <v>tel quel</v>
      </c>
      <c r="G36" s="7" t="s">
        <v>960</v>
      </c>
      <c r="H36" s="7" t="s">
        <v>961</v>
      </c>
    </row>
    <row r="37" spans="1:8" x14ac:dyDescent="0.3">
      <c r="A37" s="7">
        <v>2014</v>
      </c>
      <c r="B37" s="7" t="s">
        <v>967</v>
      </c>
      <c r="C37" s="7" t="s">
        <v>244</v>
      </c>
      <c r="D37" s="25">
        <v>2.83279999999999E+16</v>
      </c>
      <c r="E37" s="25">
        <f t="shared" si="2"/>
        <v>28.3279999999999</v>
      </c>
      <c r="F37" s="7" t="str">
        <f t="shared" si="3"/>
        <v>reconstruit</v>
      </c>
      <c r="G37" s="7" t="s">
        <v>960</v>
      </c>
      <c r="H37" s="7" t="s">
        <v>961</v>
      </c>
    </row>
    <row r="38" spans="1:8" x14ac:dyDescent="0.3">
      <c r="A38" s="7">
        <v>2015</v>
      </c>
      <c r="B38" s="7" t="s">
        <v>959</v>
      </c>
      <c r="C38" s="7" t="s">
        <v>244</v>
      </c>
      <c r="D38" s="25">
        <v>0</v>
      </c>
      <c r="E38" s="25">
        <f t="shared" si="2"/>
        <v>0</v>
      </c>
      <c r="F38" s="7" t="str">
        <f t="shared" si="3"/>
        <v>tel quel</v>
      </c>
      <c r="G38" s="7" t="s">
        <v>960</v>
      </c>
      <c r="H38" s="7" t="s">
        <v>961</v>
      </c>
    </row>
    <row r="39" spans="1:8" x14ac:dyDescent="0.3">
      <c r="A39" s="7">
        <v>2015</v>
      </c>
      <c r="B39" s="7" t="s">
        <v>963</v>
      </c>
      <c r="C39" s="7" t="s">
        <v>244</v>
      </c>
      <c r="D39" s="25">
        <v>0</v>
      </c>
      <c r="E39" s="25">
        <f t="shared" si="2"/>
        <v>0</v>
      </c>
      <c r="F39" s="7" t="str">
        <f t="shared" si="3"/>
        <v>tel quel</v>
      </c>
      <c r="G39" s="7" t="s">
        <v>960</v>
      </c>
      <c r="H39" s="7" t="s">
        <v>961</v>
      </c>
    </row>
    <row r="40" spans="1:8" x14ac:dyDescent="0.3">
      <c r="A40" s="7">
        <v>2015</v>
      </c>
      <c r="B40" s="7" t="s">
        <v>965</v>
      </c>
      <c r="C40" s="7" t="s">
        <v>244</v>
      </c>
      <c r="D40" s="25">
        <v>0</v>
      </c>
      <c r="E40" s="25">
        <f t="shared" si="2"/>
        <v>0</v>
      </c>
      <c r="F40" s="7" t="str">
        <f t="shared" si="3"/>
        <v>tel quel</v>
      </c>
      <c r="G40" s="7" t="s">
        <v>960</v>
      </c>
      <c r="H40" s="7" t="s">
        <v>961</v>
      </c>
    </row>
    <row r="41" spans="1:8" x14ac:dyDescent="0.3">
      <c r="A41" s="7">
        <v>2015</v>
      </c>
      <c r="B41" s="7" t="s">
        <v>967</v>
      </c>
      <c r="C41" s="7" t="s">
        <v>244</v>
      </c>
      <c r="D41" s="25">
        <v>2.96879999999999E+16</v>
      </c>
      <c r="E41" s="25">
        <f t="shared" si="2"/>
        <v>29.687999999999899</v>
      </c>
      <c r="F41" s="7" t="str">
        <f t="shared" si="3"/>
        <v>reconstruit</v>
      </c>
      <c r="G41" s="7" t="s">
        <v>960</v>
      </c>
      <c r="H41" s="7" t="s">
        <v>961</v>
      </c>
    </row>
    <row r="42" spans="1:8" x14ac:dyDescent="0.3">
      <c r="A42" s="7">
        <v>2016</v>
      </c>
      <c r="B42" s="7" t="s">
        <v>959</v>
      </c>
      <c r="C42" s="7" t="s">
        <v>244</v>
      </c>
      <c r="D42" s="25">
        <v>0</v>
      </c>
      <c r="E42" s="25">
        <f t="shared" si="2"/>
        <v>0</v>
      </c>
      <c r="F42" s="7" t="str">
        <f t="shared" si="3"/>
        <v>tel quel</v>
      </c>
      <c r="G42" s="7" t="s">
        <v>960</v>
      </c>
      <c r="H42" s="7" t="s">
        <v>961</v>
      </c>
    </row>
    <row r="43" spans="1:8" x14ac:dyDescent="0.3">
      <c r="A43" s="7">
        <v>2016</v>
      </c>
      <c r="B43" s="7" t="s">
        <v>963</v>
      </c>
      <c r="C43" s="7" t="s">
        <v>244</v>
      </c>
      <c r="D43" s="25">
        <v>0</v>
      </c>
      <c r="E43" s="25">
        <f t="shared" si="2"/>
        <v>0</v>
      </c>
      <c r="F43" s="7" t="str">
        <f t="shared" si="3"/>
        <v>tel quel</v>
      </c>
      <c r="G43" s="7" t="s">
        <v>960</v>
      </c>
      <c r="H43" s="7" t="s">
        <v>961</v>
      </c>
    </row>
    <row r="44" spans="1:8" x14ac:dyDescent="0.3">
      <c r="A44" s="7">
        <v>2016</v>
      </c>
      <c r="B44" s="7" t="s">
        <v>965</v>
      </c>
      <c r="C44" s="7" t="s">
        <v>244</v>
      </c>
      <c r="D44" s="25">
        <v>0</v>
      </c>
      <c r="E44" s="25">
        <f t="shared" si="2"/>
        <v>0</v>
      </c>
      <c r="F44" s="7" t="str">
        <f t="shared" si="3"/>
        <v>tel quel</v>
      </c>
      <c r="G44" s="7" t="s">
        <v>960</v>
      </c>
      <c r="H44" s="7" t="s">
        <v>961</v>
      </c>
    </row>
    <row r="45" spans="1:8" x14ac:dyDescent="0.3">
      <c r="A45" s="7">
        <v>2016</v>
      </c>
      <c r="B45" s="7" t="s">
        <v>967</v>
      </c>
      <c r="C45" s="7" t="s">
        <v>244</v>
      </c>
      <c r="D45" s="25">
        <v>2.96879999999999E+16</v>
      </c>
      <c r="E45" s="25">
        <f t="shared" si="2"/>
        <v>29.687999999999899</v>
      </c>
      <c r="F45" s="7" t="str">
        <f t="shared" si="3"/>
        <v>reconstruit</v>
      </c>
      <c r="G45" s="7" t="s">
        <v>960</v>
      </c>
      <c r="H45" s="7" t="s">
        <v>961</v>
      </c>
    </row>
    <row r="46" spans="1:8" x14ac:dyDescent="0.3">
      <c r="A46" s="7">
        <v>2017</v>
      </c>
      <c r="B46" s="7" t="s">
        <v>959</v>
      </c>
      <c r="C46" s="7" t="s">
        <v>244</v>
      </c>
      <c r="D46" s="25">
        <v>0</v>
      </c>
      <c r="E46" s="25">
        <f t="shared" si="2"/>
        <v>0</v>
      </c>
      <c r="F46" s="7" t="str">
        <f t="shared" si="3"/>
        <v>tel quel</v>
      </c>
      <c r="G46" s="7" t="s">
        <v>960</v>
      </c>
      <c r="H46" s="7" t="s">
        <v>961</v>
      </c>
    </row>
    <row r="47" spans="1:8" x14ac:dyDescent="0.3">
      <c r="A47" s="7">
        <v>2017</v>
      </c>
      <c r="B47" s="7" t="s">
        <v>963</v>
      </c>
      <c r="C47" s="7" t="s">
        <v>244</v>
      </c>
      <c r="D47" s="25">
        <v>0</v>
      </c>
      <c r="E47" s="25">
        <f t="shared" si="2"/>
        <v>0</v>
      </c>
      <c r="F47" s="7" t="str">
        <f t="shared" si="3"/>
        <v>tel quel</v>
      </c>
      <c r="G47" s="7" t="s">
        <v>960</v>
      </c>
      <c r="H47" s="7" t="s">
        <v>961</v>
      </c>
    </row>
    <row r="48" spans="1:8" x14ac:dyDescent="0.3">
      <c r="A48" s="7">
        <v>2017</v>
      </c>
      <c r="B48" s="7" t="s">
        <v>965</v>
      </c>
      <c r="C48" s="7" t="s">
        <v>244</v>
      </c>
      <c r="D48" s="25">
        <v>0</v>
      </c>
      <c r="E48" s="25">
        <f t="shared" si="2"/>
        <v>0</v>
      </c>
      <c r="F48" s="7" t="str">
        <f t="shared" si="3"/>
        <v>tel quel</v>
      </c>
      <c r="G48" s="7" t="s">
        <v>960</v>
      </c>
      <c r="H48" s="7" t="s">
        <v>961</v>
      </c>
    </row>
    <row r="49" spans="1:8" x14ac:dyDescent="0.3">
      <c r="A49" s="7">
        <v>2017</v>
      </c>
      <c r="B49" s="7" t="s">
        <v>967</v>
      </c>
      <c r="C49" s="7" t="s">
        <v>244</v>
      </c>
      <c r="D49" s="25">
        <v>3.03879999999999E+16</v>
      </c>
      <c r="E49" s="25">
        <f t="shared" si="2"/>
        <v>30.387999999999899</v>
      </c>
      <c r="F49" s="7" t="str">
        <f t="shared" si="3"/>
        <v>reconstruit</v>
      </c>
      <c r="G49" s="7" t="s">
        <v>960</v>
      </c>
      <c r="H49" s="7" t="s">
        <v>961</v>
      </c>
    </row>
    <row r="50" spans="1:8" x14ac:dyDescent="0.3">
      <c r="A50" s="7">
        <v>2018</v>
      </c>
      <c r="B50" s="7" t="s">
        <v>959</v>
      </c>
      <c r="C50" s="7" t="s">
        <v>244</v>
      </c>
      <c r="D50" s="25">
        <v>0</v>
      </c>
      <c r="E50" s="25">
        <f t="shared" si="2"/>
        <v>0</v>
      </c>
      <c r="F50" s="7" t="str">
        <f t="shared" si="3"/>
        <v>tel quel</v>
      </c>
      <c r="G50" s="7" t="s">
        <v>960</v>
      </c>
      <c r="H50" s="7" t="s">
        <v>961</v>
      </c>
    </row>
    <row r="51" spans="1:8" x14ac:dyDescent="0.3">
      <c r="A51" s="7">
        <v>2018</v>
      </c>
      <c r="B51" s="7" t="s">
        <v>963</v>
      </c>
      <c r="C51" s="7" t="s">
        <v>244</v>
      </c>
      <c r="D51" s="25">
        <v>0</v>
      </c>
      <c r="E51" s="25">
        <f t="shared" si="2"/>
        <v>0</v>
      </c>
      <c r="F51" s="7" t="str">
        <f t="shared" si="3"/>
        <v>tel quel</v>
      </c>
      <c r="G51" s="7" t="s">
        <v>960</v>
      </c>
      <c r="H51" s="7" t="s">
        <v>961</v>
      </c>
    </row>
    <row r="52" spans="1:8" x14ac:dyDescent="0.3">
      <c r="A52" s="7">
        <v>2018</v>
      </c>
      <c r="B52" s="7" t="s">
        <v>965</v>
      </c>
      <c r="C52" s="7" t="s">
        <v>244</v>
      </c>
      <c r="D52" s="25">
        <v>0</v>
      </c>
      <c r="E52" s="25">
        <f t="shared" si="2"/>
        <v>0</v>
      </c>
      <c r="F52" s="7" t="str">
        <f t="shared" si="3"/>
        <v>tel quel</v>
      </c>
      <c r="G52" s="7" t="s">
        <v>960</v>
      </c>
      <c r="H52" s="7" t="s">
        <v>961</v>
      </c>
    </row>
    <row r="53" spans="1:8" x14ac:dyDescent="0.3">
      <c r="A53" s="7">
        <v>2018</v>
      </c>
      <c r="B53" s="7" t="s">
        <v>967</v>
      </c>
      <c r="C53" s="7" t="s">
        <v>244</v>
      </c>
      <c r="D53" s="25">
        <v>30988</v>
      </c>
      <c r="E53" s="25">
        <f t="shared" si="2"/>
        <v>30.988</v>
      </c>
      <c r="F53" s="7" t="str">
        <f t="shared" si="3"/>
        <v>reconstruit</v>
      </c>
      <c r="G53" s="7" t="s">
        <v>960</v>
      </c>
      <c r="H53" s="7" t="s">
        <v>961</v>
      </c>
    </row>
    <row r="54" spans="1:8" x14ac:dyDescent="0.3">
      <c r="A54" s="7">
        <v>2019</v>
      </c>
      <c r="B54" s="7" t="s">
        <v>959</v>
      </c>
      <c r="C54" s="7" t="s">
        <v>244</v>
      </c>
      <c r="D54" s="25">
        <v>0</v>
      </c>
      <c r="E54" s="25">
        <f t="shared" si="2"/>
        <v>0</v>
      </c>
      <c r="F54" s="7" t="str">
        <f t="shared" si="3"/>
        <v>tel quel</v>
      </c>
      <c r="G54" s="7" t="s">
        <v>960</v>
      </c>
      <c r="H54" s="7" t="s">
        <v>961</v>
      </c>
    </row>
    <row r="55" spans="1:8" x14ac:dyDescent="0.3">
      <c r="A55" s="7">
        <v>2019</v>
      </c>
      <c r="B55" s="7" t="s">
        <v>963</v>
      </c>
      <c r="C55" s="7" t="s">
        <v>244</v>
      </c>
      <c r="D55" s="25">
        <v>0</v>
      </c>
      <c r="E55" s="25">
        <f t="shared" si="2"/>
        <v>0</v>
      </c>
      <c r="F55" s="7" t="str">
        <f t="shared" si="3"/>
        <v>tel quel</v>
      </c>
      <c r="G55" s="7" t="s">
        <v>960</v>
      </c>
      <c r="H55" s="7" t="s">
        <v>961</v>
      </c>
    </row>
    <row r="56" spans="1:8" x14ac:dyDescent="0.3">
      <c r="A56" s="7">
        <v>2019</v>
      </c>
      <c r="B56" s="7" t="s">
        <v>965</v>
      </c>
      <c r="C56" s="7" t="s">
        <v>244</v>
      </c>
      <c r="D56" s="25">
        <v>0</v>
      </c>
      <c r="E56" s="25">
        <f t="shared" si="2"/>
        <v>0</v>
      </c>
      <c r="F56" s="7" t="str">
        <f t="shared" si="3"/>
        <v>tel quel</v>
      </c>
      <c r="G56" s="7" t="s">
        <v>960</v>
      </c>
      <c r="H56" s="7" t="s">
        <v>961</v>
      </c>
    </row>
    <row r="57" spans="1:8" x14ac:dyDescent="0.3">
      <c r="A57" s="7">
        <v>2019</v>
      </c>
      <c r="B57" s="7" t="s">
        <v>967</v>
      </c>
      <c r="C57" s="7" t="s">
        <v>244</v>
      </c>
      <c r="D57" s="25">
        <v>3.52639999999999E+16</v>
      </c>
      <c r="E57" s="25">
        <f t="shared" si="2"/>
        <v>35.263999999999903</v>
      </c>
      <c r="F57" s="7" t="str">
        <f t="shared" si="3"/>
        <v>reconstruit</v>
      </c>
      <c r="G57" s="7" t="s">
        <v>960</v>
      </c>
      <c r="H57" s="7" t="s">
        <v>961</v>
      </c>
    </row>
    <row r="58" spans="1:8" x14ac:dyDescent="0.3">
      <c r="A58" s="7">
        <v>2020</v>
      </c>
      <c r="B58" s="7" t="s">
        <v>959</v>
      </c>
      <c r="C58" s="7" t="s">
        <v>244</v>
      </c>
      <c r="D58" s="25">
        <v>0</v>
      </c>
      <c r="E58" s="25">
        <f t="shared" si="2"/>
        <v>0</v>
      </c>
      <c r="F58" s="7" t="str">
        <f t="shared" si="3"/>
        <v>tel quel</v>
      </c>
      <c r="G58" s="7" t="s">
        <v>960</v>
      </c>
      <c r="H58" s="7" t="s">
        <v>961</v>
      </c>
    </row>
    <row r="59" spans="1:8" x14ac:dyDescent="0.3">
      <c r="A59" s="7">
        <v>2020</v>
      </c>
      <c r="B59" s="7" t="s">
        <v>963</v>
      </c>
      <c r="C59" s="7" t="s">
        <v>244</v>
      </c>
      <c r="D59" s="25">
        <v>0</v>
      </c>
      <c r="E59" s="25">
        <f t="shared" si="2"/>
        <v>0</v>
      </c>
      <c r="F59" s="7" t="str">
        <f t="shared" si="3"/>
        <v>tel quel</v>
      </c>
      <c r="G59" s="7" t="s">
        <v>960</v>
      </c>
      <c r="H59" s="7" t="s">
        <v>961</v>
      </c>
    </row>
    <row r="60" spans="1:8" x14ac:dyDescent="0.3">
      <c r="A60" s="7">
        <v>2020</v>
      </c>
      <c r="B60" s="7" t="s">
        <v>965</v>
      </c>
      <c r="C60" s="7" t="s">
        <v>244</v>
      </c>
      <c r="D60" s="25">
        <v>0</v>
      </c>
      <c r="E60" s="25">
        <f t="shared" si="2"/>
        <v>0</v>
      </c>
      <c r="F60" s="7" t="str">
        <f t="shared" si="3"/>
        <v>tel quel</v>
      </c>
      <c r="G60" s="7" t="s">
        <v>960</v>
      </c>
      <c r="H60" s="7" t="s">
        <v>961</v>
      </c>
    </row>
    <row r="61" spans="1:8" x14ac:dyDescent="0.3">
      <c r="A61" s="7">
        <v>2020</v>
      </c>
      <c r="B61" s="7" t="s">
        <v>967</v>
      </c>
      <c r="C61" s="7" t="s">
        <v>244</v>
      </c>
      <c r="D61" s="25">
        <v>6.0424299625468096E+16</v>
      </c>
      <c r="E61" s="25">
        <f t="shared" si="2"/>
        <v>60.424299625468095</v>
      </c>
      <c r="F61" s="7" t="str">
        <f t="shared" si="3"/>
        <v>reconstruit</v>
      </c>
      <c r="G61" s="7" t="s">
        <v>960</v>
      </c>
      <c r="H61" s="7" t="s">
        <v>961</v>
      </c>
    </row>
    <row r="62" spans="1:8" x14ac:dyDescent="0.3">
      <c r="A62" s="7">
        <v>2021</v>
      </c>
      <c r="B62" s="7" t="s">
        <v>959</v>
      </c>
      <c r="C62" s="7" t="s">
        <v>244</v>
      </c>
      <c r="D62" s="25">
        <v>0</v>
      </c>
      <c r="E62" s="25">
        <f t="shared" si="2"/>
        <v>0</v>
      </c>
      <c r="F62" s="7" t="str">
        <f t="shared" si="3"/>
        <v>tel quel</v>
      </c>
      <c r="G62" s="7" t="s">
        <v>960</v>
      </c>
      <c r="H62" s="7" t="s">
        <v>961</v>
      </c>
    </row>
    <row r="63" spans="1:8" x14ac:dyDescent="0.3">
      <c r="A63" s="7">
        <v>2021</v>
      </c>
      <c r="B63" s="7" t="s">
        <v>963</v>
      </c>
      <c r="C63" s="7" t="s">
        <v>244</v>
      </c>
      <c r="D63" s="25">
        <v>0</v>
      </c>
      <c r="E63" s="25">
        <f t="shared" si="2"/>
        <v>0</v>
      </c>
      <c r="F63" s="7" t="str">
        <f t="shared" si="3"/>
        <v>tel quel</v>
      </c>
      <c r="G63" s="7" t="s">
        <v>960</v>
      </c>
      <c r="H63" s="7" t="s">
        <v>961</v>
      </c>
    </row>
    <row r="64" spans="1:8" x14ac:dyDescent="0.3">
      <c r="A64" s="7">
        <v>2021</v>
      </c>
      <c r="B64" s="7" t="s">
        <v>965</v>
      </c>
      <c r="C64" s="7" t="s">
        <v>244</v>
      </c>
      <c r="D64" s="25">
        <v>0</v>
      </c>
      <c r="E64" s="25">
        <f t="shared" si="2"/>
        <v>0</v>
      </c>
      <c r="F64" s="7" t="str">
        <f t="shared" si="3"/>
        <v>tel quel</v>
      </c>
      <c r="G64" s="7" t="s">
        <v>960</v>
      </c>
      <c r="H64" s="7" t="s">
        <v>961</v>
      </c>
    </row>
    <row r="65" spans="1:8" x14ac:dyDescent="0.3">
      <c r="A65" s="7">
        <v>2021</v>
      </c>
      <c r="B65" s="7" t="s">
        <v>967</v>
      </c>
      <c r="C65" s="7" t="s">
        <v>244</v>
      </c>
      <c r="D65" s="25">
        <v>2.17199299625468E+16</v>
      </c>
      <c r="E65" s="25">
        <f t="shared" si="2"/>
        <v>21.7199299625468</v>
      </c>
      <c r="F65" s="7" t="str">
        <f t="shared" si="3"/>
        <v>reconstruit</v>
      </c>
      <c r="G65" s="7" t="s">
        <v>960</v>
      </c>
      <c r="H65" s="7" t="s">
        <v>961</v>
      </c>
    </row>
    <row r="66" spans="1:8" x14ac:dyDescent="0.3">
      <c r="A66" s="7">
        <v>2022</v>
      </c>
      <c r="B66" s="7" t="s">
        <v>959</v>
      </c>
      <c r="C66" s="7" t="s">
        <v>244</v>
      </c>
      <c r="D66" s="25">
        <v>0</v>
      </c>
      <c r="E66" s="25">
        <f t="shared" ref="E66:E97" si="4">IF(D66&gt;1000000,D66/1000000000000000,IF(AND(D66&gt;=1000,D66&lt;1000000),D66/1000,D66))</f>
        <v>0</v>
      </c>
      <c r="F66" s="7" t="str">
        <f t="shared" ref="F66:F97" si="5">IF(E66=D66,"tel quel","reconstruit")</f>
        <v>tel quel</v>
      </c>
      <c r="G66" s="7" t="s">
        <v>960</v>
      </c>
      <c r="H66" s="7" t="s">
        <v>961</v>
      </c>
    </row>
    <row r="67" spans="1:8" x14ac:dyDescent="0.3">
      <c r="A67" s="7">
        <v>2022</v>
      </c>
      <c r="B67" s="7" t="s">
        <v>963</v>
      </c>
      <c r="C67" s="7" t="s">
        <v>244</v>
      </c>
      <c r="D67" s="25">
        <v>0</v>
      </c>
      <c r="E67" s="25">
        <f t="shared" si="4"/>
        <v>0</v>
      </c>
      <c r="F67" s="7" t="str">
        <f t="shared" si="5"/>
        <v>tel quel</v>
      </c>
      <c r="G67" s="7" t="s">
        <v>960</v>
      </c>
      <c r="H67" s="7" t="s">
        <v>961</v>
      </c>
    </row>
    <row r="68" spans="1:8" x14ac:dyDescent="0.3">
      <c r="A68" s="7">
        <v>2022</v>
      </c>
      <c r="B68" s="7" t="s">
        <v>965</v>
      </c>
      <c r="C68" s="7" t="s">
        <v>244</v>
      </c>
      <c r="D68" s="25">
        <v>0</v>
      </c>
      <c r="E68" s="25">
        <f t="shared" si="4"/>
        <v>0</v>
      </c>
      <c r="F68" s="7" t="str">
        <f t="shared" si="5"/>
        <v>tel quel</v>
      </c>
      <c r="G68" s="7" t="s">
        <v>960</v>
      </c>
      <c r="H68" s="7" t="s">
        <v>961</v>
      </c>
    </row>
    <row r="69" spans="1:8" x14ac:dyDescent="0.3">
      <c r="A69" s="7">
        <v>2022</v>
      </c>
      <c r="B69" s="7" t="s">
        <v>967</v>
      </c>
      <c r="C69" s="7" t="s">
        <v>244</v>
      </c>
      <c r="D69" s="25">
        <v>2.46099299625468E+16</v>
      </c>
      <c r="E69" s="25">
        <f t="shared" si="4"/>
        <v>24.609929962546801</v>
      </c>
      <c r="F69" s="7" t="str">
        <f t="shared" si="5"/>
        <v>reconstruit</v>
      </c>
      <c r="G69" s="7" t="s">
        <v>960</v>
      </c>
      <c r="H69" s="7" t="s">
        <v>961</v>
      </c>
    </row>
    <row r="70" spans="1:8" x14ac:dyDescent="0.3">
      <c r="A70" s="7">
        <v>2023</v>
      </c>
      <c r="B70" s="7" t="s">
        <v>959</v>
      </c>
      <c r="C70" s="7" t="s">
        <v>244</v>
      </c>
      <c r="D70" s="25">
        <v>0</v>
      </c>
      <c r="E70" s="25">
        <f t="shared" si="4"/>
        <v>0</v>
      </c>
      <c r="F70" s="7" t="str">
        <f t="shared" si="5"/>
        <v>tel quel</v>
      </c>
      <c r="G70" s="7" t="s">
        <v>960</v>
      </c>
      <c r="H70" s="7" t="s">
        <v>961</v>
      </c>
    </row>
    <row r="71" spans="1:8" x14ac:dyDescent="0.3">
      <c r="A71" s="7">
        <v>2023</v>
      </c>
      <c r="B71" s="7" t="s">
        <v>963</v>
      </c>
      <c r="C71" s="7" t="s">
        <v>244</v>
      </c>
      <c r="D71" s="25">
        <v>0</v>
      </c>
      <c r="E71" s="25">
        <f t="shared" si="4"/>
        <v>0</v>
      </c>
      <c r="F71" s="7" t="str">
        <f t="shared" si="5"/>
        <v>tel quel</v>
      </c>
      <c r="G71" s="7" t="s">
        <v>960</v>
      </c>
      <c r="H71" s="7" t="s">
        <v>961</v>
      </c>
    </row>
    <row r="72" spans="1:8" x14ac:dyDescent="0.3">
      <c r="A72" s="7">
        <v>2023</v>
      </c>
      <c r="B72" s="7" t="s">
        <v>965</v>
      </c>
      <c r="C72" s="7" t="s">
        <v>244</v>
      </c>
      <c r="D72" s="25">
        <v>0</v>
      </c>
      <c r="E72" s="25">
        <f t="shared" si="4"/>
        <v>0</v>
      </c>
      <c r="F72" s="7" t="str">
        <f t="shared" si="5"/>
        <v>tel quel</v>
      </c>
      <c r="G72" s="7" t="s">
        <v>960</v>
      </c>
      <c r="H72" s="7" t="s">
        <v>961</v>
      </c>
    </row>
    <row r="73" spans="1:8" x14ac:dyDescent="0.3">
      <c r="A73" s="7">
        <v>2023</v>
      </c>
      <c r="B73" s="7" t="s">
        <v>967</v>
      </c>
      <c r="C73" s="7" t="s">
        <v>244</v>
      </c>
      <c r="D73" s="25">
        <v>5.8134496069981E+16</v>
      </c>
      <c r="E73" s="25">
        <f t="shared" si="4"/>
        <v>58.134496069980997</v>
      </c>
      <c r="F73" s="7" t="str">
        <f t="shared" si="5"/>
        <v>reconstruit</v>
      </c>
      <c r="G73" s="7" t="s">
        <v>960</v>
      </c>
      <c r="H73" s="7" t="s">
        <v>961</v>
      </c>
    </row>
    <row r="74" spans="1:8" x14ac:dyDescent="0.3">
      <c r="A74" s="7">
        <v>2024</v>
      </c>
      <c r="B74" s="7" t="s">
        <v>959</v>
      </c>
      <c r="C74" s="7" t="s">
        <v>244</v>
      </c>
      <c r="D74" s="25">
        <v>0</v>
      </c>
      <c r="E74" s="25">
        <f t="shared" si="4"/>
        <v>0</v>
      </c>
      <c r="F74" s="7" t="str">
        <f t="shared" si="5"/>
        <v>tel quel</v>
      </c>
      <c r="G74" s="7" t="s">
        <v>960</v>
      </c>
      <c r="H74" s="7" t="s">
        <v>961</v>
      </c>
    </row>
    <row r="75" spans="1:8" x14ac:dyDescent="0.3">
      <c r="A75" s="7">
        <v>2024</v>
      </c>
      <c r="B75" s="7" t="s">
        <v>963</v>
      </c>
      <c r="C75" s="7" t="s">
        <v>244</v>
      </c>
      <c r="D75" s="25">
        <v>1.28952921171546E+16</v>
      </c>
      <c r="E75" s="25">
        <f t="shared" si="4"/>
        <v>12.8952921171546</v>
      </c>
      <c r="F75" s="7" t="str">
        <f t="shared" si="5"/>
        <v>reconstruit</v>
      </c>
      <c r="G75" s="7" t="s">
        <v>960</v>
      </c>
      <c r="H75" s="7" t="s">
        <v>961</v>
      </c>
    </row>
    <row r="76" spans="1:8" x14ac:dyDescent="0.3">
      <c r="A76" s="7">
        <v>2024</v>
      </c>
      <c r="B76" s="7" t="s">
        <v>965</v>
      </c>
      <c r="C76" s="7" t="s">
        <v>244</v>
      </c>
      <c r="D76" s="25">
        <v>1.26378312464872E+16</v>
      </c>
      <c r="E76" s="25">
        <f t="shared" si="4"/>
        <v>12.637831246487201</v>
      </c>
      <c r="F76" s="7" t="str">
        <f t="shared" si="5"/>
        <v>reconstruit</v>
      </c>
      <c r="G76" s="7" t="s">
        <v>960</v>
      </c>
      <c r="H76" s="7" t="s">
        <v>961</v>
      </c>
    </row>
    <row r="77" spans="1:8" x14ac:dyDescent="0.3">
      <c r="A77" s="7">
        <v>2024</v>
      </c>
      <c r="B77" s="7" t="s">
        <v>967</v>
      </c>
      <c r="C77" s="7" t="s">
        <v>244</v>
      </c>
      <c r="D77" s="25">
        <v>6.1259496069981E+16</v>
      </c>
      <c r="E77" s="25">
        <f t="shared" si="4"/>
        <v>61.259496069980997</v>
      </c>
      <c r="F77" s="7" t="str">
        <f t="shared" si="5"/>
        <v>reconstruit</v>
      </c>
      <c r="G77" s="7" t="s">
        <v>960</v>
      </c>
      <c r="H77" s="7" t="s">
        <v>961</v>
      </c>
    </row>
    <row r="78" spans="1:8" x14ac:dyDescent="0.3">
      <c r="A78" s="7">
        <v>2025</v>
      </c>
      <c r="B78" s="7" t="s">
        <v>959</v>
      </c>
      <c r="C78" s="7" t="s">
        <v>244</v>
      </c>
      <c r="D78" s="25">
        <v>0</v>
      </c>
      <c r="E78" s="25">
        <f t="shared" si="4"/>
        <v>0</v>
      </c>
      <c r="F78" s="7" t="str">
        <f t="shared" si="5"/>
        <v>tel quel</v>
      </c>
      <c r="G78" s="7" t="s">
        <v>960</v>
      </c>
      <c r="H78" s="7" t="s">
        <v>961</v>
      </c>
    </row>
    <row r="79" spans="1:8" x14ac:dyDescent="0.3">
      <c r="A79" s="7">
        <v>2025</v>
      </c>
      <c r="B79" s="7" t="s">
        <v>963</v>
      </c>
      <c r="C79" s="7" t="s">
        <v>244</v>
      </c>
      <c r="D79" s="25">
        <v>5.8285072015569296E+16</v>
      </c>
      <c r="E79" s="25">
        <f t="shared" si="4"/>
        <v>58.285072015569298</v>
      </c>
      <c r="F79" s="7" t="str">
        <f t="shared" si="5"/>
        <v>reconstruit</v>
      </c>
      <c r="G79" s="7" t="s">
        <v>960</v>
      </c>
      <c r="H79" s="7" t="s">
        <v>961</v>
      </c>
    </row>
    <row r="80" spans="1:8" x14ac:dyDescent="0.3">
      <c r="A80" s="7">
        <v>2025</v>
      </c>
      <c r="B80" s="7" t="s">
        <v>965</v>
      </c>
      <c r="C80" s="7" t="s">
        <v>244</v>
      </c>
      <c r="D80" s="25">
        <v>2.45112096775579E+16</v>
      </c>
      <c r="E80" s="25">
        <f t="shared" si="4"/>
        <v>24.5112096775579</v>
      </c>
      <c r="F80" s="7" t="str">
        <f t="shared" si="5"/>
        <v>reconstruit</v>
      </c>
      <c r="G80" s="7" t="s">
        <v>960</v>
      </c>
      <c r="H80" s="7" t="s">
        <v>961</v>
      </c>
    </row>
    <row r="81" spans="1:8" x14ac:dyDescent="0.3">
      <c r="A81" s="7">
        <v>2025</v>
      </c>
      <c r="B81" s="7" t="s">
        <v>967</v>
      </c>
      <c r="C81" s="7" t="s">
        <v>244</v>
      </c>
      <c r="D81" s="25">
        <v>6.1259496069981E+16</v>
      </c>
      <c r="E81" s="25">
        <f t="shared" si="4"/>
        <v>61.259496069980997</v>
      </c>
      <c r="F81" s="7" t="str">
        <f t="shared" si="5"/>
        <v>reconstruit</v>
      </c>
      <c r="G81" s="7" t="s">
        <v>960</v>
      </c>
      <c r="H81" s="7" t="s">
        <v>961</v>
      </c>
    </row>
    <row r="82" spans="1:8" x14ac:dyDescent="0.3">
      <c r="A82" s="7">
        <v>2026</v>
      </c>
      <c r="B82" s="7" t="s">
        <v>959</v>
      </c>
      <c r="C82" s="7" t="s">
        <v>244</v>
      </c>
      <c r="D82" s="25">
        <v>70</v>
      </c>
      <c r="E82" s="25">
        <f t="shared" si="4"/>
        <v>70</v>
      </c>
      <c r="F82" s="7" t="str">
        <f t="shared" si="5"/>
        <v>tel quel</v>
      </c>
      <c r="G82" s="7" t="s">
        <v>960</v>
      </c>
      <c r="H82" s="7" t="s">
        <v>961</v>
      </c>
    </row>
    <row r="83" spans="1:8" x14ac:dyDescent="0.3">
      <c r="A83" s="7">
        <v>2026</v>
      </c>
      <c r="B83" s="7" t="s">
        <v>963</v>
      </c>
      <c r="C83" s="7" t="s">
        <v>244</v>
      </c>
      <c r="D83" s="25">
        <v>2572340136031970</v>
      </c>
      <c r="E83" s="25">
        <f t="shared" si="4"/>
        <v>2.5723401360319702</v>
      </c>
      <c r="F83" s="7" t="str">
        <f t="shared" si="5"/>
        <v>reconstruit</v>
      </c>
      <c r="G83" s="7" t="s">
        <v>960</v>
      </c>
      <c r="H83" s="7" t="s">
        <v>961</v>
      </c>
    </row>
    <row r="84" spans="1:8" x14ac:dyDescent="0.3">
      <c r="A84" s="7">
        <v>2026</v>
      </c>
      <c r="B84" s="7" t="s">
        <v>965</v>
      </c>
      <c r="C84" s="7" t="s">
        <v>244</v>
      </c>
      <c r="D84" s="25">
        <v>5.2246449439499296E+16</v>
      </c>
      <c r="E84" s="25">
        <f t="shared" si="4"/>
        <v>52.246449439499294</v>
      </c>
      <c r="F84" s="7" t="str">
        <f t="shared" si="5"/>
        <v>reconstruit</v>
      </c>
      <c r="G84" s="7" t="s">
        <v>960</v>
      </c>
      <c r="H84" s="7" t="s">
        <v>961</v>
      </c>
    </row>
    <row r="85" spans="1:8" x14ac:dyDescent="0.3">
      <c r="A85" s="7">
        <v>2026</v>
      </c>
      <c r="B85" s="7" t="s">
        <v>967</v>
      </c>
      <c r="C85" s="7" t="s">
        <v>244</v>
      </c>
      <c r="D85" s="25">
        <v>6.1259496069981E+16</v>
      </c>
      <c r="E85" s="25">
        <f t="shared" si="4"/>
        <v>61.259496069980997</v>
      </c>
      <c r="F85" s="7" t="str">
        <f t="shared" si="5"/>
        <v>reconstruit</v>
      </c>
      <c r="G85" s="7" t="s">
        <v>960</v>
      </c>
      <c r="H85" s="7" t="s">
        <v>961</v>
      </c>
    </row>
    <row r="86" spans="1:8" x14ac:dyDescent="0.3">
      <c r="A86" s="7">
        <v>2027</v>
      </c>
      <c r="B86" s="7" t="s">
        <v>959</v>
      </c>
      <c r="C86" s="7" t="s">
        <v>244</v>
      </c>
      <c r="D86" s="25">
        <v>70</v>
      </c>
      <c r="E86" s="25">
        <f t="shared" si="4"/>
        <v>70</v>
      </c>
      <c r="F86" s="7" t="str">
        <f t="shared" si="5"/>
        <v>tel quel</v>
      </c>
      <c r="G86" s="7" t="s">
        <v>960</v>
      </c>
      <c r="H86" s="7" t="s">
        <v>961</v>
      </c>
    </row>
    <row r="87" spans="1:8" x14ac:dyDescent="0.3">
      <c r="A87" s="7">
        <v>2027</v>
      </c>
      <c r="B87" s="7" t="s">
        <v>963</v>
      </c>
      <c r="C87" s="7" t="s">
        <v>244</v>
      </c>
      <c r="D87" s="25">
        <v>4.4948401360319696E+16</v>
      </c>
      <c r="E87" s="25">
        <f t="shared" si="4"/>
        <v>44.948401360319693</v>
      </c>
      <c r="F87" s="7" t="str">
        <f t="shared" si="5"/>
        <v>reconstruit</v>
      </c>
      <c r="G87" s="7" t="s">
        <v>960</v>
      </c>
      <c r="H87" s="7" t="s">
        <v>961</v>
      </c>
    </row>
    <row r="88" spans="1:8" x14ac:dyDescent="0.3">
      <c r="A88" s="7">
        <v>2027</v>
      </c>
      <c r="B88" s="7" t="s">
        <v>965</v>
      </c>
      <c r="C88" s="7" t="s">
        <v>244</v>
      </c>
      <c r="D88" s="25">
        <v>5.3246449439499296E+16</v>
      </c>
      <c r="E88" s="25">
        <f t="shared" si="4"/>
        <v>53.246449439499294</v>
      </c>
      <c r="F88" s="7" t="str">
        <f t="shared" si="5"/>
        <v>reconstruit</v>
      </c>
      <c r="G88" s="7" t="s">
        <v>960</v>
      </c>
      <c r="H88" s="7" t="s">
        <v>961</v>
      </c>
    </row>
    <row r="89" spans="1:8" x14ac:dyDescent="0.3">
      <c r="A89" s="7">
        <v>2027</v>
      </c>
      <c r="B89" s="7" t="s">
        <v>967</v>
      </c>
      <c r="C89" s="7" t="s">
        <v>244</v>
      </c>
      <c r="D89" s="25">
        <v>6.1259496069981E+16</v>
      </c>
      <c r="E89" s="25">
        <f t="shared" si="4"/>
        <v>61.259496069980997</v>
      </c>
      <c r="F89" s="7" t="str">
        <f t="shared" si="5"/>
        <v>reconstruit</v>
      </c>
      <c r="G89" s="7" t="s">
        <v>960</v>
      </c>
      <c r="H89" s="7" t="s">
        <v>961</v>
      </c>
    </row>
    <row r="90" spans="1:8" x14ac:dyDescent="0.3">
      <c r="A90" s="7">
        <v>2028</v>
      </c>
      <c r="B90" s="7" t="s">
        <v>959</v>
      </c>
      <c r="C90" s="7" t="s">
        <v>244</v>
      </c>
      <c r="D90" s="25">
        <v>900</v>
      </c>
      <c r="E90" s="25">
        <f t="shared" si="4"/>
        <v>900</v>
      </c>
      <c r="F90" s="7" t="str">
        <f t="shared" si="5"/>
        <v>tel quel</v>
      </c>
      <c r="G90" s="7" t="s">
        <v>960</v>
      </c>
      <c r="H90" s="7" t="s">
        <v>961</v>
      </c>
    </row>
    <row r="91" spans="1:8" x14ac:dyDescent="0.3">
      <c r="A91" s="7">
        <v>2028</v>
      </c>
      <c r="B91" s="7" t="s">
        <v>963</v>
      </c>
      <c r="C91" s="7" t="s">
        <v>244</v>
      </c>
      <c r="D91" s="25">
        <v>6.04765722278164E+16</v>
      </c>
      <c r="E91" s="25">
        <f t="shared" si="4"/>
        <v>60.476572227816398</v>
      </c>
      <c r="F91" s="7" t="str">
        <f t="shared" si="5"/>
        <v>reconstruit</v>
      </c>
      <c r="G91" s="7" t="s">
        <v>960</v>
      </c>
      <c r="H91" s="7" t="s">
        <v>961</v>
      </c>
    </row>
    <row r="92" spans="1:8" x14ac:dyDescent="0.3">
      <c r="A92" s="7">
        <v>2028</v>
      </c>
      <c r="B92" s="7" t="s">
        <v>965</v>
      </c>
      <c r="C92" s="7" t="s">
        <v>244</v>
      </c>
      <c r="D92" s="25">
        <v>5.3246449439499296E+16</v>
      </c>
      <c r="E92" s="25">
        <f t="shared" si="4"/>
        <v>53.246449439499294</v>
      </c>
      <c r="F92" s="7" t="str">
        <f t="shared" si="5"/>
        <v>reconstruit</v>
      </c>
      <c r="G92" s="7" t="s">
        <v>960</v>
      </c>
      <c r="H92" s="7" t="s">
        <v>961</v>
      </c>
    </row>
    <row r="93" spans="1:8" x14ac:dyDescent="0.3">
      <c r="A93" s="7">
        <v>2028</v>
      </c>
      <c r="B93" s="7" t="s">
        <v>967</v>
      </c>
      <c r="C93" s="7" t="s">
        <v>244</v>
      </c>
      <c r="D93" s="25">
        <v>6.1259496069981E+16</v>
      </c>
      <c r="E93" s="25">
        <f t="shared" si="4"/>
        <v>61.259496069980997</v>
      </c>
      <c r="F93" s="7" t="str">
        <f t="shared" si="5"/>
        <v>reconstruit</v>
      </c>
      <c r="G93" s="7" t="s">
        <v>960</v>
      </c>
      <c r="H93" s="7" t="s">
        <v>961</v>
      </c>
    </row>
    <row r="94" spans="1:8" x14ac:dyDescent="0.3">
      <c r="A94" s="7">
        <v>2029</v>
      </c>
      <c r="B94" s="7" t="s">
        <v>959</v>
      </c>
      <c r="C94" s="7" t="s">
        <v>244</v>
      </c>
      <c r="D94" s="25">
        <v>900</v>
      </c>
      <c r="E94" s="25">
        <f t="shared" si="4"/>
        <v>900</v>
      </c>
      <c r="F94" s="7" t="str">
        <f t="shared" si="5"/>
        <v>tel quel</v>
      </c>
      <c r="G94" s="7" t="s">
        <v>960</v>
      </c>
      <c r="H94" s="7" t="s">
        <v>961</v>
      </c>
    </row>
    <row r="95" spans="1:8" x14ac:dyDescent="0.3">
      <c r="A95" s="7">
        <v>2029</v>
      </c>
      <c r="B95" s="7" t="s">
        <v>963</v>
      </c>
      <c r="C95" s="7" t="s">
        <v>244</v>
      </c>
      <c r="D95" s="25">
        <v>7.1426312444050704E+16</v>
      </c>
      <c r="E95" s="25">
        <f t="shared" si="4"/>
        <v>71.426312444050708</v>
      </c>
      <c r="F95" s="7" t="str">
        <f t="shared" si="5"/>
        <v>reconstruit</v>
      </c>
      <c r="G95" s="7" t="s">
        <v>960</v>
      </c>
      <c r="H95" s="7" t="s">
        <v>961</v>
      </c>
    </row>
    <row r="96" spans="1:8" x14ac:dyDescent="0.3">
      <c r="A96" s="7">
        <v>2029</v>
      </c>
      <c r="B96" s="7" t="s">
        <v>965</v>
      </c>
      <c r="C96" s="7" t="s">
        <v>244</v>
      </c>
      <c r="D96" s="25">
        <v>5.3246449439499296E+16</v>
      </c>
      <c r="E96" s="25">
        <f t="shared" si="4"/>
        <v>53.246449439499294</v>
      </c>
      <c r="F96" s="7" t="str">
        <f t="shared" si="5"/>
        <v>reconstruit</v>
      </c>
      <c r="G96" s="7" t="s">
        <v>960</v>
      </c>
      <c r="H96" s="7" t="s">
        <v>961</v>
      </c>
    </row>
    <row r="97" spans="1:8" x14ac:dyDescent="0.3">
      <c r="A97" s="7">
        <v>2029</v>
      </c>
      <c r="B97" s="7" t="s">
        <v>967</v>
      </c>
      <c r="C97" s="7" t="s">
        <v>244</v>
      </c>
      <c r="D97" s="25">
        <v>6.1259496069981E+16</v>
      </c>
      <c r="E97" s="25">
        <f t="shared" si="4"/>
        <v>61.259496069980997</v>
      </c>
      <c r="F97" s="7" t="str">
        <f t="shared" si="5"/>
        <v>reconstruit</v>
      </c>
      <c r="G97" s="7" t="s">
        <v>960</v>
      </c>
      <c r="H97" s="7" t="s">
        <v>961</v>
      </c>
    </row>
    <row r="98" spans="1:8" x14ac:dyDescent="0.3">
      <c r="A98" s="7">
        <v>2030</v>
      </c>
      <c r="B98" s="7" t="s">
        <v>959</v>
      </c>
      <c r="C98" s="7" t="s">
        <v>244</v>
      </c>
      <c r="D98" s="25">
        <v>900</v>
      </c>
      <c r="E98" s="25">
        <f t="shared" ref="E98:E129" si="6">IF(D98&gt;1000000,D98/1000000000000000,IF(AND(D98&gt;=1000,D98&lt;1000000),D98/1000,D98))</f>
        <v>900</v>
      </c>
      <c r="F98" s="7" t="str">
        <f t="shared" ref="F98:F129" si="7">IF(E98=D98,"tel quel","reconstruit")</f>
        <v>tel quel</v>
      </c>
      <c r="G98" s="7" t="s">
        <v>960</v>
      </c>
      <c r="H98" s="7" t="s">
        <v>961</v>
      </c>
    </row>
    <row r="99" spans="1:8" x14ac:dyDescent="0.3">
      <c r="A99" s="7">
        <v>2030</v>
      </c>
      <c r="B99" s="7" t="s">
        <v>963</v>
      </c>
      <c r="C99" s="7" t="s">
        <v>244</v>
      </c>
      <c r="D99" s="25">
        <v>8.0326312444050704E+16</v>
      </c>
      <c r="E99" s="25">
        <f t="shared" si="6"/>
        <v>80.3263124440507</v>
      </c>
      <c r="F99" s="7" t="str">
        <f t="shared" si="7"/>
        <v>reconstruit</v>
      </c>
      <c r="G99" s="7" t="s">
        <v>960</v>
      </c>
      <c r="H99" s="7" t="s">
        <v>961</v>
      </c>
    </row>
    <row r="100" spans="1:8" x14ac:dyDescent="0.3">
      <c r="A100" s="7">
        <v>2030</v>
      </c>
      <c r="B100" s="7" t="s">
        <v>965</v>
      </c>
      <c r="C100" s="7" t="s">
        <v>244</v>
      </c>
      <c r="D100" s="25">
        <v>5.3746449439499296E+16</v>
      </c>
      <c r="E100" s="25">
        <f t="shared" si="6"/>
        <v>53.746449439499294</v>
      </c>
      <c r="F100" s="7" t="str">
        <f t="shared" si="7"/>
        <v>reconstruit</v>
      </c>
      <c r="G100" s="7" t="s">
        <v>960</v>
      </c>
      <c r="H100" s="7" t="s">
        <v>961</v>
      </c>
    </row>
    <row r="101" spans="1:8" x14ac:dyDescent="0.3">
      <c r="A101" s="7">
        <v>2030</v>
      </c>
      <c r="B101" s="7" t="s">
        <v>967</v>
      </c>
      <c r="C101" s="7" t="s">
        <v>244</v>
      </c>
      <c r="D101" s="25">
        <v>6.1259496069981E+16</v>
      </c>
      <c r="E101" s="25">
        <f t="shared" si="6"/>
        <v>61.259496069980997</v>
      </c>
      <c r="F101" s="7" t="str">
        <f t="shared" si="7"/>
        <v>reconstruit</v>
      </c>
      <c r="G101" s="7" t="s">
        <v>960</v>
      </c>
      <c r="H101" s="7" t="s">
        <v>961</v>
      </c>
    </row>
    <row r="102" spans="1:8" x14ac:dyDescent="0.3">
      <c r="A102" s="7">
        <v>2010</v>
      </c>
      <c r="B102" s="7" t="s">
        <v>959</v>
      </c>
      <c r="C102" s="7" t="s">
        <v>465</v>
      </c>
      <c r="D102" s="25">
        <v>0</v>
      </c>
      <c r="E102" s="25">
        <f t="shared" si="6"/>
        <v>0</v>
      </c>
      <c r="F102" s="7" t="str">
        <f t="shared" si="7"/>
        <v>tel quel</v>
      </c>
      <c r="G102" s="7" t="s">
        <v>960</v>
      </c>
      <c r="H102" s="7" t="s">
        <v>961</v>
      </c>
    </row>
    <row r="103" spans="1:8" x14ac:dyDescent="0.3">
      <c r="A103" s="7">
        <v>2010</v>
      </c>
      <c r="B103" s="7" t="s">
        <v>963</v>
      </c>
      <c r="C103" s="7" t="s">
        <v>465</v>
      </c>
      <c r="D103" s="25">
        <v>0</v>
      </c>
      <c r="E103" s="25">
        <f t="shared" si="6"/>
        <v>0</v>
      </c>
      <c r="F103" s="7" t="str">
        <f t="shared" si="7"/>
        <v>tel quel</v>
      </c>
      <c r="G103" s="7" t="s">
        <v>960</v>
      </c>
      <c r="H103" s="7" t="s">
        <v>961</v>
      </c>
    </row>
    <row r="104" spans="1:8" x14ac:dyDescent="0.3">
      <c r="A104" s="7">
        <v>2010</v>
      </c>
      <c r="B104" s="7" t="s">
        <v>965</v>
      </c>
      <c r="C104" s="7" t="s">
        <v>465</v>
      </c>
      <c r="D104" s="25">
        <v>0</v>
      </c>
      <c r="E104" s="25">
        <f t="shared" si="6"/>
        <v>0</v>
      </c>
      <c r="F104" s="7" t="str">
        <f t="shared" si="7"/>
        <v>tel quel</v>
      </c>
      <c r="G104" s="7" t="s">
        <v>960</v>
      </c>
      <c r="H104" s="7" t="s">
        <v>961</v>
      </c>
    </row>
    <row r="105" spans="1:8" x14ac:dyDescent="0.3">
      <c r="A105" s="7">
        <v>2010</v>
      </c>
      <c r="B105" s="7" t="s">
        <v>967</v>
      </c>
      <c r="C105" s="7" t="s">
        <v>465</v>
      </c>
      <c r="D105" s="25">
        <v>0</v>
      </c>
      <c r="E105" s="25">
        <f t="shared" si="6"/>
        <v>0</v>
      </c>
      <c r="F105" s="7" t="str">
        <f t="shared" si="7"/>
        <v>tel quel</v>
      </c>
      <c r="G105" s="7" t="s">
        <v>960</v>
      </c>
      <c r="H105" s="7" t="s">
        <v>961</v>
      </c>
    </row>
    <row r="106" spans="1:8" x14ac:dyDescent="0.3">
      <c r="A106" s="7">
        <v>2012</v>
      </c>
      <c r="B106" s="7" t="s">
        <v>959</v>
      </c>
      <c r="C106" s="7" t="s">
        <v>465</v>
      </c>
      <c r="D106" s="25">
        <v>0</v>
      </c>
      <c r="E106" s="25">
        <f t="shared" si="6"/>
        <v>0</v>
      </c>
      <c r="F106" s="7" t="str">
        <f t="shared" si="7"/>
        <v>tel quel</v>
      </c>
      <c r="G106" s="7" t="s">
        <v>960</v>
      </c>
      <c r="H106" s="7" t="s">
        <v>961</v>
      </c>
    </row>
    <row r="107" spans="1:8" x14ac:dyDescent="0.3">
      <c r="A107" s="7">
        <v>2012</v>
      </c>
      <c r="B107" s="7" t="s">
        <v>963</v>
      </c>
      <c r="C107" s="7" t="s">
        <v>465</v>
      </c>
      <c r="D107" s="25">
        <v>0</v>
      </c>
      <c r="E107" s="25">
        <f t="shared" si="6"/>
        <v>0</v>
      </c>
      <c r="F107" s="7" t="str">
        <f t="shared" si="7"/>
        <v>tel quel</v>
      </c>
      <c r="G107" s="7" t="s">
        <v>960</v>
      </c>
      <c r="H107" s="7" t="s">
        <v>961</v>
      </c>
    </row>
    <row r="108" spans="1:8" x14ac:dyDescent="0.3">
      <c r="A108" s="7">
        <v>2012</v>
      </c>
      <c r="B108" s="7" t="s">
        <v>965</v>
      </c>
      <c r="C108" s="7" t="s">
        <v>465</v>
      </c>
      <c r="D108" s="25">
        <v>0</v>
      </c>
      <c r="E108" s="25">
        <f t="shared" si="6"/>
        <v>0</v>
      </c>
      <c r="F108" s="7" t="str">
        <f t="shared" si="7"/>
        <v>tel quel</v>
      </c>
      <c r="G108" s="7" t="s">
        <v>960</v>
      </c>
      <c r="H108" s="7" t="s">
        <v>961</v>
      </c>
    </row>
    <row r="109" spans="1:8" x14ac:dyDescent="0.3">
      <c r="A109" s="7">
        <v>2012</v>
      </c>
      <c r="B109" s="7" t="s">
        <v>967</v>
      </c>
      <c r="C109" s="7" t="s">
        <v>465</v>
      </c>
      <c r="D109" s="25">
        <v>0</v>
      </c>
      <c r="E109" s="25">
        <f t="shared" si="6"/>
        <v>0</v>
      </c>
      <c r="F109" s="7" t="str">
        <f t="shared" si="7"/>
        <v>tel quel</v>
      </c>
      <c r="G109" s="7" t="s">
        <v>960</v>
      </c>
      <c r="H109" s="7" t="s">
        <v>961</v>
      </c>
    </row>
    <row r="110" spans="1:8" x14ac:dyDescent="0.3">
      <c r="A110" s="7">
        <v>2013</v>
      </c>
      <c r="B110" s="7" t="s">
        <v>959</v>
      </c>
      <c r="C110" s="7" t="s">
        <v>465</v>
      </c>
      <c r="D110" s="25">
        <v>0</v>
      </c>
      <c r="E110" s="25">
        <f t="shared" si="6"/>
        <v>0</v>
      </c>
      <c r="F110" s="7" t="str">
        <f t="shared" si="7"/>
        <v>tel quel</v>
      </c>
      <c r="G110" s="7" t="s">
        <v>960</v>
      </c>
      <c r="H110" s="7" t="s">
        <v>961</v>
      </c>
    </row>
    <row r="111" spans="1:8" x14ac:dyDescent="0.3">
      <c r="A111" s="7">
        <v>2013</v>
      </c>
      <c r="B111" s="7" t="s">
        <v>963</v>
      </c>
      <c r="C111" s="7" t="s">
        <v>465</v>
      </c>
      <c r="D111" s="25">
        <v>0</v>
      </c>
      <c r="E111" s="25">
        <f t="shared" si="6"/>
        <v>0</v>
      </c>
      <c r="F111" s="7" t="str">
        <f t="shared" si="7"/>
        <v>tel quel</v>
      </c>
      <c r="G111" s="7" t="s">
        <v>960</v>
      </c>
      <c r="H111" s="7" t="s">
        <v>961</v>
      </c>
    </row>
    <row r="112" spans="1:8" x14ac:dyDescent="0.3">
      <c r="A112" s="7">
        <v>2013</v>
      </c>
      <c r="B112" s="7" t="s">
        <v>965</v>
      </c>
      <c r="C112" s="7" t="s">
        <v>465</v>
      </c>
      <c r="D112" s="25">
        <v>0</v>
      </c>
      <c r="E112" s="25">
        <f t="shared" si="6"/>
        <v>0</v>
      </c>
      <c r="F112" s="7" t="str">
        <f t="shared" si="7"/>
        <v>tel quel</v>
      </c>
      <c r="G112" s="7" t="s">
        <v>960</v>
      </c>
      <c r="H112" s="7" t="s">
        <v>961</v>
      </c>
    </row>
    <row r="113" spans="1:8" x14ac:dyDescent="0.3">
      <c r="A113" s="7">
        <v>2013</v>
      </c>
      <c r="B113" s="7" t="s">
        <v>967</v>
      </c>
      <c r="C113" s="7" t="s">
        <v>465</v>
      </c>
      <c r="D113" s="25">
        <v>4</v>
      </c>
      <c r="E113" s="25">
        <f t="shared" si="6"/>
        <v>4</v>
      </c>
      <c r="F113" s="7" t="str">
        <f t="shared" si="7"/>
        <v>tel quel</v>
      </c>
      <c r="G113" s="7" t="s">
        <v>960</v>
      </c>
      <c r="H113" s="7" t="s">
        <v>961</v>
      </c>
    </row>
    <row r="114" spans="1:8" x14ac:dyDescent="0.3">
      <c r="A114" s="7">
        <v>2015</v>
      </c>
      <c r="B114" s="7" t="s">
        <v>959</v>
      </c>
      <c r="C114" s="7" t="s">
        <v>465</v>
      </c>
      <c r="D114" s="25">
        <v>0</v>
      </c>
      <c r="E114" s="25">
        <f t="shared" si="6"/>
        <v>0</v>
      </c>
      <c r="F114" s="7" t="str">
        <f t="shared" si="7"/>
        <v>tel quel</v>
      </c>
      <c r="G114" s="7" t="s">
        <v>960</v>
      </c>
      <c r="H114" s="7" t="s">
        <v>961</v>
      </c>
    </row>
    <row r="115" spans="1:8" x14ac:dyDescent="0.3">
      <c r="A115" s="7">
        <v>2015</v>
      </c>
      <c r="B115" s="7" t="s">
        <v>963</v>
      </c>
      <c r="C115" s="7" t="s">
        <v>465</v>
      </c>
      <c r="D115" s="25">
        <v>0</v>
      </c>
      <c r="E115" s="25">
        <f t="shared" si="6"/>
        <v>0</v>
      </c>
      <c r="F115" s="7" t="str">
        <f t="shared" si="7"/>
        <v>tel quel</v>
      </c>
      <c r="G115" s="7" t="s">
        <v>960</v>
      </c>
      <c r="H115" s="7" t="s">
        <v>961</v>
      </c>
    </row>
    <row r="116" spans="1:8" x14ac:dyDescent="0.3">
      <c r="A116" s="7">
        <v>2015</v>
      </c>
      <c r="B116" s="7" t="s">
        <v>965</v>
      </c>
      <c r="C116" s="7" t="s">
        <v>465</v>
      </c>
      <c r="D116" s="25">
        <v>0</v>
      </c>
      <c r="E116" s="25">
        <f t="shared" si="6"/>
        <v>0</v>
      </c>
      <c r="F116" s="7" t="str">
        <f t="shared" si="7"/>
        <v>tel quel</v>
      </c>
      <c r="G116" s="7" t="s">
        <v>960</v>
      </c>
      <c r="H116" s="7" t="s">
        <v>961</v>
      </c>
    </row>
    <row r="117" spans="1:8" x14ac:dyDescent="0.3">
      <c r="A117" s="7">
        <v>2015</v>
      </c>
      <c r="B117" s="7" t="s">
        <v>967</v>
      </c>
      <c r="C117" s="7" t="s">
        <v>465</v>
      </c>
      <c r="D117" s="25">
        <v>4</v>
      </c>
      <c r="E117" s="25">
        <f t="shared" si="6"/>
        <v>4</v>
      </c>
      <c r="F117" s="7" t="str">
        <f t="shared" si="7"/>
        <v>tel quel</v>
      </c>
      <c r="G117" s="7" t="s">
        <v>960</v>
      </c>
      <c r="H117" s="7" t="s">
        <v>961</v>
      </c>
    </row>
    <row r="118" spans="1:8" x14ac:dyDescent="0.3">
      <c r="A118" s="7">
        <v>2016</v>
      </c>
      <c r="B118" s="7" t="s">
        <v>959</v>
      </c>
      <c r="C118" s="7" t="s">
        <v>465</v>
      </c>
      <c r="D118" s="25">
        <v>0</v>
      </c>
      <c r="E118" s="25">
        <f t="shared" si="6"/>
        <v>0</v>
      </c>
      <c r="F118" s="7" t="str">
        <f t="shared" si="7"/>
        <v>tel quel</v>
      </c>
      <c r="G118" s="7" t="s">
        <v>960</v>
      </c>
      <c r="H118" s="7" t="s">
        <v>961</v>
      </c>
    </row>
    <row r="119" spans="1:8" x14ac:dyDescent="0.3">
      <c r="A119" s="7">
        <v>2016</v>
      </c>
      <c r="B119" s="7" t="s">
        <v>963</v>
      </c>
      <c r="C119" s="7" t="s">
        <v>465</v>
      </c>
      <c r="D119" s="25">
        <v>0</v>
      </c>
      <c r="E119" s="25">
        <f t="shared" si="6"/>
        <v>0</v>
      </c>
      <c r="F119" s="7" t="str">
        <f t="shared" si="7"/>
        <v>tel quel</v>
      </c>
      <c r="G119" s="7" t="s">
        <v>960</v>
      </c>
      <c r="H119" s="7" t="s">
        <v>961</v>
      </c>
    </row>
    <row r="120" spans="1:8" x14ac:dyDescent="0.3">
      <c r="A120" s="7">
        <v>2016</v>
      </c>
      <c r="B120" s="7" t="s">
        <v>965</v>
      </c>
      <c r="C120" s="7" t="s">
        <v>465</v>
      </c>
      <c r="D120" s="25">
        <v>0</v>
      </c>
      <c r="E120" s="25">
        <f t="shared" si="6"/>
        <v>0</v>
      </c>
      <c r="F120" s="7" t="str">
        <f t="shared" si="7"/>
        <v>tel quel</v>
      </c>
      <c r="G120" s="7" t="s">
        <v>960</v>
      </c>
      <c r="H120" s="7" t="s">
        <v>961</v>
      </c>
    </row>
    <row r="121" spans="1:8" x14ac:dyDescent="0.3">
      <c r="A121" s="7">
        <v>2016</v>
      </c>
      <c r="B121" s="7" t="s">
        <v>967</v>
      </c>
      <c r="C121" s="7" t="s">
        <v>465</v>
      </c>
      <c r="D121" s="25">
        <v>4</v>
      </c>
      <c r="E121" s="25">
        <f t="shared" si="6"/>
        <v>4</v>
      </c>
      <c r="F121" s="7" t="str">
        <f t="shared" si="7"/>
        <v>tel quel</v>
      </c>
      <c r="G121" s="7" t="s">
        <v>960</v>
      </c>
      <c r="H121" s="7" t="s">
        <v>961</v>
      </c>
    </row>
    <row r="122" spans="1:8" x14ac:dyDescent="0.3">
      <c r="A122" s="7">
        <v>2017</v>
      </c>
      <c r="B122" s="7" t="s">
        <v>959</v>
      </c>
      <c r="C122" s="7" t="s">
        <v>465</v>
      </c>
      <c r="D122" s="25">
        <v>0</v>
      </c>
      <c r="E122" s="25">
        <f t="shared" si="6"/>
        <v>0</v>
      </c>
      <c r="F122" s="7" t="str">
        <f t="shared" si="7"/>
        <v>tel quel</v>
      </c>
      <c r="G122" s="7" t="s">
        <v>960</v>
      </c>
      <c r="H122" s="7" t="s">
        <v>961</v>
      </c>
    </row>
    <row r="123" spans="1:8" x14ac:dyDescent="0.3">
      <c r="A123" s="7">
        <v>2017</v>
      </c>
      <c r="B123" s="7" t="s">
        <v>963</v>
      </c>
      <c r="C123" s="7" t="s">
        <v>465</v>
      </c>
      <c r="D123" s="25">
        <v>0</v>
      </c>
      <c r="E123" s="25">
        <f t="shared" si="6"/>
        <v>0</v>
      </c>
      <c r="F123" s="7" t="str">
        <f t="shared" si="7"/>
        <v>tel quel</v>
      </c>
      <c r="G123" s="7" t="s">
        <v>960</v>
      </c>
      <c r="H123" s="7" t="s">
        <v>961</v>
      </c>
    </row>
    <row r="124" spans="1:8" x14ac:dyDescent="0.3">
      <c r="A124" s="7">
        <v>2017</v>
      </c>
      <c r="B124" s="7" t="s">
        <v>965</v>
      </c>
      <c r="C124" s="7" t="s">
        <v>465</v>
      </c>
      <c r="D124" s="25">
        <v>0</v>
      </c>
      <c r="E124" s="25">
        <f t="shared" si="6"/>
        <v>0</v>
      </c>
      <c r="F124" s="7" t="str">
        <f t="shared" si="7"/>
        <v>tel quel</v>
      </c>
      <c r="G124" s="7" t="s">
        <v>960</v>
      </c>
      <c r="H124" s="7" t="s">
        <v>961</v>
      </c>
    </row>
    <row r="125" spans="1:8" x14ac:dyDescent="0.3">
      <c r="A125" s="7">
        <v>2017</v>
      </c>
      <c r="B125" s="7" t="s">
        <v>967</v>
      </c>
      <c r="C125" s="7" t="s">
        <v>465</v>
      </c>
      <c r="D125" s="25">
        <v>6.7451999999999904E+16</v>
      </c>
      <c r="E125" s="25">
        <f t="shared" si="6"/>
        <v>67.451999999999899</v>
      </c>
      <c r="F125" s="7" t="str">
        <f t="shared" si="7"/>
        <v>reconstruit</v>
      </c>
      <c r="G125" s="7" t="s">
        <v>960</v>
      </c>
      <c r="H125" s="7" t="s">
        <v>961</v>
      </c>
    </row>
    <row r="126" spans="1:8" x14ac:dyDescent="0.3">
      <c r="A126" s="7">
        <v>2018</v>
      </c>
      <c r="B126" s="7" t="s">
        <v>959</v>
      </c>
      <c r="C126" s="7" t="s">
        <v>465</v>
      </c>
      <c r="D126" s="25">
        <v>0</v>
      </c>
      <c r="E126" s="25">
        <f t="shared" si="6"/>
        <v>0</v>
      </c>
      <c r="F126" s="7" t="str">
        <f t="shared" si="7"/>
        <v>tel quel</v>
      </c>
      <c r="G126" s="7" t="s">
        <v>960</v>
      </c>
      <c r="H126" s="7" t="s">
        <v>961</v>
      </c>
    </row>
    <row r="127" spans="1:8" x14ac:dyDescent="0.3">
      <c r="A127" s="7">
        <v>2018</v>
      </c>
      <c r="B127" s="7" t="s">
        <v>963</v>
      </c>
      <c r="C127" s="7" t="s">
        <v>465</v>
      </c>
      <c r="D127" s="25">
        <v>0</v>
      </c>
      <c r="E127" s="25">
        <f t="shared" si="6"/>
        <v>0</v>
      </c>
      <c r="F127" s="7" t="str">
        <f t="shared" si="7"/>
        <v>tel quel</v>
      </c>
      <c r="G127" s="7" t="s">
        <v>960</v>
      </c>
      <c r="H127" s="7" t="s">
        <v>961</v>
      </c>
    </row>
    <row r="128" spans="1:8" x14ac:dyDescent="0.3">
      <c r="A128" s="7">
        <v>2018</v>
      </c>
      <c r="B128" s="7" t="s">
        <v>965</v>
      </c>
      <c r="C128" s="7" t="s">
        <v>465</v>
      </c>
      <c r="D128" s="25">
        <v>0</v>
      </c>
      <c r="E128" s="25">
        <f t="shared" si="6"/>
        <v>0</v>
      </c>
      <c r="F128" s="7" t="str">
        <f t="shared" si="7"/>
        <v>tel quel</v>
      </c>
      <c r="G128" s="7" t="s">
        <v>960</v>
      </c>
      <c r="H128" s="7" t="s">
        <v>961</v>
      </c>
    </row>
    <row r="129" spans="1:8" x14ac:dyDescent="0.3">
      <c r="A129" s="7">
        <v>2018</v>
      </c>
      <c r="B129" s="7" t="s">
        <v>967</v>
      </c>
      <c r="C129" s="7" t="s">
        <v>465</v>
      </c>
      <c r="D129" s="25">
        <v>6.9701999999999904E+16</v>
      </c>
      <c r="E129" s="25">
        <f t="shared" si="6"/>
        <v>69.701999999999899</v>
      </c>
      <c r="F129" s="7" t="str">
        <f t="shared" si="7"/>
        <v>reconstruit</v>
      </c>
      <c r="G129" s="7" t="s">
        <v>960</v>
      </c>
      <c r="H129" s="7" t="s">
        <v>961</v>
      </c>
    </row>
    <row r="130" spans="1:8" x14ac:dyDescent="0.3">
      <c r="A130" s="7">
        <v>2019</v>
      </c>
      <c r="B130" s="7" t="s">
        <v>959</v>
      </c>
      <c r="C130" s="7" t="s">
        <v>465</v>
      </c>
      <c r="D130" s="25">
        <v>0</v>
      </c>
      <c r="E130" s="25">
        <f t="shared" ref="E130:E161" si="8">IF(D130&gt;1000000,D130/1000000000000000,IF(AND(D130&gt;=1000,D130&lt;1000000),D130/1000,D130))</f>
        <v>0</v>
      </c>
      <c r="F130" s="7" t="str">
        <f t="shared" ref="F130:F161" si="9">IF(E130=D130,"tel quel","reconstruit")</f>
        <v>tel quel</v>
      </c>
      <c r="G130" s="7" t="s">
        <v>960</v>
      </c>
      <c r="H130" s="7" t="s">
        <v>961</v>
      </c>
    </row>
    <row r="131" spans="1:8" x14ac:dyDescent="0.3">
      <c r="A131" s="7">
        <v>2019</v>
      </c>
      <c r="B131" s="7" t="s">
        <v>963</v>
      </c>
      <c r="C131" s="7" t="s">
        <v>465</v>
      </c>
      <c r="D131" s="25">
        <v>0</v>
      </c>
      <c r="E131" s="25">
        <f t="shared" si="8"/>
        <v>0</v>
      </c>
      <c r="F131" s="7" t="str">
        <f t="shared" si="9"/>
        <v>tel quel</v>
      </c>
      <c r="G131" s="7" t="s">
        <v>960</v>
      </c>
      <c r="H131" s="7" t="s">
        <v>961</v>
      </c>
    </row>
    <row r="132" spans="1:8" x14ac:dyDescent="0.3">
      <c r="A132" s="7">
        <v>2019</v>
      </c>
      <c r="B132" s="7" t="s">
        <v>965</v>
      </c>
      <c r="C132" s="7" t="s">
        <v>465</v>
      </c>
      <c r="D132" s="25">
        <v>0</v>
      </c>
      <c r="E132" s="25">
        <f t="shared" si="8"/>
        <v>0</v>
      </c>
      <c r="F132" s="7" t="str">
        <f t="shared" si="9"/>
        <v>tel quel</v>
      </c>
      <c r="G132" s="7" t="s">
        <v>960</v>
      </c>
      <c r="H132" s="7" t="s">
        <v>961</v>
      </c>
    </row>
    <row r="133" spans="1:8" x14ac:dyDescent="0.3">
      <c r="A133" s="7">
        <v>2019</v>
      </c>
      <c r="B133" s="7" t="s">
        <v>967</v>
      </c>
      <c r="C133" s="7" t="s">
        <v>465</v>
      </c>
      <c r="D133" s="25">
        <v>1.43702E+16</v>
      </c>
      <c r="E133" s="25">
        <f t="shared" si="8"/>
        <v>14.370200000000001</v>
      </c>
      <c r="F133" s="7" t="str">
        <f t="shared" si="9"/>
        <v>reconstruit</v>
      </c>
      <c r="G133" s="7" t="s">
        <v>960</v>
      </c>
      <c r="H133" s="7" t="s">
        <v>961</v>
      </c>
    </row>
    <row r="134" spans="1:8" x14ac:dyDescent="0.3">
      <c r="A134" s="7">
        <v>2020</v>
      </c>
      <c r="B134" s="7" t="s">
        <v>959</v>
      </c>
      <c r="C134" s="7" t="s">
        <v>465</v>
      </c>
      <c r="D134" s="25">
        <v>0</v>
      </c>
      <c r="E134" s="25">
        <f t="shared" si="8"/>
        <v>0</v>
      </c>
      <c r="F134" s="7" t="str">
        <f t="shared" si="9"/>
        <v>tel quel</v>
      </c>
      <c r="G134" s="7" t="s">
        <v>960</v>
      </c>
      <c r="H134" s="7" t="s">
        <v>961</v>
      </c>
    </row>
    <row r="135" spans="1:8" x14ac:dyDescent="0.3">
      <c r="A135" s="7">
        <v>2020</v>
      </c>
      <c r="B135" s="7" t="s">
        <v>963</v>
      </c>
      <c r="C135" s="7" t="s">
        <v>465</v>
      </c>
      <c r="D135" s="25">
        <v>0</v>
      </c>
      <c r="E135" s="25">
        <f t="shared" si="8"/>
        <v>0</v>
      </c>
      <c r="F135" s="7" t="str">
        <f t="shared" si="9"/>
        <v>tel quel</v>
      </c>
      <c r="G135" s="7" t="s">
        <v>960</v>
      </c>
      <c r="H135" s="7" t="s">
        <v>961</v>
      </c>
    </row>
    <row r="136" spans="1:8" x14ac:dyDescent="0.3">
      <c r="A136" s="7">
        <v>2020</v>
      </c>
      <c r="B136" s="7" t="s">
        <v>965</v>
      </c>
      <c r="C136" s="7" t="s">
        <v>465</v>
      </c>
      <c r="D136" s="25">
        <v>0</v>
      </c>
      <c r="E136" s="25">
        <f t="shared" si="8"/>
        <v>0</v>
      </c>
      <c r="F136" s="7" t="str">
        <f t="shared" si="9"/>
        <v>tel quel</v>
      </c>
      <c r="G136" s="7" t="s">
        <v>960</v>
      </c>
      <c r="H136" s="7" t="s">
        <v>961</v>
      </c>
    </row>
    <row r="137" spans="1:8" x14ac:dyDescent="0.3">
      <c r="A137" s="7">
        <v>2020</v>
      </c>
      <c r="B137" s="7" t="s">
        <v>967</v>
      </c>
      <c r="C137" s="7" t="s">
        <v>465</v>
      </c>
      <c r="D137" s="25">
        <v>4.37952E+16</v>
      </c>
      <c r="E137" s="25">
        <f t="shared" si="8"/>
        <v>43.795200000000001</v>
      </c>
      <c r="F137" s="7" t="str">
        <f t="shared" si="9"/>
        <v>reconstruit</v>
      </c>
      <c r="G137" s="7" t="s">
        <v>960</v>
      </c>
      <c r="H137" s="7" t="s">
        <v>961</v>
      </c>
    </row>
    <row r="138" spans="1:8" x14ac:dyDescent="0.3">
      <c r="A138" s="7">
        <v>2021</v>
      </c>
      <c r="B138" s="7" t="s">
        <v>959</v>
      </c>
      <c r="C138" s="7" t="s">
        <v>465</v>
      </c>
      <c r="D138" s="25">
        <v>0</v>
      </c>
      <c r="E138" s="25">
        <f t="shared" si="8"/>
        <v>0</v>
      </c>
      <c r="F138" s="7" t="str">
        <f t="shared" si="9"/>
        <v>tel quel</v>
      </c>
      <c r="G138" s="7" t="s">
        <v>960</v>
      </c>
      <c r="H138" s="7" t="s">
        <v>961</v>
      </c>
    </row>
    <row r="139" spans="1:8" x14ac:dyDescent="0.3">
      <c r="A139" s="7">
        <v>2021</v>
      </c>
      <c r="B139" s="7" t="s">
        <v>963</v>
      </c>
      <c r="C139" s="7" t="s">
        <v>465</v>
      </c>
      <c r="D139" s="25">
        <v>0</v>
      </c>
      <c r="E139" s="25">
        <f t="shared" si="8"/>
        <v>0</v>
      </c>
      <c r="F139" s="7" t="str">
        <f t="shared" si="9"/>
        <v>tel quel</v>
      </c>
      <c r="G139" s="7" t="s">
        <v>960</v>
      </c>
      <c r="H139" s="7" t="s">
        <v>961</v>
      </c>
    </row>
    <row r="140" spans="1:8" x14ac:dyDescent="0.3">
      <c r="A140" s="7">
        <v>2021</v>
      </c>
      <c r="B140" s="7" t="s">
        <v>965</v>
      </c>
      <c r="C140" s="7" t="s">
        <v>465</v>
      </c>
      <c r="D140" s="25">
        <v>0</v>
      </c>
      <c r="E140" s="25">
        <f t="shared" si="8"/>
        <v>0</v>
      </c>
      <c r="F140" s="7" t="str">
        <f t="shared" si="9"/>
        <v>tel quel</v>
      </c>
      <c r="G140" s="7" t="s">
        <v>960</v>
      </c>
      <c r="H140" s="7" t="s">
        <v>961</v>
      </c>
    </row>
    <row r="141" spans="1:8" x14ac:dyDescent="0.3">
      <c r="A141" s="7">
        <v>2021</v>
      </c>
      <c r="B141" s="7" t="s">
        <v>967</v>
      </c>
      <c r="C141" s="7" t="s">
        <v>465</v>
      </c>
      <c r="D141" s="25">
        <v>6.22906456928838E+16</v>
      </c>
      <c r="E141" s="25">
        <f t="shared" si="8"/>
        <v>62.2906456928838</v>
      </c>
      <c r="F141" s="7" t="str">
        <f t="shared" si="9"/>
        <v>reconstruit</v>
      </c>
      <c r="G141" s="7" t="s">
        <v>960</v>
      </c>
      <c r="H141" s="7" t="s">
        <v>961</v>
      </c>
    </row>
    <row r="142" spans="1:8" x14ac:dyDescent="0.3">
      <c r="A142" s="7">
        <v>2022</v>
      </c>
      <c r="B142" s="7" t="s">
        <v>959</v>
      </c>
      <c r="C142" s="7" t="s">
        <v>465</v>
      </c>
      <c r="D142" s="25">
        <v>0</v>
      </c>
      <c r="E142" s="25">
        <f t="shared" si="8"/>
        <v>0</v>
      </c>
      <c r="F142" s="7" t="str">
        <f t="shared" si="9"/>
        <v>tel quel</v>
      </c>
      <c r="G142" s="7" t="s">
        <v>960</v>
      </c>
      <c r="H142" s="7" t="s">
        <v>961</v>
      </c>
    </row>
    <row r="143" spans="1:8" x14ac:dyDescent="0.3">
      <c r="A143" s="7">
        <v>2022</v>
      </c>
      <c r="B143" s="7" t="s">
        <v>963</v>
      </c>
      <c r="C143" s="7" t="s">
        <v>465</v>
      </c>
      <c r="D143" s="25">
        <v>0</v>
      </c>
      <c r="E143" s="25">
        <f t="shared" si="8"/>
        <v>0</v>
      </c>
      <c r="F143" s="7" t="str">
        <f t="shared" si="9"/>
        <v>tel quel</v>
      </c>
      <c r="G143" s="7" t="s">
        <v>960</v>
      </c>
      <c r="H143" s="7" t="s">
        <v>961</v>
      </c>
    </row>
    <row r="144" spans="1:8" x14ac:dyDescent="0.3">
      <c r="A144" s="7">
        <v>2022</v>
      </c>
      <c r="B144" s="7" t="s">
        <v>965</v>
      </c>
      <c r="C144" s="7" t="s">
        <v>465</v>
      </c>
      <c r="D144" s="25">
        <v>0</v>
      </c>
      <c r="E144" s="25">
        <f t="shared" si="8"/>
        <v>0</v>
      </c>
      <c r="F144" s="7" t="str">
        <f t="shared" si="9"/>
        <v>tel quel</v>
      </c>
      <c r="G144" s="7" t="s">
        <v>960</v>
      </c>
      <c r="H144" s="7" t="s">
        <v>961</v>
      </c>
    </row>
    <row r="145" spans="1:8" x14ac:dyDescent="0.3">
      <c r="A145" s="7">
        <v>2022</v>
      </c>
      <c r="B145" s="7" t="s">
        <v>967</v>
      </c>
      <c r="C145" s="7" t="s">
        <v>465</v>
      </c>
      <c r="D145" s="25">
        <v>1.28137044133189E+16</v>
      </c>
      <c r="E145" s="25">
        <f t="shared" si="8"/>
        <v>12.8137044133189</v>
      </c>
      <c r="F145" s="7" t="str">
        <f t="shared" si="9"/>
        <v>reconstruit</v>
      </c>
      <c r="G145" s="7" t="s">
        <v>960</v>
      </c>
      <c r="H145" s="7" t="s">
        <v>961</v>
      </c>
    </row>
    <row r="146" spans="1:8" x14ac:dyDescent="0.3">
      <c r="A146" s="7">
        <v>2023</v>
      </c>
      <c r="B146" s="7" t="s">
        <v>959</v>
      </c>
      <c r="C146" s="7" t="s">
        <v>465</v>
      </c>
      <c r="D146" s="25">
        <v>0</v>
      </c>
      <c r="E146" s="25">
        <f t="shared" si="8"/>
        <v>0</v>
      </c>
      <c r="F146" s="7" t="str">
        <f t="shared" si="9"/>
        <v>tel quel</v>
      </c>
      <c r="G146" s="7" t="s">
        <v>960</v>
      </c>
      <c r="H146" s="7" t="s">
        <v>961</v>
      </c>
    </row>
    <row r="147" spans="1:8" x14ac:dyDescent="0.3">
      <c r="A147" s="7">
        <v>2023</v>
      </c>
      <c r="B147" s="7" t="s">
        <v>963</v>
      </c>
      <c r="C147" s="7" t="s">
        <v>465</v>
      </c>
      <c r="D147" s="25">
        <v>0</v>
      </c>
      <c r="E147" s="25">
        <f t="shared" si="8"/>
        <v>0</v>
      </c>
      <c r="F147" s="7" t="str">
        <f t="shared" si="9"/>
        <v>tel quel</v>
      </c>
      <c r="G147" s="7" t="s">
        <v>960</v>
      </c>
      <c r="H147" s="7" t="s">
        <v>961</v>
      </c>
    </row>
    <row r="148" spans="1:8" x14ac:dyDescent="0.3">
      <c r="A148" s="7">
        <v>2023</v>
      </c>
      <c r="B148" s="7" t="s">
        <v>965</v>
      </c>
      <c r="C148" s="7" t="s">
        <v>465</v>
      </c>
      <c r="D148" s="25">
        <v>0</v>
      </c>
      <c r="E148" s="25">
        <f t="shared" si="8"/>
        <v>0</v>
      </c>
      <c r="F148" s="7" t="str">
        <f t="shared" si="9"/>
        <v>tel quel</v>
      </c>
      <c r="G148" s="7" t="s">
        <v>960</v>
      </c>
      <c r="H148" s="7" t="s">
        <v>961</v>
      </c>
    </row>
    <row r="149" spans="1:8" x14ac:dyDescent="0.3">
      <c r="A149" s="7">
        <v>2023</v>
      </c>
      <c r="B149" s="7" t="s">
        <v>967</v>
      </c>
      <c r="C149" s="7" t="s">
        <v>465</v>
      </c>
      <c r="D149" s="25">
        <v>1.75519585562567E+16</v>
      </c>
      <c r="E149" s="25">
        <f t="shared" si="8"/>
        <v>17.5519585562567</v>
      </c>
      <c r="F149" s="7" t="str">
        <f t="shared" si="9"/>
        <v>reconstruit</v>
      </c>
      <c r="G149" s="7" t="s">
        <v>960</v>
      </c>
      <c r="H149" s="7" t="s">
        <v>961</v>
      </c>
    </row>
    <row r="150" spans="1:8" x14ac:dyDescent="0.3">
      <c r="A150" s="7">
        <v>2024</v>
      </c>
      <c r="B150" s="7" t="s">
        <v>959</v>
      </c>
      <c r="C150" s="7" t="s">
        <v>465</v>
      </c>
      <c r="D150" s="25">
        <v>0</v>
      </c>
      <c r="E150" s="25">
        <f t="shared" si="8"/>
        <v>0</v>
      </c>
      <c r="F150" s="7" t="str">
        <f t="shared" si="9"/>
        <v>tel quel</v>
      </c>
      <c r="G150" s="7" t="s">
        <v>960</v>
      </c>
      <c r="H150" s="7" t="s">
        <v>961</v>
      </c>
    </row>
    <row r="151" spans="1:8" x14ac:dyDescent="0.3">
      <c r="A151" s="7">
        <v>2024</v>
      </c>
      <c r="B151" s="7" t="s">
        <v>963</v>
      </c>
      <c r="C151" s="7" t="s">
        <v>465</v>
      </c>
      <c r="D151" s="25">
        <v>285</v>
      </c>
      <c r="E151" s="25">
        <f t="shared" si="8"/>
        <v>285</v>
      </c>
      <c r="F151" s="7" t="str">
        <f t="shared" si="9"/>
        <v>tel quel</v>
      </c>
      <c r="G151" s="7" t="s">
        <v>960</v>
      </c>
      <c r="H151" s="7" t="s">
        <v>961</v>
      </c>
    </row>
    <row r="152" spans="1:8" x14ac:dyDescent="0.3">
      <c r="A152" s="7">
        <v>2024</v>
      </c>
      <c r="B152" s="7" t="s">
        <v>965</v>
      </c>
      <c r="C152" s="7" t="s">
        <v>465</v>
      </c>
      <c r="D152" s="25">
        <v>1.55133084500538E+16</v>
      </c>
      <c r="E152" s="25">
        <f t="shared" si="8"/>
        <v>15.513308450053801</v>
      </c>
      <c r="F152" s="7" t="str">
        <f t="shared" si="9"/>
        <v>reconstruit</v>
      </c>
      <c r="G152" s="7" t="s">
        <v>960</v>
      </c>
      <c r="H152" s="7" t="s">
        <v>961</v>
      </c>
    </row>
    <row r="153" spans="1:8" x14ac:dyDescent="0.3">
      <c r="A153" s="7">
        <v>2024</v>
      </c>
      <c r="B153" s="7" t="s">
        <v>967</v>
      </c>
      <c r="C153" s="7" t="s">
        <v>465</v>
      </c>
      <c r="D153" s="25">
        <v>2.19419585562567E+16</v>
      </c>
      <c r="E153" s="25">
        <f t="shared" si="8"/>
        <v>21.941958556256701</v>
      </c>
      <c r="F153" s="7" t="str">
        <f t="shared" si="9"/>
        <v>reconstruit</v>
      </c>
      <c r="G153" s="7" t="s">
        <v>960</v>
      </c>
      <c r="H153" s="7" t="s">
        <v>961</v>
      </c>
    </row>
    <row r="154" spans="1:8" x14ac:dyDescent="0.3">
      <c r="A154" s="7">
        <v>2025</v>
      </c>
      <c r="B154" s="7" t="s">
        <v>959</v>
      </c>
      <c r="C154" s="7" t="s">
        <v>465</v>
      </c>
      <c r="D154" s="25">
        <v>0</v>
      </c>
      <c r="E154" s="25">
        <f t="shared" si="8"/>
        <v>0</v>
      </c>
      <c r="F154" s="7" t="str">
        <f t="shared" si="9"/>
        <v>tel quel</v>
      </c>
      <c r="G154" s="7" t="s">
        <v>960</v>
      </c>
      <c r="H154" s="7" t="s">
        <v>961</v>
      </c>
    </row>
    <row r="155" spans="1:8" x14ac:dyDescent="0.3">
      <c r="A155" s="7">
        <v>2025</v>
      </c>
      <c r="B155" s="7" t="s">
        <v>963</v>
      </c>
      <c r="C155" s="7" t="s">
        <v>465</v>
      </c>
      <c r="D155" s="25">
        <v>1.76619047252578E+16</v>
      </c>
      <c r="E155" s="25">
        <f t="shared" si="8"/>
        <v>17.661904725257799</v>
      </c>
      <c r="F155" s="7" t="str">
        <f t="shared" si="9"/>
        <v>reconstruit</v>
      </c>
      <c r="G155" s="7" t="s">
        <v>960</v>
      </c>
      <c r="H155" s="7" t="s">
        <v>961</v>
      </c>
    </row>
    <row r="156" spans="1:8" x14ac:dyDescent="0.3">
      <c r="A156" s="7">
        <v>2025</v>
      </c>
      <c r="B156" s="7" t="s">
        <v>965</v>
      </c>
      <c r="C156" s="7" t="s">
        <v>465</v>
      </c>
      <c r="D156" s="25">
        <v>9058821481709500</v>
      </c>
      <c r="E156" s="25">
        <f t="shared" si="8"/>
        <v>9.0588214817095007</v>
      </c>
      <c r="F156" s="7" t="str">
        <f t="shared" si="9"/>
        <v>reconstruit</v>
      </c>
      <c r="G156" s="7" t="s">
        <v>960</v>
      </c>
      <c r="H156" s="7" t="s">
        <v>961</v>
      </c>
    </row>
    <row r="157" spans="1:8" x14ac:dyDescent="0.3">
      <c r="A157" s="7">
        <v>2025</v>
      </c>
      <c r="B157" s="7" t="s">
        <v>967</v>
      </c>
      <c r="C157" s="7" t="s">
        <v>465</v>
      </c>
      <c r="D157" s="25">
        <v>2.19419585562567E+16</v>
      </c>
      <c r="E157" s="25">
        <f t="shared" si="8"/>
        <v>21.941958556256701</v>
      </c>
      <c r="F157" s="7" t="str">
        <f t="shared" si="9"/>
        <v>reconstruit</v>
      </c>
      <c r="G157" s="7" t="s">
        <v>960</v>
      </c>
      <c r="H157" s="7" t="s">
        <v>961</v>
      </c>
    </row>
    <row r="158" spans="1:8" x14ac:dyDescent="0.3">
      <c r="A158" s="7">
        <v>2026</v>
      </c>
      <c r="B158" s="7" t="s">
        <v>959</v>
      </c>
      <c r="C158" s="7" t="s">
        <v>465</v>
      </c>
      <c r="D158" s="25">
        <v>52</v>
      </c>
      <c r="E158" s="25">
        <f t="shared" si="8"/>
        <v>52</v>
      </c>
      <c r="F158" s="7" t="str">
        <f t="shared" si="9"/>
        <v>tel quel</v>
      </c>
      <c r="G158" s="7" t="s">
        <v>960</v>
      </c>
      <c r="H158" s="7" t="s">
        <v>961</v>
      </c>
    </row>
    <row r="159" spans="1:8" x14ac:dyDescent="0.3">
      <c r="A159" s="7">
        <v>2026</v>
      </c>
      <c r="B159" s="7" t="s">
        <v>963</v>
      </c>
      <c r="C159" s="7" t="s">
        <v>465</v>
      </c>
      <c r="D159" s="25">
        <v>7445108028962950</v>
      </c>
      <c r="E159" s="25">
        <f t="shared" si="8"/>
        <v>7.4451080289629497</v>
      </c>
      <c r="F159" s="7" t="str">
        <f t="shared" si="9"/>
        <v>reconstruit</v>
      </c>
      <c r="G159" s="7" t="s">
        <v>960</v>
      </c>
      <c r="H159" s="7" t="s">
        <v>961</v>
      </c>
    </row>
    <row r="160" spans="1:8" x14ac:dyDescent="0.3">
      <c r="A160" s="7">
        <v>2026</v>
      </c>
      <c r="B160" s="7" t="s">
        <v>965</v>
      </c>
      <c r="C160" s="7" t="s">
        <v>465</v>
      </c>
      <c r="D160" s="25">
        <v>1.07205189318146E+16</v>
      </c>
      <c r="E160" s="25">
        <f t="shared" si="8"/>
        <v>10.720518931814601</v>
      </c>
      <c r="F160" s="7" t="str">
        <f t="shared" si="9"/>
        <v>reconstruit</v>
      </c>
      <c r="G160" s="7" t="s">
        <v>960</v>
      </c>
      <c r="H160" s="7" t="s">
        <v>961</v>
      </c>
    </row>
    <row r="161" spans="1:8" x14ac:dyDescent="0.3">
      <c r="A161" s="7">
        <v>2026</v>
      </c>
      <c r="B161" s="7" t="s">
        <v>967</v>
      </c>
      <c r="C161" s="7" t="s">
        <v>465</v>
      </c>
      <c r="D161" s="25">
        <v>2.19419585562567E+16</v>
      </c>
      <c r="E161" s="25">
        <f t="shared" si="8"/>
        <v>21.941958556256701</v>
      </c>
      <c r="F161" s="7" t="str">
        <f t="shared" si="9"/>
        <v>reconstruit</v>
      </c>
      <c r="G161" s="7" t="s">
        <v>960</v>
      </c>
      <c r="H161" s="7" t="s">
        <v>961</v>
      </c>
    </row>
    <row r="162" spans="1:8" x14ac:dyDescent="0.3">
      <c r="A162" s="7">
        <v>2027</v>
      </c>
      <c r="B162" s="7" t="s">
        <v>959</v>
      </c>
      <c r="C162" s="7" t="s">
        <v>465</v>
      </c>
      <c r="D162" s="25">
        <v>3.34918957153558E+16</v>
      </c>
      <c r="E162" s="25">
        <f t="shared" ref="E162:E193" si="10">IF(D162&gt;1000000,D162/1000000000000000,IF(AND(D162&gt;=1000,D162&lt;1000000),D162/1000,D162))</f>
        <v>33.491895715355803</v>
      </c>
      <c r="F162" s="7" t="str">
        <f t="shared" ref="F162:F193" si="11">IF(E162=D162,"tel quel","reconstruit")</f>
        <v>reconstruit</v>
      </c>
      <c r="G162" s="7" t="s">
        <v>960</v>
      </c>
      <c r="H162" s="7" t="s">
        <v>961</v>
      </c>
    </row>
    <row r="163" spans="1:8" x14ac:dyDescent="0.3">
      <c r="A163" s="7">
        <v>2027</v>
      </c>
      <c r="B163" s="7" t="s">
        <v>963</v>
      </c>
      <c r="C163" s="7" t="s">
        <v>465</v>
      </c>
      <c r="D163" s="25">
        <v>7.7738080289629504E+16</v>
      </c>
      <c r="E163" s="25">
        <f t="shared" si="10"/>
        <v>77.738080289629508</v>
      </c>
      <c r="F163" s="7" t="str">
        <f t="shared" si="11"/>
        <v>reconstruit</v>
      </c>
      <c r="G163" s="7" t="s">
        <v>960</v>
      </c>
      <c r="H163" s="7" t="s">
        <v>961</v>
      </c>
    </row>
    <row r="164" spans="1:8" x14ac:dyDescent="0.3">
      <c r="A164" s="7">
        <v>2027</v>
      </c>
      <c r="B164" s="7" t="s">
        <v>965</v>
      </c>
      <c r="C164" s="7" t="s">
        <v>465</v>
      </c>
      <c r="D164" s="25">
        <v>1.17205189318146E+16</v>
      </c>
      <c r="E164" s="25">
        <f t="shared" si="10"/>
        <v>11.720518931814601</v>
      </c>
      <c r="F164" s="7" t="str">
        <f t="shared" si="11"/>
        <v>reconstruit</v>
      </c>
      <c r="G164" s="7" t="s">
        <v>960</v>
      </c>
      <c r="H164" s="7" t="s">
        <v>961</v>
      </c>
    </row>
    <row r="165" spans="1:8" x14ac:dyDescent="0.3">
      <c r="A165" s="7">
        <v>2027</v>
      </c>
      <c r="B165" s="7" t="s">
        <v>967</v>
      </c>
      <c r="C165" s="7" t="s">
        <v>465</v>
      </c>
      <c r="D165" s="25">
        <v>2.19419585562567E+16</v>
      </c>
      <c r="E165" s="25">
        <f t="shared" si="10"/>
        <v>21.941958556256701</v>
      </c>
      <c r="F165" s="7" t="str">
        <f t="shared" si="11"/>
        <v>reconstruit</v>
      </c>
      <c r="G165" s="7" t="s">
        <v>960</v>
      </c>
      <c r="H165" s="7" t="s">
        <v>961</v>
      </c>
    </row>
    <row r="166" spans="1:8" x14ac:dyDescent="0.3">
      <c r="A166" s="7">
        <v>2028</v>
      </c>
      <c r="B166" s="7" t="s">
        <v>959</v>
      </c>
      <c r="C166" s="7" t="s">
        <v>465</v>
      </c>
      <c r="D166" s="25">
        <v>3.91918957153558E+16</v>
      </c>
      <c r="E166" s="25">
        <f t="shared" si="10"/>
        <v>39.191895715355798</v>
      </c>
      <c r="F166" s="7" t="str">
        <f t="shared" si="11"/>
        <v>reconstruit</v>
      </c>
      <c r="G166" s="7" t="s">
        <v>960</v>
      </c>
      <c r="H166" s="7" t="s">
        <v>961</v>
      </c>
    </row>
    <row r="167" spans="1:8" x14ac:dyDescent="0.3">
      <c r="A167" s="7">
        <v>2028</v>
      </c>
      <c r="B167" s="7" t="s">
        <v>963</v>
      </c>
      <c r="C167" s="7" t="s">
        <v>465</v>
      </c>
      <c r="D167" s="25">
        <v>1.14138080289629E+16</v>
      </c>
      <c r="E167" s="25">
        <f t="shared" si="10"/>
        <v>11.413808028962899</v>
      </c>
      <c r="F167" s="7" t="str">
        <f t="shared" si="11"/>
        <v>reconstruit</v>
      </c>
      <c r="G167" s="7" t="s">
        <v>960</v>
      </c>
      <c r="H167" s="7" t="s">
        <v>961</v>
      </c>
    </row>
    <row r="168" spans="1:8" x14ac:dyDescent="0.3">
      <c r="A168" s="7">
        <v>2028</v>
      </c>
      <c r="B168" s="7" t="s">
        <v>965</v>
      </c>
      <c r="C168" s="7" t="s">
        <v>465</v>
      </c>
      <c r="D168" s="25">
        <v>1.22205189318146E+16</v>
      </c>
      <c r="E168" s="25">
        <f t="shared" si="10"/>
        <v>12.220518931814601</v>
      </c>
      <c r="F168" s="7" t="str">
        <f t="shared" si="11"/>
        <v>reconstruit</v>
      </c>
      <c r="G168" s="7" t="s">
        <v>960</v>
      </c>
      <c r="H168" s="7" t="s">
        <v>961</v>
      </c>
    </row>
    <row r="169" spans="1:8" x14ac:dyDescent="0.3">
      <c r="A169" s="7">
        <v>2028</v>
      </c>
      <c r="B169" s="7" t="s">
        <v>967</v>
      </c>
      <c r="C169" s="7" t="s">
        <v>465</v>
      </c>
      <c r="D169" s="25">
        <v>2.19419585562567E+16</v>
      </c>
      <c r="E169" s="25">
        <f t="shared" si="10"/>
        <v>21.941958556256701</v>
      </c>
      <c r="F169" s="7" t="str">
        <f t="shared" si="11"/>
        <v>reconstruit</v>
      </c>
      <c r="G169" s="7" t="s">
        <v>960</v>
      </c>
      <c r="H169" s="7" t="s">
        <v>961</v>
      </c>
    </row>
    <row r="170" spans="1:8" x14ac:dyDescent="0.3">
      <c r="A170" s="7">
        <v>2029</v>
      </c>
      <c r="B170" s="7" t="s">
        <v>959</v>
      </c>
      <c r="C170" s="7" t="s">
        <v>465</v>
      </c>
      <c r="D170" s="25">
        <v>3.91918957153558E+16</v>
      </c>
      <c r="E170" s="25">
        <f t="shared" si="10"/>
        <v>39.191895715355798</v>
      </c>
      <c r="F170" s="7" t="str">
        <f t="shared" si="11"/>
        <v>reconstruit</v>
      </c>
      <c r="G170" s="7" t="s">
        <v>960</v>
      </c>
      <c r="H170" s="7" t="s">
        <v>961</v>
      </c>
    </row>
    <row r="171" spans="1:8" x14ac:dyDescent="0.3">
      <c r="A171" s="7">
        <v>2029</v>
      </c>
      <c r="B171" s="7" t="s">
        <v>963</v>
      </c>
      <c r="C171" s="7" t="s">
        <v>465</v>
      </c>
      <c r="D171" s="25">
        <v>1.14138080289629E+16</v>
      </c>
      <c r="E171" s="25">
        <f t="shared" si="10"/>
        <v>11.413808028962899</v>
      </c>
      <c r="F171" s="7" t="str">
        <f t="shared" si="11"/>
        <v>reconstruit</v>
      </c>
      <c r="G171" s="7" t="s">
        <v>960</v>
      </c>
      <c r="H171" s="7" t="s">
        <v>961</v>
      </c>
    </row>
    <row r="172" spans="1:8" x14ac:dyDescent="0.3">
      <c r="A172" s="7">
        <v>2029</v>
      </c>
      <c r="B172" s="7" t="s">
        <v>965</v>
      </c>
      <c r="C172" s="7" t="s">
        <v>465</v>
      </c>
      <c r="D172" s="25">
        <v>1.22205189318146E+16</v>
      </c>
      <c r="E172" s="25">
        <f t="shared" si="10"/>
        <v>12.220518931814601</v>
      </c>
      <c r="F172" s="7" t="str">
        <f t="shared" si="11"/>
        <v>reconstruit</v>
      </c>
      <c r="G172" s="7" t="s">
        <v>960</v>
      </c>
      <c r="H172" s="7" t="s">
        <v>961</v>
      </c>
    </row>
    <row r="173" spans="1:8" x14ac:dyDescent="0.3">
      <c r="A173" s="7">
        <v>2029</v>
      </c>
      <c r="B173" s="7" t="s">
        <v>967</v>
      </c>
      <c r="C173" s="7" t="s">
        <v>465</v>
      </c>
      <c r="D173" s="25">
        <v>2.19419585562567E+16</v>
      </c>
      <c r="E173" s="25">
        <f t="shared" si="10"/>
        <v>21.941958556256701</v>
      </c>
      <c r="F173" s="7" t="str">
        <f t="shared" si="11"/>
        <v>reconstruit</v>
      </c>
      <c r="G173" s="7" t="s">
        <v>960</v>
      </c>
      <c r="H173" s="7" t="s">
        <v>961</v>
      </c>
    </row>
    <row r="174" spans="1:8" x14ac:dyDescent="0.3">
      <c r="A174" s="7">
        <v>2030</v>
      </c>
      <c r="B174" s="7" t="s">
        <v>959</v>
      </c>
      <c r="C174" s="7" t="s">
        <v>465</v>
      </c>
      <c r="D174" s="25">
        <v>1.12325603580524E+16</v>
      </c>
      <c r="E174" s="25">
        <f t="shared" si="10"/>
        <v>11.2325603580524</v>
      </c>
      <c r="F174" s="7" t="str">
        <f t="shared" si="11"/>
        <v>reconstruit</v>
      </c>
      <c r="G174" s="7" t="s">
        <v>960</v>
      </c>
      <c r="H174" s="7" t="s">
        <v>961</v>
      </c>
    </row>
    <row r="175" spans="1:8" x14ac:dyDescent="0.3">
      <c r="A175" s="7">
        <v>2030</v>
      </c>
      <c r="B175" s="7" t="s">
        <v>963</v>
      </c>
      <c r="C175" s="7" t="s">
        <v>465</v>
      </c>
      <c r="D175" s="25">
        <v>1.44663080289629E+16</v>
      </c>
      <c r="E175" s="25">
        <f t="shared" si="10"/>
        <v>14.466308028962899</v>
      </c>
      <c r="F175" s="7" t="str">
        <f t="shared" si="11"/>
        <v>reconstruit</v>
      </c>
      <c r="G175" s="7" t="s">
        <v>960</v>
      </c>
      <c r="H175" s="7" t="s">
        <v>961</v>
      </c>
    </row>
    <row r="176" spans="1:8" x14ac:dyDescent="0.3">
      <c r="A176" s="7">
        <v>2030</v>
      </c>
      <c r="B176" s="7" t="s">
        <v>965</v>
      </c>
      <c r="C176" s="7" t="s">
        <v>465</v>
      </c>
      <c r="D176" s="25">
        <v>1.22205189318146E+16</v>
      </c>
      <c r="E176" s="25">
        <f t="shared" si="10"/>
        <v>12.220518931814601</v>
      </c>
      <c r="F176" s="7" t="str">
        <f t="shared" si="11"/>
        <v>reconstruit</v>
      </c>
      <c r="G176" s="7" t="s">
        <v>960</v>
      </c>
      <c r="H176" s="7" t="s">
        <v>961</v>
      </c>
    </row>
    <row r="177" spans="1:8" x14ac:dyDescent="0.3">
      <c r="A177" s="7">
        <v>2030</v>
      </c>
      <c r="B177" s="7" t="s">
        <v>967</v>
      </c>
      <c r="C177" s="7" t="s">
        <v>465</v>
      </c>
      <c r="D177" s="25">
        <v>2.19419585562567E+16</v>
      </c>
      <c r="E177" s="25">
        <f t="shared" si="10"/>
        <v>21.941958556256701</v>
      </c>
      <c r="F177" s="7" t="str">
        <f t="shared" si="11"/>
        <v>reconstruit</v>
      </c>
      <c r="G177" s="7" t="s">
        <v>960</v>
      </c>
      <c r="H177" s="7" t="s">
        <v>961</v>
      </c>
    </row>
  </sheetData>
  <autoFilter ref="A1:H177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Lisez-moi</vt:lpstr>
      <vt:lpstr>Hypothèses</vt:lpstr>
      <vt:lpstr>Sources</vt:lpstr>
      <vt:lpstr>Données</vt:lpstr>
      <vt:lpstr>Synthèse</vt:lpstr>
      <vt:lpstr>Lacunes</vt:lpstr>
      <vt:lpstr>Interface</vt:lpstr>
      <vt:lpstr>Déploiement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ihssane abdou</cp:lastModifiedBy>
  <cp:revision>0</cp:revision>
  <dcterms:created xsi:type="dcterms:W3CDTF">2026-10-19T11:19:04Z</dcterms:created>
  <dcterms:modified xsi:type="dcterms:W3CDTF">2026-10-19T11:26:08Z</dcterms:modified>
  <dc:language>en-US</dc:language>
</cp:coreProperties>
</file>