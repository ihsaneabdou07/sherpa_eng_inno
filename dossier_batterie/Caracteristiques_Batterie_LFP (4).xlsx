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ariables du modele" sheetId="1" state="visible" r:id="rId3"/>
    <sheet name="Metadonnees descriptives" sheetId="2" state="visible" r:id="rId4"/>
    <sheet name="Prix" sheetId="3" state="visible" r:id="rId5"/>
    <sheet name="Sources et verification" sheetId="4" state="visible" r:id="rId6"/>
    <sheet name="Donnees fabricants (reel)" sheetId="5" state="visible" r:id="rId7"/>
  </sheets>
  <definedNames>
    <definedName function="false" hidden="true" localSheetId="0" name="_xlnm._FilterDatabase" vbProcedure="false">'Variables du modele'!$A$3:$I$112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<sst xmlns="http://schemas.openxmlformats.org/spreadsheetml/2006/main" count="1378" uniqueCount="591">
  <si>
    <t xml:space="preserve">Variables actives du modele - Batterie LFP (valeurs sourcees, mise a jour 21/10/2026)</t>
  </si>
  <si>
    <t xml:space="preserve">Une ligne par fabricant/modele (pas de moyenne). Les lignes en orange sont des estimations generiques non verifiees par une fiche fabricant.</t>
  </si>
  <si>
    <t xml:space="preserve">Categorie</t>
  </si>
  <si>
    <t xml:space="preserve">Parametre</t>
  </si>
  <si>
    <t xml:space="preserve">Valeur</t>
  </si>
  <si>
    <t xml:space="preserve">Unite</t>
  </si>
  <si>
    <t xml:space="preserve">Fabricant/Modele</t>
  </si>
  <si>
    <t xml:space="preserve">Conditions / precisions</t>
  </si>
  <si>
    <t xml:space="preserve">Date du document</t>
  </si>
  <si>
    <t xml:space="preserve">Statut de verification</t>
  </si>
  <si>
    <t xml:space="preserve">Source (lien)</t>
  </si>
  <si>
    <t xml:space="preserve">Caracteristiques cellule</t>
  </si>
  <si>
    <t xml:space="preserve">Capacite nominale</t>
  </si>
  <si>
    <t xml:space="preserve">Ah</t>
  </si>
  <si>
    <t xml:space="preserve">EVE Energy - LF280K (3.2V 280Ah)</t>
  </si>
  <si>
    <t xml:space="preserve">0,5C, 2,5V cut-off, 25+/-2 C</t>
  </si>
  <si>
    <t xml:space="preserve">16/01/2021 (LF280K-72174, v.A)</t>
  </si>
  <si>
    <t xml:space="preserve">Verifie - fiche fabricant (copie hebergee par un tiers)</t>
  </si>
  <si>
    <t xml:space="preserve">https://akkudoktor.net/uploads/short-url/maYfKTLNOcRNqlYZNRluaz43RTL.pdf</t>
  </si>
  <si>
    <t xml:space="preserve">EVE Energy - LF280N (3.2V 280Ah)</t>
  </si>
  <si>
    <t xml:space="preserve">Standard charge/decharge 0,5C, 25+/-2 C</t>
  </si>
  <si>
    <t xml:space="preserve">22/12/2019 (LF280N-72174, v.A)</t>
  </si>
  <si>
    <t xml:space="preserve">https://akkudoktor.net/uploads/short-url/2vo4dBRggjXOlkkd4vD5pnKzR5w.pdf</t>
  </si>
  <si>
    <t xml:space="preserve">EVE Energy - LF280 (3.2V 280Ah)</t>
  </si>
  <si>
    <t xml:space="preserve">Capacite min. 280 Ah @0,5C (typique 285 Ah @1C dans v.B 2018)</t>
  </si>
  <si>
    <t xml:space="preserve">30/04/2019 (LF280-72174, v.E)</t>
  </si>
  <si>
    <t xml:space="preserve">https://mikrocontroller.net/attachment/572319/LF280-280Ah-product_specification-version-e.pdf</t>
  </si>
  <si>
    <t xml:space="preserve">EVE Energy - MB31 (3.2V 314Ah)</t>
  </si>
  <si>
    <t xml:space="preserve">0,5P/0,5P, 25+/-2 C, 2,5-3,65 V, cellule neuve</t>
  </si>
  <si>
    <t xml:space="preserve">20/11/2023 (PBRI-MB31-D06-01, v.A)</t>
  </si>
  <si>
    <t xml:space="preserve">https://cdn.shopify.com/s/files/1/0763/0562/9462/files/EVE_3.2V_314Ah_LiFePO4_Lithium_Battery_Cell.pdf</t>
  </si>
  <si>
    <t xml:space="preserve">CATL - cellule LFP 306Ah de l'EnerOne+ (rack R08306P05L31)</t>
  </si>
  <si>
    <t xml:space="preserve">Variante 0,5P ; variante 1P = 285 Ah</t>
  </si>
  <si>
    <t xml:space="preserve">22/08/2023 (Product Spec. v2.0)</t>
  </si>
  <si>
    <t xml:space="preserve">Verifie - fiche fabricant (via distributeur 7sun)</t>
  </si>
  <si>
    <t xml:space="preserve">https://7sun.eu/wp-content/uploads/2025/08/product-specification-catl-enerone-407-3-kwh-0-5-c.pdf</t>
  </si>
  <si>
    <t xml:space="preserve">Envision - cellule ESS 72173207-315A</t>
  </si>
  <si>
    <t xml:space="preserve">Capacite mesuree par le revendeur : 323,4-324,4 Ah</t>
  </si>
  <si>
    <t xml:space="preserve">n.d. (page consultee 10/2026)</t>
  </si>
  <si>
    <t xml:space="preserve">Donnee revendeur (fiche fabricant non publique)</t>
  </si>
  <si>
    <t xml:space="preserve">https://www.nkon.nl/en/envision-ess-72173207-315ah-lifepo4-3-2v-a-grade.html</t>
  </si>
  <si>
    <t xml:space="preserve">Envision - BESS 8 MWh (cellules AESC 700Ah)</t>
  </si>
  <si>
    <t xml:space="preserve">Cellules AESC (generation 8 MWh) ; generation precedente 315 Ah</t>
  </si>
  <si>
    <t xml:space="preserve">09/09/2024</t>
  </si>
  <si>
    <t xml:space="preserve">Communique / presse specialisee (pas de fiche)</t>
  </si>
  <si>
    <t xml:space="preserve">https://etn.news/energy-storage/envision-8-mwh-containerized-battery-storage-system-details</t>
  </si>
  <si>
    <t xml:space="preserve">BYD - Blade (cellule, usage vehicule)</t>
  </si>
  <si>
    <t xml:space="preserve">Valeur issue d'un brevet BYD (cite par Lacey) - cellule VE, pas ESS</t>
  </si>
  <si>
    <t xml:space="preserve">07/01/2022</t>
  </si>
  <si>
    <t xml:space="preserve">https://lacey.se/2022/01/07/byd-blade-energy-density</t>
  </si>
  <si>
    <t xml:space="preserve">Non publiee</t>
  </si>
  <si>
    <t xml:space="preserve">BYD - cellule des MC Cube / MC Cube-T</t>
  </si>
  <si>
    <t xml:space="preserve">Fiches MC Cube : 'LFP', capacite cellule non indiquee</t>
  </si>
  <si>
    <t xml:space="preserve">2023-2025</t>
  </si>
  <si>
    <t xml:space="preserve">Non publie par le fabricant</t>
  </si>
  <si>
    <t xml:space="preserve">https://cdn.enfsolar.com/z/pp/2025/8/vz51ichzq14g8tl/mc-cube-t-bess.pdf</t>
  </si>
  <si>
    <t xml:space="preserve">Energie nominale cellule</t>
  </si>
  <si>
    <t xml:space="preserve">Wh</t>
  </si>
  <si>
    <t xml:space="preserve">Non indiquee dans la fiche : 3,2 V x 280 Ah</t>
  </si>
  <si>
    <t xml:space="preserve">Calcule a partir de la fiche (formule)</t>
  </si>
  <si>
    <t xml:space="preserve">Valeur indiquee dans la fiche</t>
  </si>
  <si>
    <t xml:space="preserve">'Cell rated Energy' (tableau 1)</t>
  </si>
  <si>
    <t xml:space="preserve">Tension nominale par cellule</t>
  </si>
  <si>
    <t xml:space="preserve">V</t>
  </si>
  <si>
    <t xml:space="preserve">Plage d'utilisation 2,5-3,65 V</t>
  </si>
  <si>
    <t xml:space="preserve">Cut-off 2,5 / 3,65 V</t>
  </si>
  <si>
    <t xml:space="preserve">2,5-3,65 V (T&gt;0 C) ; 2,0 V min si T&lt;=0 C</t>
  </si>
  <si>
    <t xml:space="preserve">Non indiquee : 979,2 Wh / 306 Ah ; plage 2,5-3,65 V indiquee</t>
  </si>
  <si>
    <t xml:space="preserve">Plage de tension non indiquee</t>
  </si>
  <si>
    <t xml:space="preserve">Dimensions (L x E x H)</t>
  </si>
  <si>
    <t xml:space="preserve">173,6 x 72,0 x 207,5</t>
  </si>
  <si>
    <t xml:space="preserve">mm</t>
  </si>
  <si>
    <t xml:space="preserve">H totale 207,5 (corps 204,6) ; E = 72,0+/-1,0 a 30% SOC</t>
  </si>
  <si>
    <t xml:space="preserve">173,7 x 71,5 x 204,8</t>
  </si>
  <si>
    <t xml:space="preserve">H totale 204,8 (corps 200,2) ; E a 40% SOC sous 300 kgf</t>
  </si>
  <si>
    <t xml:space="preserve">173,6 x 71,5 x 204,8</t>
  </si>
  <si>
    <t xml:space="preserve">H totale ; E = 72,0 mm a 100% SOC</t>
  </si>
  <si>
    <t xml:space="preserve">173,7 x 71,7 x 207,2</t>
  </si>
  <si>
    <t xml:space="preserve">H1 avec bornes 207,2 (H2 sans bornes 204,6)</t>
  </si>
  <si>
    <t xml:space="preserve">174,26 x 71,5 x 207,01</t>
  </si>
  <si>
    <t xml:space="preserve">Dimensions max. donnees par le revendeur</t>
  </si>
  <si>
    <t xml:space="preserve">960 x 13,5 x 90</t>
  </si>
  <si>
    <t xml:space="preserve">'Long blade' 1re generation (Wikipedia, citant Jiemian 29/03/2020)</t>
  </si>
  <si>
    <t xml:space="preserve">29/03/2020</t>
  </si>
  <si>
    <t xml:space="preserve">https://en.wikipedia.org/wiki/Blade_battery</t>
  </si>
  <si>
    <t xml:space="preserve">Non publiees</t>
  </si>
  <si>
    <t xml:space="preserve">Non indiquees dans la fiche du rack</t>
  </si>
  <si>
    <t xml:space="preserve">Poids cellule</t>
  </si>
  <si>
    <t xml:space="preserve">kg</t>
  </si>
  <si>
    <t xml:space="preserve">5220 g +/- 200 g</t>
  </si>
  <si>
    <t xml:space="preserve">5,30 +/- 0,3 kg</t>
  </si>
  <si>
    <t xml:space="preserve">5600 g +/- 300 g</t>
  </si>
  <si>
    <t xml:space="preserve">Donnee revendeur</t>
  </si>
  <si>
    <t xml:space="preserve">Non publie</t>
  </si>
  <si>
    <t xml:space="preserve">Seul le poids du rack est donne (3600+/-100 kg)</t>
  </si>
  <si>
    <t xml:space="preserve">Resistance interne (AC 1 kHz)</t>
  </si>
  <si>
    <t xml:space="preserve">mOhm (max)</t>
  </si>
  <si>
    <t xml:space="preserve">&lt;=0,25 mOhm a 30% SOC</t>
  </si>
  <si>
    <t xml:space="preserve">mOhm</t>
  </si>
  <si>
    <t xml:space="preserve">0,18 +/- 0,05 mOhm, SOC de livraison</t>
  </si>
  <si>
    <t xml:space="preserve">Capacite energetique</t>
  </si>
  <si>
    <t xml:space="preserve">Densite energetique massique</t>
  </si>
  <si>
    <t xml:space="preserve">Wh/kg (cellule)</t>
  </si>
  <si>
    <t xml:space="preserve">Non indiquee : 896 Wh / 5,22 kg</t>
  </si>
  <si>
    <t xml:space="preserve">Non indiquee : 896 Wh / 5,30 kg</t>
  </si>
  <si>
    <t xml:space="preserve">Non indiquee : 1004,8 Wh / 5,6 kg</t>
  </si>
  <si>
    <t xml:space="preserve">Calcul sur donnees revendeur : 1008 Wh / 5,65 kg</t>
  </si>
  <si>
    <t xml:space="preserve">Calcule a partir de la fiche (formule) (donnees revendeur)</t>
  </si>
  <si>
    <t xml:space="preserve">190 - 210</t>
  </si>
  <si>
    <t xml:space="preserve">BYD - Blade 2.0 'Long Blade' (VE)</t>
  </si>
  <si>
    <t xml:space="preserve">Annonce BYD 05/03/2026 ; cellule vehicule, indicatif seulement</t>
  </si>
  <si>
    <t xml:space="preserve">05/03/2026</t>
  </si>
  <si>
    <t xml:space="preserve">Wh/kg (systeme rack)</t>
  </si>
  <si>
    <t xml:space="preserve">CATL - EnerOne+ rack R08306P05L31 (0.5P, 407,34 kWh)</t>
  </si>
  <si>
    <t xml:space="preserve">Niveau rack : 407,34 kWh / 3600 kg</t>
  </si>
  <si>
    <t xml:space="preserve">Wh/kg (systeme conteneur)</t>
  </si>
  <si>
    <t xml:space="preserve">BYD - MC Cube-T MC10C-B5010-E/U-R2 (5 010 kWh)</t>
  </si>
  <si>
    <t xml:space="preserve">Niveau conteneur : 5010 kWh DC utile @FAT / 43 550 kg</t>
  </si>
  <si>
    <t xml:space="preserve">n.d. (fichier publie 08/2025)</t>
  </si>
  <si>
    <t xml:space="preserve">Densite energetique volumique</t>
  </si>
  <si>
    <t xml:space="preserve">Wh/L (cellule)</t>
  </si>
  <si>
    <t xml:space="preserve">896 Wh / volume du corps (173,6 x 72,0 x 204,6 mm)</t>
  </si>
  <si>
    <t xml:space="preserve">896 Wh / volume du corps (173,7 x 71,5 x 200,2 mm)</t>
  </si>
  <si>
    <t xml:space="preserve">1004,8 Wh / volume sans bornes (173,7 x 71,7 x 204,6 mm)</t>
  </si>
  <si>
    <t xml:space="preserve">Borne basse : dimensions max. avec bornes (revendeur)</t>
  </si>
  <si>
    <t xml:space="preserve">Wh/L</t>
  </si>
  <si>
    <t xml:space="preserve">CATL - TENER (systeme 6,25 MWh)</t>
  </si>
  <si>
    <t xml:space="preserve">Valeur du communique (cellules du TENER)</t>
  </si>
  <si>
    <t xml:space="preserve">12/04/2024</t>
  </si>
  <si>
    <t xml:space="preserve">https://kyodonewsprwire.jp/release/202404129395</t>
  </si>
  <si>
    <t xml:space="preserve">Brevet BYD, cellule 202 Ah (estimation independante Lacey : ~355 Wh/L)</t>
  </si>
  <si>
    <t xml:space="preserve">Wh/L (&gt; 440)</t>
  </si>
  <si>
    <t xml:space="preserve">'more than 440 Wh/l' (niveau cellule/systeme non precise)</t>
  </si>
  <si>
    <t xml:space="preserve">09/2024</t>
  </si>
  <si>
    <t xml:space="preserve">https://www.ess-news.com/?p=2460</t>
  </si>
  <si>
    <t xml:space="preserve">Wh/L (systeme conteneur)</t>
  </si>
  <si>
    <t xml:space="preserve">5010 kWh / 6058 x 2438 x 2896 mm (hors HVAC)</t>
  </si>
  <si>
    <t xml:space="preserve">Rendement</t>
  </si>
  <si>
    <t xml:space="preserve">Rendement energetique aller-retour</t>
  </si>
  <si>
    <t xml:space="preserve">% (systeme AC, hypothese)</t>
  </si>
  <si>
    <t xml:space="preserve">NREL - Cost Projections ... 2025 Update</t>
  </si>
  <si>
    <t xml:space="preserve">Hypothese du modele NREL, inclut refroidissement et controle</t>
  </si>
  <si>
    <t xml:space="preserve">06/2025</t>
  </si>
  <si>
    <t xml:space="preserve">Verifie - rapport de reference</t>
  </si>
  <si>
    <t xml:space="preserve">https://docs.nrel.gov/docs/fy25osti/93281.pdf</t>
  </si>
  <si>
    <t xml:space="preserve">%</t>
  </si>
  <si>
    <t xml:space="preserve">Valeur annoncee (perimetre DC/AC non precise)</t>
  </si>
  <si>
    <t xml:space="preserve">Fiche definit le RTE (DC, bornes du rack, 0-100% SOC) sans donner de valeur</t>
  </si>
  <si>
    <t xml:space="preserve">BYD - MC Cube C&amp;I / MC Cube-T</t>
  </si>
  <si>
    <t xml:space="preserve">Absent des fiches consultees</t>
  </si>
  <si>
    <t xml:space="preserve">https://solarshop.baywa-re.lv/userfiles/files/613%E3%80%91MC_Cube_C%26I_0.5C_V1.0-%28EU%29_2023.07.14%281%29.pdf</t>
  </si>
  <si>
    <t xml:space="preserve">Rendement energetique aller-retour (DC cellule/rack)</t>
  </si>
  <si>
    <t xml:space="preserve">92 - 98</t>
  </si>
  <si>
    <t xml:space="preserve">Generique</t>
  </si>
  <si>
    <t xml:space="preserve">Aucune fiche cellule EVE/CATL ne donne de RTE chiffre</t>
  </si>
  <si>
    <t xml:space="preserve">-</t>
  </si>
  <si>
    <t xml:space="preserve">ESTIMATION GENERIQUE - non verifiee</t>
  </si>
  <si>
    <t xml:space="preserve">Autodecharge mensuelle</t>
  </si>
  <si>
    <t xml:space="preserve">% par mois (max)</t>
  </si>
  <si>
    <t xml:space="preserve">&lt;=3%/mois</t>
  </si>
  <si>
    <t xml:space="preserve">% par mois</t>
  </si>
  <si>
    <t xml:space="preserve">3,5% le 1er mois puis 3,0%/mois ensuite, 25+/-2 C</t>
  </si>
  <si>
    <t xml:space="preserve">% sur 30 jours (max)</t>
  </si>
  <si>
    <t xml:space="preserve">Retention &gt;=95% apres 30 j en circuit ouvert (recuperation &gt;=97%)</t>
  </si>
  <si>
    <t xml:space="preserve">Exploitation</t>
  </si>
  <si>
    <t xml:space="preserve">Profondeur de decharge (DoD) recommandee</t>
  </si>
  <si>
    <t xml:space="preserve">Fenetre SOC recommandee 10%-90%</t>
  </si>
  <si>
    <t xml:space="preserve">BYD - MC Cube C&amp;I MC-P200B466-E-R2M01 (466 kWh)</t>
  </si>
  <si>
    <t xml:space="preserve">'Depth of Discharge (DoD) 100%' ; 466 kWh BOL -&gt; 447 kWh DC utile @FAT</t>
  </si>
  <si>
    <t xml:space="preserve">14/07/2023 (V1.0)</t>
  </si>
  <si>
    <t xml:space="preserve">Verifie - fiche fabricant (via distributeur BayWa r.e.)</t>
  </si>
  <si>
    <t xml:space="preserve">Non indiquee</t>
  </si>
  <si>
    <t xml:space="preserve">Essai de cyclage sur fenetre complete 2,5-3,65 V</t>
  </si>
  <si>
    <t xml:space="preserve">Taux de charge/decharge (C-rate) continu</t>
  </si>
  <si>
    <t xml:space="preserve">C (standard)</t>
  </si>
  <si>
    <t xml:space="preserve">Standard 0,5C ; max. continu 1C/1C (charge 1C entre 0 et 45 C)</t>
  </si>
  <si>
    <t xml:space="preserve">C (max. continu)</t>
  </si>
  <si>
    <t xml:space="preserve">Standard 0,5C/0,5C ; continu 1C/1C</t>
  </si>
  <si>
    <t xml:space="preserve">P (max. continu)</t>
  </si>
  <si>
    <t xml:space="preserve">Charge et decharge max. continues 0,5P a 25 C (en puissance)</t>
  </si>
  <si>
    <t xml:space="preserve">P</t>
  </si>
  <si>
    <t xml:space="preserve">153 A nominal ; variante 285 Ah = 1P</t>
  </si>
  <si>
    <t xml:space="preserve">C (systeme)</t>
  </si>
  <si>
    <t xml:space="preserve">200 kW / 466 kWh (C-rate non indique)</t>
  </si>
  <si>
    <t xml:space="preserve">2 x 1253 kW / 5010 kWh</t>
  </si>
  <si>
    <t xml:space="preserve">Envision - EN 5 Pro (2,5 MW / 5 MWh)</t>
  </si>
  <si>
    <t xml:space="preserve">2,5 MW / 5 MWh</t>
  </si>
  <si>
    <t xml:space="preserve">2025 (The smarter E Europe)</t>
  </si>
  <si>
    <t xml:space="preserve">Calcule a partir de la fiche (formule) (communique)</t>
  </si>
  <si>
    <t xml:space="preserve">https://www.ess-news.com/?p=5160</t>
  </si>
  <si>
    <t xml:space="preserve">Taux de decharge (C-rate) pointe</t>
  </si>
  <si>
    <t xml:space="preserve">C pendant 30 s</t>
  </si>
  <si>
    <t xml:space="preserve">Charge/decharge 2C/2C (30 s)</t>
  </si>
  <si>
    <t xml:space="preserve">C pendant &lt; 1 min</t>
  </si>
  <si>
    <t xml:space="preserve">Courant max. 195,8 A &lt; 1 min (cellule 306 Ah)</t>
  </si>
  <si>
    <t xml:space="preserve">jusqu'a 10</t>
  </si>
  <si>
    <t xml:space="preserve">C</t>
  </si>
  <si>
    <t xml:space="preserve">Non confirme : les fiches ESS consultees plafonnent a 2C (30 s)</t>
  </si>
  <si>
    <t xml:space="preserve">Vieillissement</t>
  </si>
  <si>
    <t xml:space="preserve">Duree de vie en cycles</t>
  </si>
  <si>
    <t xml:space="preserve">cycles (&gt;=)</t>
  </si>
  <si>
    <t xml:space="preserve">25 C, decharge 0,5C 2,5-3,65 V (DoD 100%), sous 300 kgf, fin de vie 80% capacite initiale</t>
  </si>
  <si>
    <t xml:space="preserve">45 C, memes conditions, fin de vie 80%</t>
  </si>
  <si>
    <t xml:space="preserve">25 C, 1C/1C, 2,5-3,65 V (DoD 100%), 300 kgf, fin de vie 80%</t>
  </si>
  <si>
    <t xml:space="preserve">45 C, 1C/1C, fin de vie 80%</t>
  </si>
  <si>
    <t xml:space="preserve">25 C, decharge 1C, DoD 100%, avec fixation 300 kgf (2500 sans), fin de vie 80%</t>
  </si>
  <si>
    <t xml:space="preserve">cycles</t>
  </si>
  <si>
    <t xml:space="preserve">25 C, 0,5P/0,5P, 2,5-3,65 V (DoD 100%), fin de vie 70% SOH</t>
  </si>
  <si>
    <t xml:space="preserve">cycles (jusqu'a)</t>
  </si>
  <si>
    <t xml:space="preserve">Cellule optionnelle 'super-long cycling' ; conditions (DoD, T, seuil) non indiquees</t>
  </si>
  <si>
    <t xml:space="preserve">25/08/2023 (datasheet EnerOne+)</t>
  </si>
  <si>
    <t xml:space="preserve">Fiche fabricant sans conditions (via 7sun)</t>
  </si>
  <si>
    <t xml:space="preserve">https://7sun.eu/wp-content/uploads/2025/08/datasheet-catl-enerone-407-3-kwh-0-5-c.pdf</t>
  </si>
  <si>
    <t xml:space="preserve">Jusqu'a 70% capacite ; DoD/temperature/C-rate non indiques</t>
  </si>
  <si>
    <t xml:space="preserve">cycles (~)</t>
  </si>
  <si>
    <t xml:space="preserve">'about 16,000 cycles' ; conditions non indiquees</t>
  </si>
  <si>
    <t xml:space="preserve">Annonce BYD (usage VE, ~1,2 million km)</t>
  </si>
  <si>
    <t xml:space="preserve">16/03/2021</t>
  </si>
  <si>
    <t xml:space="preserve">https://www.electrive.com/2021/03/16/byd-reveals-additional-blade-battery-specifications</t>
  </si>
  <si>
    <t xml:space="preserve">BYD - MC Cube / MC Cube-T</t>
  </si>
  <si>
    <t xml:space="preserve">Absente des fiches consultees</t>
  </si>
  <si>
    <t xml:space="preserve">Duree de vie calendaire</t>
  </si>
  <si>
    <t xml:space="preserve">ans</t>
  </si>
  <si>
    <t xml:space="preserve">Hypothese 'on the lower end of published values' ; ~1 cycle/jour ; augmentation via FOM 4%</t>
  </si>
  <si>
    <t xml:space="preserve">10 - 15+</t>
  </si>
  <si>
    <t xml:space="preserve">Aucune fiche fabricant consultee ne donne de duree calendaire en annees</t>
  </si>
  <si>
    <t xml:space="preserve">Periode sans degradation annoncee</t>
  </si>
  <si>
    <t xml:space="preserve">'zero degradation' puissance et capacite les 5 premieres annees</t>
  </si>
  <si>
    <t xml:space="preserve">Cellules pre-lithiees : 'zero degradation for the first three years'</t>
  </si>
  <si>
    <t xml:space="preserve">Degradation annuelle typique (calendaire)</t>
  </si>
  <si>
    <t xml:space="preserve">1.5 - 3</t>
  </si>
  <si>
    <t xml:space="preserve">% par an</t>
  </si>
  <si>
    <t xml:space="preserve">Non publiee dans les fiches consultees</t>
  </si>
  <si>
    <t xml:space="preserve">Contraintes operationnelles</t>
  </si>
  <si>
    <t xml:space="preserve">Plage de temperature (decharge)</t>
  </si>
  <si>
    <t xml:space="preserve">-20 a 55</t>
  </si>
  <si>
    <t xml:space="preserve">degres C (cellule)</t>
  </si>
  <si>
    <t xml:space="preserve">-30 a 60</t>
  </si>
  <si>
    <t xml:space="preserve">Absolue -35 a 65 C ; 0,5P de -20 a 55 C</t>
  </si>
  <si>
    <t xml:space="preserve">-25 a 55</t>
  </si>
  <si>
    <t xml:space="preserve">degres C (rack)</t>
  </si>
  <si>
    <t xml:space="preserve">Niveau rack (refroidissement liquide)</t>
  </si>
  <si>
    <t xml:space="preserve">-30 a 55</t>
  </si>
  <si>
    <t xml:space="preserve">degres C (ambiante)</t>
  </si>
  <si>
    <t xml:space="preserve">Derating &lt; -15 C et &gt; 45 C (identique MC Cube C&amp;I)</t>
  </si>
  <si>
    <t xml:space="preserve">Verifie - fiche fabricant (via ENF)</t>
  </si>
  <si>
    <t xml:space="preserve">-40 a 55</t>
  </si>
  <si>
    <t xml:space="preserve">Plage de fonctionnement annoncee</t>
  </si>
  <si>
    <t xml:space="preserve">Plage de temperature (charge)</t>
  </si>
  <si>
    <t xml:space="preserve">0 a 55</t>
  </si>
  <si>
    <t xml:space="preserve">Courant max. 1C seulement entre 0 et 45 C</t>
  </si>
  <si>
    <t xml:space="preserve">0 a 60</t>
  </si>
  <si>
    <t xml:space="preserve">0-10 C : 0,2C ; 10-45 C : 0,5C ; 45-55 C : &lt;=0,2C</t>
  </si>
  <si>
    <t xml:space="preserve">0,5P de 15 a 55 C ; 0,3P a 10 C ; 0,05P a 0 C</t>
  </si>
  <si>
    <t xml:space="preserve">Niveau rack (gestion thermique integree)</t>
  </si>
  <si>
    <t xml:space="preserve">Temperature optimale / recommandee</t>
  </si>
  <si>
    <t xml:space="preserve">10 a 45</t>
  </si>
  <si>
    <t xml:space="preserve">degres C</t>
  </si>
  <si>
    <t xml:space="preserve">Plage de temperature cellule recommandee</t>
  </si>
  <si>
    <t xml:space="preserve">Plage permettant la charge standard 0,5C</t>
  </si>
  <si>
    <t xml:space="preserve">Temperature optimale</t>
  </si>
  <si>
    <t xml:space="preserve">15 a 35</t>
  </si>
  <si>
    <t xml:space="preserve">degres C - pertinent pour climat marocain</t>
  </si>
  <si>
    <t xml:space="preserve">Non publiee telle quelle par les fabricants</t>
  </si>
  <si>
    <t xml:space="preserve">Economie</t>
  </si>
  <si>
    <t xml:space="preserve">Cout par kWh (cellule, 2025-2026)</t>
  </si>
  <si>
    <t xml:space="preserve">60 - 90</t>
  </si>
  <si>
    <t xml:space="preserve">USD/kWh</t>
  </si>
  <si>
    <t xml:space="preserve">BNEF ne publie pas le prix cellule LFP en acces libre</t>
  </si>
  <si>
    <t xml:space="preserve">Prix pack batterie - stockage stationnaire</t>
  </si>
  <si>
    <t xml:space="preserve">USD/kWh (2025)</t>
  </si>
  <si>
    <t xml:space="preserve">BloombergNEF - Battery Price Survey 2025</t>
  </si>
  <si>
    <t xml:space="preserve">Pack (cellules + BMS + boitier), -45% vs 2024</t>
  </si>
  <si>
    <t xml:space="preserve">09/12/2025</t>
  </si>
  <si>
    <t xml:space="preserve">https://about.bnef.com/insights/clean-transport/lithium-ion-battery-pack-prices-fall-to-108-per-kilowatt-hour-despite-rising-metal-prices-bloombergnef/</t>
  </si>
  <si>
    <t xml:space="preserve">Prix moyen pack LFP (tous segments)</t>
  </si>
  <si>
    <t xml:space="preserve">Cout par kWh (systeme BESS complet)</t>
  </si>
  <si>
    <t xml:space="preserve">USD2024/kWh (2024)</t>
  </si>
  <si>
    <t xml:space="preserve">Systeme 4 h, cout d'investissement 'overnight' (bottom-up)</t>
  </si>
  <si>
    <t xml:space="preserve">Cout par kWh (systeme BESS complet) - projection 2030</t>
  </si>
  <si>
    <t xml:space="preserve">USD2024/kWh</t>
  </si>
  <si>
    <t xml:space="preserve">Scenario median (bas 207 / haut 354)</t>
  </si>
  <si>
    <t xml:space="preserve">Cout par kWh (systeme BESS complet) - projection 2050</t>
  </si>
  <si>
    <t xml:space="preserve">Scenario median (bas 108 / haut 307)</t>
  </si>
  <si>
    <t xml:space="preserve">USD/kWh (2024)</t>
  </si>
  <si>
    <t xml:space="preserve">IRENA - Renewable Power Generation Costs in 2024</t>
  </si>
  <si>
    <t xml:space="preserve">Cout total installe BESS utility-scale (2 571 USD/kWh en 2010, -93%)</t>
  </si>
  <si>
    <t xml:space="preserve">07/2025</t>
  </si>
  <si>
    <t xml:space="preserve">https://www.irena.org/-/media/Files/IRENA/Agency/Publication/2025/Jul/IRENA_TEC_RPGC_in_2024_Summary_2025.pdf</t>
  </si>
  <si>
    <t xml:space="preserve">Cout par kWh (systeme BESS cle en main)</t>
  </si>
  <si>
    <t xml:space="preserve">BloombergNEF - Energy Storage System Cost Survey 2024</t>
  </si>
  <si>
    <t xml:space="preserve">Moyenne mondiale ; Chine 101, Chine 4 h 85, USA 236, Europe 275 ; hors EPC et raccordement</t>
  </si>
  <si>
    <t xml:space="preserve">05/02/2025</t>
  </si>
  <si>
    <t xml:space="preserve">https://www.energy-storage.news/behind-the-numbers-bnef-finds-40-year-on-year-drop-in-bess-costs/</t>
  </si>
  <si>
    <t xml:space="preserve">Cout par kWh (projet reel Maroc)</t>
  </si>
  <si>
    <t xml:space="preserve">USD/kWh (tout compris)</t>
  </si>
  <si>
    <t xml:space="preserve">OCP Green Energy - Benguerir 25 MW/125 MWh (fournisseur Envision)</t>
  </si>
  <si>
    <t xml:space="preserve">~170 M MAD = 17,98 M USD / 125 000 kWh ; modele Envision non publie</t>
  </si>
  <si>
    <t xml:space="preserve">16/09/2026</t>
  </si>
  <si>
    <t xml:space="preserve">Calcule a partir de la fiche (formule) (presse)</t>
  </si>
  <si>
    <t xml:space="preserve">https://www.energy-storage.news/moroccos-first-large-scale-lfp-battery-storage-system-prepares-for-action/</t>
  </si>
  <si>
    <t xml:space="preserve">Cout actualise du stockage (LCOS)</t>
  </si>
  <si>
    <t xml:space="preserve">USD/MWh (2025)</t>
  </si>
  <si>
    <t xml:space="preserve">BloombergNEF - LCOE benchmark</t>
  </si>
  <si>
    <t xml:space="preserve">Benchmark mondial batterie 4 h, -27% sur un an</t>
  </si>
  <si>
    <t xml:space="preserve">18/02/2026</t>
  </si>
  <si>
    <t xml:space="preserve">https://about.bnef.com/insights/clean-energy/battery-storage-costs-hit-record-lows-as-costs-of-other-clean-power-technologies-increased-bloombergnef/</t>
  </si>
  <si>
    <t xml:space="preserve">Variable selon usage</t>
  </si>
  <si>
    <t xml:space="preserve">USD/MWh - sortie cle du modele</t>
  </si>
  <si>
    <t xml:space="preserve">A calculer par le modele</t>
  </si>
  <si>
    <t xml:space="preserve">Legende</t>
  </si>
  <si>
    <t xml:space="preserve">Verifie : valeur lue dans une fiche technique fabricant ou un rapport de reference (NREL, IRENA, BNEF).</t>
  </si>
  <si>
    <t xml:space="preserve">Partiellement verifie : calcul derive d'une fiche (formule visible), communique de presse ou donnee revendeur.</t>
  </si>
  <si>
    <t xml:space="preserve">Non publie : le fabricant ne donne pas cette valeur dans les documents publics consultes.</t>
  </si>
  <si>
    <t xml:space="preserve">ESTIMATION GENERIQUE non verifiee : valeur d'origine du fichier, a signaler comme telle dans le rapport final.</t>
  </si>
  <si>
    <t xml:space="preserve">Valeurs en bleu = saisies depuis la source ; valeurs en noir = formules (calculs derives, detail dans 'Conditions / precisions').</t>
  </si>
  <si>
    <t xml:space="preserve">Les fiches EVE consultees sont des copies publiees sur des forums/revendeurs (akkudoktor.net, mikrocontroller.net, Shopify) : contenu fabricant, mais hebergement non officiel. Demander les fiches a jour a EVE pour le rapport final.</t>
  </si>
  <si>
    <t xml:space="preserve">CATL, BYD et Envision ne publient pas de fiche cellule ESS en acces libre : valeurs cellule issues des fiches systeme (CATL EnerOne+, BYD MC Cube), de revendeurs (Envision) ou de communiques.</t>
  </si>
  <si>
    <t xml:space="preserve">Cycles : les fabricants n'utilisent pas le meme seuil de fin de vie (80% pour EVE LF280K/N, 70% pour EVE MB31 et Envision) - ne pas comparer les valeurs brutes sans corriger ce seuil.</t>
  </si>
  <si>
    <t xml:space="preserve">Ces parametres sont les VARIABLES ACTIVES a integrer dans le modele systemique (physique + economie + optimisation). Ce sont elles que le moteur de calcul doit manipuler pour simuler les scenarios et architectures.</t>
  </si>
  <si>
    <t xml:space="preserve">Metadonnees descriptives - Batterie LFP</t>
  </si>
  <si>
    <t xml:space="preserve">Valeur typique</t>
  </si>
  <si>
    <t xml:space="preserve">Unite / Remarque</t>
  </si>
  <si>
    <t xml:space="preserve">Chimie / Composition</t>
  </si>
  <si>
    <t xml:space="preserve">Formule chimique</t>
  </si>
  <si>
    <t xml:space="preserve">LiFePO4 (cathode) / Graphite (anode)</t>
  </si>
  <si>
    <t xml:space="preserve">Contexte - justifie le choix technologique</t>
  </si>
  <si>
    <t xml:space="preserve">Famille</t>
  </si>
  <si>
    <t xml:space="preserve">Lithium-ion (Li-ion)</t>
  </si>
  <si>
    <t xml:space="preserve">Sous-famille phosphate</t>
  </si>
  <si>
    <t xml:space="preserve">Presence de cobalt</t>
  </si>
  <si>
    <t xml:space="preserve">Non</t>
  </si>
  <si>
    <t xml:space="preserve">Avantage cout et approvisionnement</t>
  </si>
  <si>
    <t xml:space="preserve">Securite</t>
  </si>
  <si>
    <t xml:space="preserve">Stabilite thermique</t>
  </si>
  <si>
    <t xml:space="preserve">Tres elevee</t>
  </si>
  <si>
    <t xml:space="preserve">Pas d'emballement thermique facile</t>
  </si>
  <si>
    <t xml:space="preserve">Temperature de decomposition thermique</t>
  </si>
  <si>
    <t xml:space="preserve">&gt; 270</t>
  </si>
  <si>
    <t xml:space="preserve">degres C (vs ~150-210 pour NMC)</t>
  </si>
  <si>
    <t xml:space="preserve">Risque d'emballement thermique (thermal runaway)</t>
  </si>
  <si>
    <t xml:space="preserve">Faible</t>
  </si>
  <si>
    <t xml:space="preserve">Le plus sur des Li-ion commerciales</t>
  </si>
  <si>
    <t xml:space="preserve">Degagement d'oxygene en cas de defaillance</t>
  </si>
  <si>
    <t xml:space="preserve">Structure cristalline olivine stable</t>
  </si>
  <si>
    <t xml:space="preserve">Applications typiques</t>
  </si>
  <si>
    <t xml:space="preserve">Stockage stationnaire reseau (BESS)</t>
  </si>
  <si>
    <t xml:space="preserve">Tres adapte</t>
  </si>
  <si>
    <t xml:space="preserve">Usage principal actuel</t>
  </si>
  <si>
    <t xml:space="preserve">Couplage avec solaire PV</t>
  </si>
  <si>
    <t xml:space="preserve">Lissage production / ecretage</t>
  </si>
  <si>
    <t xml:space="preserve">Vehicules electriques</t>
  </si>
  <si>
    <t xml:space="preserve">Adapte (entree/moyenne gamme)</t>
  </si>
  <si>
    <t xml:space="preserve">Hors scope du projet</t>
  </si>
  <si>
    <t xml:space="preserve">Stockage residentiel</t>
  </si>
  <si>
    <t xml:space="preserve">Applications longue duree (4h+)</t>
  </si>
  <si>
    <t xml:space="preserve">Adapte</t>
  </si>
  <si>
    <t xml:space="preserve">Limite au-dela de 8-10h (cout croissant)</t>
  </si>
  <si>
    <t xml:space="preserve">Environnement / Fin de vie</t>
  </si>
  <si>
    <t xml:space="preserve">Recyclabilite</t>
  </si>
  <si>
    <t xml:space="preserve">Elevee</t>
  </si>
  <si>
    <t xml:space="preserve">Procedes hydrometallurgiques matures</t>
  </si>
  <si>
    <t xml:space="preserve">Toxicite des materiaux</t>
  </si>
  <si>
    <t xml:space="preserve">Pas de cobalt ni nickel</t>
  </si>
  <si>
    <t xml:space="preserve">Disponibilite des matieres premieres</t>
  </si>
  <si>
    <t xml:space="preserve">Bonne</t>
  </si>
  <si>
    <t xml:space="preserve">Fer et phosphate abondants</t>
  </si>
  <si>
    <t xml:space="preserve">Marche / Tendance</t>
  </si>
  <si>
    <t xml:space="preserve">Tendance de prix</t>
  </si>
  <si>
    <t xml:space="preserve">Baisse continue</t>
  </si>
  <si>
    <t xml:space="preserve">Economies d'echelle + matieres premieres abondantes</t>
  </si>
  <si>
    <t xml:space="preserve">Ces parametres sont des METADONNEES DESCRIPTIVES: utiles pour justifier le choix de la technologie LFP et pour le rapport/contexte du projet, mais ne sont PAS des variables que le modele systemique doit manipuler dans ses calculs.</t>
  </si>
  <si>
    <t xml:space="preserve">Prix des batteries LFP - References internationales et marocaines</t>
  </si>
  <si>
    <t xml:space="preserve">Reference / Projet</t>
  </si>
  <si>
    <t xml:space="preserve">Prix</t>
  </si>
  <si>
    <t xml:space="preserve">Date / Annee</t>
  </si>
  <si>
    <t xml:space="preserve">Prix mondiaux - BloombergNEF</t>
  </si>
  <si>
    <t xml:space="preserve">Prix moyen pack batterie (tous usages confondus)</t>
  </si>
  <si>
    <t xml:space="preserve">108</t>
  </si>
  <si>
    <t xml:space="preserve">2025 (releve decembre 2025)</t>
  </si>
  <si>
    <t xml:space="preserve">https://about.bnef.com/insights/clean-energy/lithium-ion-battery-pack-prices-fall-to-108-per-kilowatt-hour</t>
  </si>
  <si>
    <t xml:space="preserve">Prix pack batterie - stockage stationnaire (BESS)</t>
  </si>
  <si>
    <t xml:space="preserve">70</t>
  </si>
  <si>
    <t xml:space="preserve">2025, -45% vs 2024</t>
  </si>
  <si>
    <t xml:space="preserve">81</t>
  </si>
  <si>
    <t xml:space="preserve">2025</t>
  </si>
  <si>
    <t xml:space="preserve">Prix moyen pack NMC (comparaison)</t>
  </si>
  <si>
    <t xml:space="preserve">128</t>
  </si>
  <si>
    <t xml:space="preserve">Prix moyen Chine (le plus bas au monde)</t>
  </si>
  <si>
    <t xml:space="preserve">84</t>
  </si>
  <si>
    <t xml:space="preserve">Prevision prix moyen pack</t>
  </si>
  <si>
    <t xml:space="preserve">105</t>
  </si>
  <si>
    <t xml:space="preserve">2026 (prevision, -3%)</t>
  </si>
  <si>
    <t xml:space="preserve">https://www.bloomberg.com/news/articles/2025-12-09/bnef-why-global-battery-prices-are-expected-to-fall-in-2026</t>
  </si>
  <si>
    <t xml:space="preserve">Projets reels au Maroc</t>
  </si>
  <si>
    <t xml:space="preserve">OCP Green Energy - Benguerir (BESS 25MW/125MWh, cle en main, fournisseur Envision)</t>
  </si>
  <si>
    <t xml:space="preserve">~124</t>
  </si>
  <si>
    <t xml:space="preserve">USD/kWh (equivalent, systeme complet)</t>
  </si>
  <si>
    <t xml:space="preserve">Mis sous tension sept. 2026</t>
  </si>
  <si>
    <t xml:space="preserve">https://lematin.ma/economie/energie-solaire-ocp-deploie-a-benguerir-125-mwh-de-stockage-par-batteries/365144/amp</t>
  </si>
  <si>
    <t xml:space="preserve">OCP Benguerir - cout total du projet</t>
  </si>
  <si>
    <t xml:space="preserve">170</t>
  </si>
  <si>
    <t xml:space="preserve">Millions MAD (total, tout compris)</t>
  </si>
  <si>
    <t xml:space="preserve">2026</t>
  </si>
  <si>
    <t xml:space="preserve">ONEE El Guerguarat - centrale hybride solaire-diesel + BESS 1.5MWh (projet complet, pas prix batterie seule)</t>
  </si>
  <si>
    <t xml:space="preserve">61.8</t>
  </si>
  <si>
    <t xml:space="preserve">Millions MAD (projet complet: PV+BESS+diesel)</t>
  </si>
  <si>
    <t xml:space="preserve">Aout 2025</t>
  </si>
  <si>
    <t xml:space="preserve">https://medias24.com/2025/08/08/onee-lancement-de-lappel-doffres-pour-une-centrale-hybride-solaire-diesel-a-el-guerguarat/</t>
  </si>
  <si>
    <t xml:space="preserve">MASEN - Testbed stockage Noor Ouarzazate (plateforme R&amp;D, equipements)</t>
  </si>
  <si>
    <t xml:space="preserve">3.25</t>
  </si>
  <si>
    <t xml:space="preserve">Millions USD (appel d'offres equipements)</t>
  </si>
  <si>
    <t xml:space="preserve">Mai 2025 - mai 2026</t>
  </si>
  <si>
    <t xml:space="preserve">https://ledesk.ma/encontinu/stockage-denergie-la-banque-mondiale-approuve-le-plan-de-passation-des-marches-pour-un-projet-pilote-de-masen/</t>
  </si>
  <si>
    <t xml:space="preserve">MASEN - Testbed stockage Noor Ouarzazate - cout global projet</t>
  </si>
  <si>
    <t xml:space="preserve">4.5</t>
  </si>
  <si>
    <t xml:space="preserve">Millions USD (projet complet)</t>
  </si>
  <si>
    <t xml:space="preserve">ONEE - EIES (etude d'impact) programme BESS 1600 MWh / 10 sites</t>
  </si>
  <si>
    <t xml:space="preserve">1.8</t>
  </si>
  <si>
    <t xml:space="preserve">Millions MAD (etude seule, pas le BESS)</t>
  </si>
  <si>
    <t xml:space="preserve">https://www.lavieeco.com/?p=415255</t>
  </si>
  <si>
    <t xml:space="preserve">ONEE - Plan d'equipement global 2025-2030 (tout le secteur electrique, dont BESS 1600 MWh)</t>
  </si>
  <si>
    <t xml:space="preserve">220</t>
  </si>
  <si>
    <t xml:space="preserve">Milliards MAD (enveloppe globale, pas specifique BESS)</t>
  </si>
  <si>
    <t xml:space="preserve">2025-2030</t>
  </si>
  <si>
    <t xml:space="preserve">https://lematin.ma/economie/onee-220-milliards-de-dh-pour-le-plan-dequipement-2025-2030/274866/amp</t>
  </si>
  <si>
    <t xml:space="preserve">Fabrication locale</t>
  </si>
  <si>
    <t xml:space="preserve">Batterie lithium-ion produite au Maroc vs equivalent asiatique</t>
  </si>
  <si>
    <t xml:space="preserve">-36</t>
  </si>
  <si>
    <t xml:space="preserve">% moins cher (competitivite-prix)</t>
  </si>
  <si>
    <t xml:space="preserve">2025-2026</t>
  </si>
  <si>
    <t xml:space="preserve">https://fr.hespress.com/435561-435561.html</t>
  </si>
  <si>
    <t xml:space="preserve">Notes: les prix 'systeme complet' au Maroc incluent souvent l'installation, le genie civil et l'integration (pas seulement la batterie), donc ils sont plus eleves que les prix 'pack' BNEF (cellules + BMS uniquement). Pour un modele economique, utiliser les prix BNEF comme base technologique et les ratios marocains reels (ex: Benguerir ~124 USD/kWh tout compris) comme calibration locale. Les prix evoluent vite: revalider aupres des sources avant usage final.</t>
  </si>
  <si>
    <t xml:space="preserve">Journal des sources consultees (21/10/2026)</t>
  </si>
  <si>
    <t xml:space="preserve">Fabricant / organisme</t>
  </si>
  <si>
    <t xml:space="preserve">Document</t>
  </si>
  <si>
    <t xml:space="preserve">Date / version</t>
  </si>
  <si>
    <t xml:space="preserve">Acces</t>
  </si>
  <si>
    <t xml:space="preserve">Remarque</t>
  </si>
  <si>
    <t xml:space="preserve">Lien</t>
  </si>
  <si>
    <t xml:space="preserve">EVE Energy</t>
  </si>
  <si>
    <t xml:space="preserve">Product Specification LF280K 3.2V 280Ah</t>
  </si>
  <si>
    <t xml:space="preserve">16/01/2021, v.A</t>
  </si>
  <si>
    <t xml:space="preserve">Lu (copie tierce)</t>
  </si>
  <si>
    <t xml:space="preserve">Fiche fabricant hebergee sur akkudoktor.net</t>
  </si>
  <si>
    <t xml:space="preserve">Product Specification LF280N 3.2V 280Ah</t>
  </si>
  <si>
    <t xml:space="preserve">22/12/2019, v.A</t>
  </si>
  <si>
    <t xml:space="preserve">Product Specification LF280 3.2V 280Ah</t>
  </si>
  <si>
    <t xml:space="preserve">30/04/2019, v.E</t>
  </si>
  <si>
    <t xml:space="preserve">Version ancienne, conservee pour comparaison</t>
  </si>
  <si>
    <t xml:space="preserve">EVE Energy (EVE Power)</t>
  </si>
  <si>
    <t xml:space="preserve">Product Specification Prismatic LFP Cell MB31 (314Ah)</t>
  </si>
  <si>
    <t xml:space="preserve">20/11/2023, v.A</t>
  </si>
  <si>
    <t xml:space="preserve">Fiche hebergee par un revendeur (Shopify)</t>
  </si>
  <si>
    <t xml:space="preserve">Fiche LF304</t>
  </si>
  <si>
    <t xml:space="preserve">Non trouvee</t>
  </si>
  <si>
    <t xml:space="preserve">Aucune fiche LF304 accessible publiquement</t>
  </si>
  <si>
    <t xml:space="preserve">CATL</t>
  </si>
  <si>
    <t xml:space="preserve">0.5P EnerOne+ Outdoor Liquid Cooling Rack - Product Specification</t>
  </si>
  <si>
    <t xml:space="preserve">22/08/2023, v2.0</t>
  </si>
  <si>
    <t xml:space="preserve">Lu (via distributeur 7sun)</t>
  </si>
  <si>
    <t xml:space="preserve">Donne cellule 306Ah/979,2 Wh, pas de RTE, cycles ni duree de vie</t>
  </si>
  <si>
    <t xml:space="preserve">EnerOne+ Introduction (datasheet)</t>
  </si>
  <si>
    <t xml:space="preserve">25/08/2023</t>
  </si>
  <si>
    <t xml:space="preserve">'up to 12,000 cycles' sans conditions</t>
  </si>
  <si>
    <t xml:space="preserve">Communique TENER</t>
  </si>
  <si>
    <t xml:space="preserve">Lu</t>
  </si>
  <si>
    <t xml:space="preserve">430 Wh/L, 5 ans sans degradation</t>
  </si>
  <si>
    <t xml:space="preserve">Fiche cellule LFP 280Ah/314Ah / EnerC</t>
  </si>
  <si>
    <t xml:space="preserve">Non publique</t>
  </si>
  <si>
    <t xml:space="preserve">Aucune fiche cellule CATL officielle trouvee ; un PDF 'LFP71173207' circulant comme CATL est en fait de Xiamen Haichen (Hithium) - non utilise</t>
  </si>
  <si>
    <t xml:space="preserve">BYD</t>
  </si>
  <si>
    <t xml:space="preserve">MC Cube C&amp;I (MC-P200B466-E-R2M01) datasheet</t>
  </si>
  <si>
    <t xml:space="preserve">14/07/2023, V1.0</t>
  </si>
  <si>
    <t xml:space="preserve">Lu (via BayWa r.e.)</t>
  </si>
  <si>
    <t xml:space="preserve">DoD 100%, -30/+55 C ; pas de RTE ni cycles</t>
  </si>
  <si>
    <t xml:space="preserve">MC Cube-T BESS datasheet</t>
  </si>
  <si>
    <t xml:space="preserve">n.d. (publie 08/2025)</t>
  </si>
  <si>
    <t xml:space="preserve">Lu (via ENF Solar)</t>
  </si>
  <si>
    <t xml:space="preserve">Energies, puissances, poids ; pas de RTE ni cycles</t>
  </si>
  <si>
    <t xml:space="preserve">Article lancement MC Cube-T (Gasgoo)</t>
  </si>
  <si>
    <t xml:space="preserve">15/04/2024</t>
  </si>
  <si>
    <t xml:space="preserve">Description qualitative (6,432 MWh, CTS)</t>
  </si>
  <si>
    <t xml:space="preserve">https://autonews.gasgoo.com/articles/news/byd-launches-all-new-energy-storage-system-mc-cube-t-70032455</t>
  </si>
  <si>
    <t xml:space="preserve">Blade : electrive / Lacey / Wikipedia</t>
  </si>
  <si>
    <t xml:space="preserve">2021-2026</t>
  </si>
  <si>
    <t xml:space="preserve">Donnees cellule VE, indicatives seulement</t>
  </si>
  <si>
    <t xml:space="preserve">Envision</t>
  </si>
  <si>
    <t xml:space="preserve">Cellule ESS 72173207-315A (revendeur NKON)</t>
  </si>
  <si>
    <t xml:space="preserve">n.d.</t>
  </si>
  <si>
    <t xml:space="preserve">Pas de fiche officielle ; donnees revendeur</t>
  </si>
  <si>
    <t xml:space="preserve">BESS 8 MWh (ETN News / ESS News)</t>
  </si>
  <si>
    <t xml:space="preserve">RTE 96%, ~16 000 cycles, &gt;440 Wh/L</t>
  </si>
  <si>
    <t xml:space="preserve">EN 5 Pro (ESS News)</t>
  </si>
  <si>
    <t xml:space="preserve">-40/+55 C, 3 ans sans degradation</t>
  </si>
  <si>
    <t xml:space="preserve">OCP / Envision</t>
  </si>
  <si>
    <t xml:space="preserve">Projet Benguerir 25 MW/125 MWh (Energy-Storage.news, Evertiq)</t>
  </si>
  <si>
    <t xml:space="preserve">16/09/2026 ; 28/09/2026</t>
  </si>
  <si>
    <t xml:space="preserve">Modele Envision, cellules et rendement non publies</t>
  </si>
  <si>
    <t xml:space="preserve">NREL</t>
  </si>
  <si>
    <t xml:space="preserve">Cost Projections for Utility-Scale Battery Storage: 2025 Update (NREL/TP-6A40-93281)</t>
  </si>
  <si>
    <t xml:space="preserve">RTE 85%, 15 ans, couts 4 h</t>
  </si>
  <si>
    <t xml:space="preserve">IRENA</t>
  </si>
  <si>
    <t xml:space="preserve">Renewable Power Generation Costs in 2024 (resume)</t>
  </si>
  <si>
    <t xml:space="preserve">192 USD/kWh en 2024</t>
  </si>
  <si>
    <t xml:space="preserve">BloombergNEF</t>
  </si>
  <si>
    <t xml:space="preserve">Battery Price Survey 2025 (communique)</t>
  </si>
  <si>
    <t xml:space="preserve">Pack stationnaire 70 USD/kWh ; rapport complet payant</t>
  </si>
  <si>
    <t xml:space="preserve">Energy Storage System Cost Survey 2024 (via Energy-Storage.news)</t>
  </si>
  <si>
    <t xml:space="preserve">Turnkey 165 USD/kWh moyenne mondiale</t>
  </si>
  <si>
    <t xml:space="preserve">LCOE benchmark 2025 (communique)</t>
  </si>
  <si>
    <t xml:space="preserve">Stockage 4 h : 78 USD/MWh</t>
  </si>
  <si>
    <t xml:space="preserve">Valeurs exactes issues de fiches techniques fabricants (cellules LFP reelles)</t>
  </si>
  <si>
    <t xml:space="preserve">Fabricant</t>
  </si>
  <si>
    <t xml:space="preserve">Modele / Cellule</t>
  </si>
  <si>
    <t xml:space="preserve">Valeur exacte</t>
  </si>
  <si>
    <t xml:space="preserve">Conditions de test</t>
  </si>
  <si>
    <t xml:space="preserve">EnerOne+ (cellule 306Ah)</t>
  </si>
  <si>
    <t xml:space="preserve">Capacite cellule</t>
  </si>
  <si>
    <t xml:space="preserve">306</t>
  </si>
  <si>
    <t xml:space="preserve">Grade standard</t>
  </si>
  <si>
    <t xml:space="preserve">https://lifepo4.com.au/tag/3-2v/</t>
  </si>
  <si>
    <t xml:space="preserve">Tension (plage)</t>
  </si>
  <si>
    <t xml:space="preserve">2.5 - 3.65</t>
  </si>
  <si>
    <t xml:space="preserve">979.2</t>
  </si>
  <si>
    <t xml:space="preserve">Calculee: 306Ah x 3.2V</t>
  </si>
  <si>
    <t xml:space="preserve">EnerOne (rack complet)</t>
  </si>
  <si>
    <t xml:space="preserve">Capacite rack</t>
  </si>
  <si>
    <t xml:space="preserve">372.7 - 407.3</t>
  </si>
  <si>
    <t xml:space="preserve">kWh</t>
  </si>
  <si>
    <t xml:space="preserve">Selon cellule choisie (280/285/306Ah)</t>
  </si>
  <si>
    <t xml:space="preserve">https://7sun.eu/produkt/catl-enerone-379-4-kwh-1-c/</t>
  </si>
  <si>
    <t xml:space="preserve">Plage de temperature</t>
  </si>
  <si>
    <t xml:space="preserve">-30 a +55</t>
  </si>
  <si>
    <t xml:space="preserve">Applications exterieures, IP66</t>
  </si>
  <si>
    <t xml:space="preserve">https://lifepo4.com.au/catl-enerone-1p-liquid-cooled-cabinet/</t>
  </si>
  <si>
    <t xml:space="preserve">EnerOne 314Ah (nouvelle generation EnerD)</t>
  </si>
  <si>
    <t xml:space="preserve">10000</t>
  </si>
  <si>
    <t xml:space="preserve">Cellule 314Ah nouvelle generation</t>
  </si>
  <si>
    <t xml:space="preserve">EnerOne (cellule optionnelle longue duree)</t>
  </si>
  <si>
    <t xml:space="preserve">Duree de vie en cycles (option)</t>
  </si>
  <si>
    <t xml:space="preserve">12000</t>
  </si>
  <si>
    <t xml:space="preserve">Cellule optionnelle super-longue duree</t>
  </si>
  <si>
    <t xml:space="preserve">EnerOne (systeme liquid cooling)</t>
  </si>
  <si>
    <t xml:space="preserve">Difference de temperature inter-cellule</t>
  </si>
  <si>
    <t xml:space="preserve">3</t>
  </si>
  <si>
    <t xml:space="preserve">degres C max</t>
  </si>
  <si>
    <t xml:space="preserve">Gain de 33% sur duree de vie</t>
  </si>
  <si>
    <t xml:space="preserve">EnerOne 280Ah</t>
  </si>
  <si>
    <t xml:space="preserve">8000</t>
  </si>
  <si>
    <t xml:space="preserve">Cellule 280Ah standard</t>
  </si>
  <si>
    <t xml:space="preserve">https://www.scribd.com/document/827348338/CATL-EnerOne</t>
  </si>
  <si>
    <t xml:space="preserve">Cellule 314Ah (vente directe)</t>
  </si>
  <si>
    <t xml:space="preserve">Format</t>
  </si>
  <si>
    <t xml:space="preserve">Prismatique</t>
  </si>
  <si>
    <t xml:space="preserve">Format standard BESS</t>
  </si>
  <si>
    <t xml:space="preserve">https://lifepo4.com.au/shop/cells-lifepo4/special_order/catl-shipped-from-china/catl-314ah-3-2v-lifepo4-cell-genuine-new-grade-a/</t>
  </si>
  <si>
    <t xml:space="preserve">LF280K v3</t>
  </si>
  <si>
    <t xml:space="preserve">280 (mesure reelle jusqu'a 309-312)</t>
  </si>
  <si>
    <t xml:space="preserve">Grade A</t>
  </si>
  <si>
    <t xml:space="preserve">https://www.nkon.nl/en/rechargeable/lifepo4/prismatisch/eve-lf280-prismatic-280ah-280a-lifepo4-threaded.html</t>
  </si>
  <si>
    <t xml:space="preserve">Tension nominale</t>
  </si>
  <si>
    <t xml:space="preserve">3.2</t>
  </si>
  <si>
    <t xml:space="preserve">https://www.18650batterystore.com/collections/lifepo4-prismatic-cells/products/eve-lf280k</t>
  </si>
  <si>
    <t xml:space="preserve">Tension de charge complete</t>
  </si>
  <si>
    <t xml:space="preserve">3.65</t>
  </si>
  <si>
    <t xml:space="preserve">Tension de coupure decharge</t>
  </si>
  <si>
    <t xml:space="preserve">2.5</t>
  </si>
  <si>
    <t xml:space="preserve">Taux de decharge continu</t>
  </si>
  <si>
    <t xml:space="preserve">1C (280A)</t>
  </si>
  <si>
    <t xml:space="preserve">C-rate</t>
  </si>
  <si>
    <t xml:space="preserve">Taux de charge max</t>
  </si>
  <si>
    <t xml:space="preserve">LF280K v3 (Grade A standard)</t>
  </si>
  <si>
    <t xml:space="preserve">6000 - 8000</t>
  </si>
  <si>
    <t xml:space="preserve">0.5C/0.5C, jusqu'a 80% capacite</t>
  </si>
  <si>
    <t xml:space="preserve">https://lifepo4.com.au/?p=6993</t>
  </si>
  <si>
    <t xml:space="preserve">LF280K v3 (Grade A+ premium)</t>
  </si>
  <si>
    <t xml:space="preserve">0.5C/0.5C, pression 280-320kg, Grade A+</t>
  </si>
  <si>
    <t xml:space="preserve">Dimensions (L x l x H)</t>
  </si>
  <si>
    <t xml:space="preserve">72 x 174 x 207 (ou 72 x 207.5 x 172.5 selon fournisseur)</t>
  </si>
  <si>
    <t xml:space="preserve">Variation selon source/version</t>
  </si>
  <si>
    <t xml:space="preserve">~5.4</t>
  </si>
  <si>
    <t xml:space="preserve">Gamme generale (ex: LF80)</t>
  </si>
  <si>
    <t xml:space="preserve">Densite energetique</t>
  </si>
  <si>
    <t xml:space="preserve">154 - 156</t>
  </si>
  <si>
    <t xml:space="preserve">Wh/kg</t>
  </si>
  <si>
    <t xml:space="preserve">Cellules milieu de gamme (50-82Ah)</t>
  </si>
  <si>
    <t xml:space="preserve">LF304 (nouvelle generation)</t>
  </si>
  <si>
    <t xml:space="preserve">4000</t>
  </si>
  <si>
    <t xml:space="preserve">0.5C/0.5C</t>
  </si>
  <si>
    <t xml:space="preserve">IMPORTANT: ces valeurs proviennent de revendeurs/integrateurs tiers (sites de vente de cellules, distributeurs) qui relaient les fiches techniques officielles CATL et EVE, car les PDF datasheets originaux des fabricants ne sont pas tous directement accessibles publiquement. Les valeurs de duree de vie varient selon le grade (standard vs A+) et les conditions de test (C-rate, DoD, temperature) - toujours verifier ces conditions avant d'utiliser une valeur dans le modele. BYD et Envision n'ont pas encore de fiche detaillee trouvee ici - recherche a completer.</t>
  </si>
</sst>
</file>

<file path=xl/styles.xml><?xml version="1.0" encoding="utf-8"?>
<styleSheet xmlns="http://schemas.openxmlformats.org/spreadsheetml/2006/main">
  <numFmts count="4">
    <numFmt numFmtId="164" formatCode="General"/>
    <numFmt numFmtId="165" formatCode="0"/>
    <numFmt numFmtId="166" formatCode="0.00"/>
    <numFmt numFmtId="167" formatCode="0.0%"/>
  </numFmts>
  <fonts count="16">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9"/>
      <color rgb="FF666666"/>
      <name val="Arial"/>
      <family val="0"/>
      <charset val="1"/>
    </font>
    <font>
      <b val="true"/>
      <sz val="11"/>
      <color rgb="FFFFFFFF"/>
      <name val="Arial"/>
      <family val="0"/>
      <charset val="1"/>
    </font>
    <font>
      <b val="true"/>
      <sz val="11"/>
      <name val="Arial"/>
      <family val="0"/>
      <charset val="1"/>
    </font>
    <font>
      <sz val="10"/>
      <name val="Arial"/>
      <family val="0"/>
      <charset val="1"/>
    </font>
    <font>
      <sz val="10"/>
      <color rgb="FF0000FF"/>
      <name val="Arial"/>
      <family val="0"/>
      <charset val="1"/>
    </font>
    <font>
      <u val="single"/>
      <sz val="9"/>
      <color rgb="FF0563C1"/>
      <name val="Arial"/>
      <family val="0"/>
      <charset val="1"/>
    </font>
    <font>
      <sz val="10"/>
      <color rgb="FF000000"/>
      <name val="Arial"/>
      <family val="0"/>
      <charset val="1"/>
    </font>
    <font>
      <b val="true"/>
      <sz val="10"/>
      <name val="Arial"/>
      <family val="0"/>
      <charset val="1"/>
    </font>
    <font>
      <sz val="9"/>
      <name val="Arial"/>
      <family val="0"/>
      <charset val="1"/>
    </font>
    <font>
      <sz val="9"/>
      <color rgb="FF666666"/>
      <name val="Arial"/>
      <family val="0"/>
      <charset val="1"/>
    </font>
    <font>
      <u val="single"/>
      <sz val="10"/>
      <color rgb="FF1155CC"/>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F2F2F2"/>
        <bgColor rgb="FFEDEDED"/>
      </patternFill>
    </fill>
    <fill>
      <patternFill patternType="solid">
        <fgColor rgb="FFE2EFDA"/>
        <bgColor rgb="FFEDEDED"/>
      </patternFill>
    </fill>
    <fill>
      <patternFill patternType="solid">
        <fgColor rgb="FFFFF2CC"/>
        <bgColor rgb="FFF2F2F2"/>
      </patternFill>
    </fill>
    <fill>
      <patternFill patternType="solid">
        <fgColor rgb="FFEDEDED"/>
        <bgColor rgb="FFF2F2F2"/>
      </patternFill>
    </fill>
    <fill>
      <patternFill patternType="solid">
        <fgColor rgb="FFF8CBAD"/>
        <bgColor rgb="FFFFF2C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5" fontId="11" fillId="5" borderId="1" xfId="0" applyFont="true" applyBorder="true" applyAlignment="true" applyProtection="false">
      <alignment horizontal="center" vertical="top" textRotation="0" wrapText="true" indent="0" shrinkToFit="false"/>
      <protection locked="true" hidden="false"/>
    </xf>
    <xf numFmtId="166" fontId="11" fillId="5"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7" fontId="8" fillId="4" borderId="1" xfId="0" applyFont="true" applyBorder="true" applyAlignment="true" applyProtection="false">
      <alignment horizontal="center" vertical="top" textRotation="0" wrapText="true" indent="0" shrinkToFit="false"/>
      <protection locked="true" hidden="false"/>
    </xf>
    <xf numFmtId="167" fontId="8" fillId="5" borderId="1" xfId="0" applyFont="true" applyBorder="true" applyAlignment="true" applyProtection="false">
      <alignment horizontal="center" vertical="top" textRotation="0" wrapText="true" indent="0" shrinkToFit="false"/>
      <protection locked="true" hidden="false"/>
    </xf>
    <xf numFmtId="164" fontId="8" fillId="7" borderId="1" xfId="0" applyFont="true" applyBorder="true" applyAlignment="true" applyProtection="false">
      <alignment horizontal="center"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6" fillId="2" borderId="2" xfId="0" applyFont="true" applyBorder="true" applyAlignment="true" applyProtection="false">
      <alignment horizontal="center" vertical="center" textRotation="0" wrapText="false" indent="0" shrinkToFit="false"/>
      <protection locked="true" hidden="false"/>
    </xf>
    <xf numFmtId="164" fontId="7" fillId="3" borderId="2" xfId="0" applyFont="true" applyBorder="true" applyAlignment="true" applyProtection="false">
      <alignment horizontal="general" vertical="center" textRotation="0" wrapText="true" indent="0" shrinkToFit="false"/>
      <protection locked="true" hidden="false"/>
    </xf>
    <xf numFmtId="164" fontId="8" fillId="3" borderId="2" xfId="0" applyFont="true" applyBorder="true" applyAlignment="true" applyProtection="false">
      <alignment horizontal="general" vertical="center" textRotation="0" wrapText="true" indent="0" shrinkToFit="false"/>
      <protection locked="true" hidden="false"/>
    </xf>
    <xf numFmtId="164" fontId="7" fillId="0" borderId="2" xfId="0" applyFont="true" applyBorder="true" applyAlignment="true" applyProtection="false">
      <alignment horizontal="general" vertical="center" textRotation="0" wrapText="true" indent="0" shrinkToFit="false"/>
      <protection locked="true" hidden="false"/>
    </xf>
    <xf numFmtId="164" fontId="8" fillId="0" borderId="2"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8" fillId="3" borderId="2" xfId="0" applyFont="true" applyBorder="true" applyAlignment="true" applyProtection="false">
      <alignment horizontal="center" vertical="center" textRotation="0" wrapText="false" indent="0" shrinkToFit="false"/>
      <protection locked="true" hidden="false"/>
    </xf>
    <xf numFmtId="164" fontId="15" fillId="3" borderId="2" xfId="0" applyFont="true" applyBorder="true" applyAlignment="true" applyProtection="false">
      <alignment horizontal="general" vertical="center" textRotation="0" wrapText="tru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15" fillId="0" borderId="2" xfId="0" applyFont="true" applyBorder="tru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4E78"/>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8CBAD"/>
      <rgbColor rgb="FF1155CC"/>
      <rgbColor rgb="FF33CCCC"/>
      <rgbColor rgb="FF99CC00"/>
      <rgbColor rgb="FFFFCC00"/>
      <rgbColor rgb="FFFF9900"/>
      <rgbColor rgb="FFFF6600"/>
      <rgbColor rgb="FF666666"/>
      <rgbColor rgb="FFB0B0B0"/>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akkudoktor.net/uploads/short-url/maYfKTLNOcRNqlYZNRluaz43RTL.pdf" TargetMode="External"/><Relationship Id="rId2" Type="http://schemas.openxmlformats.org/officeDocument/2006/relationships/hyperlink" Target="https://akkudoktor.net/uploads/short-url/2vo4dBRggjXOlkkd4vD5pnKzR5w.pdf" TargetMode="External"/><Relationship Id="rId3" Type="http://schemas.openxmlformats.org/officeDocument/2006/relationships/hyperlink" Target="https://mikrocontroller.net/attachment/572319/LF280-280Ah-product_specification-version-e.pdf" TargetMode="External"/><Relationship Id="rId4" Type="http://schemas.openxmlformats.org/officeDocument/2006/relationships/hyperlink" Target="https://cdn.shopify.com/s/files/1/0763/0562/9462/files/EVE_3.2V_314Ah_LiFePO4_Lithium_Battery_Cell.pdf" TargetMode="External"/><Relationship Id="rId5" Type="http://schemas.openxmlformats.org/officeDocument/2006/relationships/hyperlink" Target="https://7sun.eu/wp-content/uploads/2025/08/product-specification-catl-enerone-407-3-kwh-0-5-c.pdf" TargetMode="External"/><Relationship Id="rId6" Type="http://schemas.openxmlformats.org/officeDocument/2006/relationships/hyperlink" Target="https://www.nkon.nl/en/envision-ess-72173207-315ah-lifepo4-3-2v-a-grade.html" TargetMode="External"/><Relationship Id="rId7" Type="http://schemas.openxmlformats.org/officeDocument/2006/relationships/hyperlink" Target="https://etn.news/energy-storage/envision-8-mwh-containerized-battery-storage-system-details" TargetMode="External"/><Relationship Id="rId8" Type="http://schemas.openxmlformats.org/officeDocument/2006/relationships/hyperlink" Target="https://lacey.se/2022/01/07/byd-blade-energy-density" TargetMode="External"/><Relationship Id="rId9" Type="http://schemas.openxmlformats.org/officeDocument/2006/relationships/hyperlink" Target="https://cdn.enfsolar.com/z/pp/2025/8/vz51ichzq14g8tl/mc-cube-t-bess.pdf" TargetMode="External"/><Relationship Id="rId10" Type="http://schemas.openxmlformats.org/officeDocument/2006/relationships/hyperlink" Target="https://akkudoktor.net/uploads/short-url/maYfKTLNOcRNqlYZNRluaz43RTL.pdf" TargetMode="External"/><Relationship Id="rId11" Type="http://schemas.openxmlformats.org/officeDocument/2006/relationships/hyperlink" Target="https://cdn.shopify.com/s/files/1/0763/0562/9462/files/EVE_3.2V_314Ah_LiFePO4_Lithium_Battery_Cell.pdf" TargetMode="External"/><Relationship Id="rId12" Type="http://schemas.openxmlformats.org/officeDocument/2006/relationships/hyperlink" Target="https://7sun.eu/wp-content/uploads/2025/08/product-specification-catl-enerone-407-3-kwh-0-5-c.pdf" TargetMode="External"/><Relationship Id="rId13" Type="http://schemas.openxmlformats.org/officeDocument/2006/relationships/hyperlink" Target="https://akkudoktor.net/uploads/short-url/maYfKTLNOcRNqlYZNRluaz43RTL.pdf" TargetMode="External"/><Relationship Id="rId14" Type="http://schemas.openxmlformats.org/officeDocument/2006/relationships/hyperlink" Target="https://akkudoktor.net/uploads/short-url/2vo4dBRggjXOlkkd4vD5pnKzR5w.pdf" TargetMode="External"/><Relationship Id="rId15" Type="http://schemas.openxmlformats.org/officeDocument/2006/relationships/hyperlink" Target="https://cdn.shopify.com/s/files/1/0763/0562/9462/files/EVE_3.2V_314Ah_LiFePO4_Lithium_Battery_Cell.pdf" TargetMode="External"/><Relationship Id="rId16" Type="http://schemas.openxmlformats.org/officeDocument/2006/relationships/hyperlink" Target="https://7sun.eu/wp-content/uploads/2025/08/product-specification-catl-enerone-407-3-kwh-0-5-c.pdf" TargetMode="External"/><Relationship Id="rId17" Type="http://schemas.openxmlformats.org/officeDocument/2006/relationships/hyperlink" Target="https://www.nkon.nl/en/envision-ess-72173207-315ah-lifepo4-3-2v-a-grade.html" TargetMode="External"/><Relationship Id="rId18" Type="http://schemas.openxmlformats.org/officeDocument/2006/relationships/hyperlink" Target="https://akkudoktor.net/uploads/short-url/maYfKTLNOcRNqlYZNRluaz43RTL.pdf" TargetMode="External"/><Relationship Id="rId19" Type="http://schemas.openxmlformats.org/officeDocument/2006/relationships/hyperlink" Target="https://akkudoktor.net/uploads/short-url/2vo4dBRggjXOlkkd4vD5pnKzR5w.pdf" TargetMode="External"/><Relationship Id="rId20" Type="http://schemas.openxmlformats.org/officeDocument/2006/relationships/hyperlink" Target="https://mikrocontroller.net/attachment/572319/LF280-280Ah-product_specification-version-e.pdf" TargetMode="External"/><Relationship Id="rId21" Type="http://schemas.openxmlformats.org/officeDocument/2006/relationships/hyperlink" Target="https://cdn.shopify.com/s/files/1/0763/0562/9462/files/EVE_3.2V_314Ah_LiFePO4_Lithium_Battery_Cell.pdf" TargetMode="External"/><Relationship Id="rId22" Type="http://schemas.openxmlformats.org/officeDocument/2006/relationships/hyperlink" Target="https://www.nkon.nl/en/envision-ess-72173207-315ah-lifepo4-3-2v-a-grade.html" TargetMode="External"/><Relationship Id="rId23" Type="http://schemas.openxmlformats.org/officeDocument/2006/relationships/hyperlink" Target="https://en.wikipedia.org/wiki/Blade_battery" TargetMode="External"/><Relationship Id="rId24" Type="http://schemas.openxmlformats.org/officeDocument/2006/relationships/hyperlink" Target="https://7sun.eu/wp-content/uploads/2025/08/product-specification-catl-enerone-407-3-kwh-0-5-c.pdf" TargetMode="External"/><Relationship Id="rId25" Type="http://schemas.openxmlformats.org/officeDocument/2006/relationships/hyperlink" Target="https://akkudoktor.net/uploads/short-url/maYfKTLNOcRNqlYZNRluaz43RTL.pdf" TargetMode="External"/><Relationship Id="rId26" Type="http://schemas.openxmlformats.org/officeDocument/2006/relationships/hyperlink" Target="https://akkudoktor.net/uploads/short-url/2vo4dBRggjXOlkkd4vD5pnKzR5w.pdf" TargetMode="External"/><Relationship Id="rId27" Type="http://schemas.openxmlformats.org/officeDocument/2006/relationships/hyperlink" Target="https://cdn.shopify.com/s/files/1/0763/0562/9462/files/EVE_3.2V_314Ah_LiFePO4_Lithium_Battery_Cell.pdf" TargetMode="External"/><Relationship Id="rId28" Type="http://schemas.openxmlformats.org/officeDocument/2006/relationships/hyperlink" Target="https://www.nkon.nl/en/envision-ess-72173207-315ah-lifepo4-3-2v-a-grade.html" TargetMode="External"/><Relationship Id="rId29" Type="http://schemas.openxmlformats.org/officeDocument/2006/relationships/hyperlink" Target="https://7sun.eu/wp-content/uploads/2025/08/product-specification-catl-enerone-407-3-kwh-0-5-c.pdf" TargetMode="External"/><Relationship Id="rId30" Type="http://schemas.openxmlformats.org/officeDocument/2006/relationships/hyperlink" Target="https://akkudoktor.net/uploads/short-url/maYfKTLNOcRNqlYZNRluaz43RTL.pdf" TargetMode="External"/><Relationship Id="rId31" Type="http://schemas.openxmlformats.org/officeDocument/2006/relationships/hyperlink" Target="https://cdn.shopify.com/s/files/1/0763/0562/9462/files/EVE_3.2V_314Ah_LiFePO4_Lithium_Battery_Cell.pdf" TargetMode="External"/><Relationship Id="rId32" Type="http://schemas.openxmlformats.org/officeDocument/2006/relationships/hyperlink" Target="https://akkudoktor.net/uploads/short-url/maYfKTLNOcRNqlYZNRluaz43RTL.pdf" TargetMode="External"/><Relationship Id="rId33" Type="http://schemas.openxmlformats.org/officeDocument/2006/relationships/hyperlink" Target="https://akkudoktor.net/uploads/short-url/2vo4dBRggjXOlkkd4vD5pnKzR5w.pdf" TargetMode="External"/><Relationship Id="rId34" Type="http://schemas.openxmlformats.org/officeDocument/2006/relationships/hyperlink" Target="https://cdn.shopify.com/s/files/1/0763/0562/9462/files/EVE_3.2V_314Ah_LiFePO4_Lithium_Battery_Cell.pdf" TargetMode="External"/><Relationship Id="rId35" Type="http://schemas.openxmlformats.org/officeDocument/2006/relationships/hyperlink" Target="https://www.nkon.nl/en/envision-ess-72173207-315ah-lifepo4-3-2v-a-grade.html" TargetMode="External"/><Relationship Id="rId36" Type="http://schemas.openxmlformats.org/officeDocument/2006/relationships/hyperlink" Target="https://en.wikipedia.org/wiki/Blade_battery" TargetMode="External"/><Relationship Id="rId37" Type="http://schemas.openxmlformats.org/officeDocument/2006/relationships/hyperlink" Target="https://7sun.eu/wp-content/uploads/2025/08/product-specification-catl-enerone-407-3-kwh-0-5-c.pdf" TargetMode="External"/><Relationship Id="rId38" Type="http://schemas.openxmlformats.org/officeDocument/2006/relationships/hyperlink" Target="https://cdn.enfsolar.com/z/pp/2025/8/vz51ichzq14g8tl/mc-cube-t-bess.pdf" TargetMode="External"/><Relationship Id="rId39" Type="http://schemas.openxmlformats.org/officeDocument/2006/relationships/hyperlink" Target="https://akkudoktor.net/uploads/short-url/maYfKTLNOcRNqlYZNRluaz43RTL.pdf" TargetMode="External"/><Relationship Id="rId40" Type="http://schemas.openxmlformats.org/officeDocument/2006/relationships/hyperlink" Target="https://akkudoktor.net/uploads/short-url/2vo4dBRggjXOlkkd4vD5pnKzR5w.pdf" TargetMode="External"/><Relationship Id="rId41" Type="http://schemas.openxmlformats.org/officeDocument/2006/relationships/hyperlink" Target="https://cdn.shopify.com/s/files/1/0763/0562/9462/files/EVE_3.2V_314Ah_LiFePO4_Lithium_Battery_Cell.pdf" TargetMode="External"/><Relationship Id="rId42" Type="http://schemas.openxmlformats.org/officeDocument/2006/relationships/hyperlink" Target="https://www.nkon.nl/en/envision-ess-72173207-315ah-lifepo4-3-2v-a-grade.html" TargetMode="External"/><Relationship Id="rId43" Type="http://schemas.openxmlformats.org/officeDocument/2006/relationships/hyperlink" Target="https://kyodonewsprwire.jp/release/202404129395" TargetMode="External"/><Relationship Id="rId44" Type="http://schemas.openxmlformats.org/officeDocument/2006/relationships/hyperlink" Target="https://lacey.se/2022/01/07/byd-blade-energy-density" TargetMode="External"/><Relationship Id="rId45" Type="http://schemas.openxmlformats.org/officeDocument/2006/relationships/hyperlink" Target="https://www.ess-news.com/?p=2460" TargetMode="External"/><Relationship Id="rId46" Type="http://schemas.openxmlformats.org/officeDocument/2006/relationships/hyperlink" Target="https://cdn.enfsolar.com/z/pp/2025/8/vz51ichzq14g8tl/mc-cube-t-bess.pdf" TargetMode="External"/><Relationship Id="rId47" Type="http://schemas.openxmlformats.org/officeDocument/2006/relationships/hyperlink" Target="https://docs.nrel.gov/docs/fy25osti/93281.pdf" TargetMode="External"/><Relationship Id="rId48" Type="http://schemas.openxmlformats.org/officeDocument/2006/relationships/hyperlink" Target="https://etn.news/energy-storage/envision-8-mwh-containerized-battery-storage-system-details" TargetMode="External"/><Relationship Id="rId49" Type="http://schemas.openxmlformats.org/officeDocument/2006/relationships/hyperlink" Target="https://7sun.eu/wp-content/uploads/2025/08/product-specification-catl-enerone-407-3-kwh-0-5-c.pdf" TargetMode="External"/><Relationship Id="rId50" Type="http://schemas.openxmlformats.org/officeDocument/2006/relationships/hyperlink" Target="https://solarshop.baywa-re.lv/userfiles/files/613&#12305;MC_Cube_C%26I_0.5C_V1.0-%28EU%29_2023.07.14%281%29.pdf" TargetMode="External"/><Relationship Id="rId51" Type="http://schemas.openxmlformats.org/officeDocument/2006/relationships/hyperlink" Target="https://akkudoktor.net/uploads/short-url/2vo4dBRggjXOlkkd4vD5pnKzR5w.pdf" TargetMode="External"/><Relationship Id="rId52" Type="http://schemas.openxmlformats.org/officeDocument/2006/relationships/hyperlink" Target="https://cdn.shopify.com/s/files/1/0763/0562/9462/files/EVE_3.2V_314Ah_LiFePO4_Lithium_Battery_Cell.pdf" TargetMode="External"/><Relationship Id="rId53" Type="http://schemas.openxmlformats.org/officeDocument/2006/relationships/hyperlink" Target="https://akkudoktor.net/uploads/short-url/maYfKTLNOcRNqlYZNRluaz43RTL.pdf" TargetMode="External"/><Relationship Id="rId54" Type="http://schemas.openxmlformats.org/officeDocument/2006/relationships/hyperlink" Target="https://akkudoktor.net/uploads/short-url/maYfKTLNOcRNqlYZNRluaz43RTL.pdf" TargetMode="External"/><Relationship Id="rId55" Type="http://schemas.openxmlformats.org/officeDocument/2006/relationships/hyperlink" Target="https://akkudoktor.net/uploads/short-url/2vo4dBRggjXOlkkd4vD5pnKzR5w.pdf" TargetMode="External"/><Relationship Id="rId56" Type="http://schemas.openxmlformats.org/officeDocument/2006/relationships/hyperlink" Target="https://solarshop.baywa-re.lv/userfiles/files/613&#12305;MC_Cube_C%26I_0.5C_V1.0-%28EU%29_2023.07.14%281%29.pdf" TargetMode="External"/><Relationship Id="rId57" Type="http://schemas.openxmlformats.org/officeDocument/2006/relationships/hyperlink" Target="https://cdn.shopify.com/s/files/1/0763/0562/9462/files/EVE_3.2V_314Ah_LiFePO4_Lithium_Battery_Cell.pdf" TargetMode="External"/><Relationship Id="rId58" Type="http://schemas.openxmlformats.org/officeDocument/2006/relationships/hyperlink" Target="https://akkudoktor.net/uploads/short-url/maYfKTLNOcRNqlYZNRluaz43RTL.pdf" TargetMode="External"/><Relationship Id="rId59" Type="http://schemas.openxmlformats.org/officeDocument/2006/relationships/hyperlink" Target="https://akkudoktor.net/uploads/short-url/2vo4dBRggjXOlkkd4vD5pnKzR5w.pdf" TargetMode="External"/><Relationship Id="rId60" Type="http://schemas.openxmlformats.org/officeDocument/2006/relationships/hyperlink" Target="https://cdn.shopify.com/s/files/1/0763/0562/9462/files/EVE_3.2V_314Ah_LiFePO4_Lithium_Battery_Cell.pdf" TargetMode="External"/><Relationship Id="rId61" Type="http://schemas.openxmlformats.org/officeDocument/2006/relationships/hyperlink" Target="https://7sun.eu/wp-content/uploads/2025/08/product-specification-catl-enerone-407-3-kwh-0-5-c.pdf" TargetMode="External"/><Relationship Id="rId62" Type="http://schemas.openxmlformats.org/officeDocument/2006/relationships/hyperlink" Target="https://solarshop.baywa-re.lv/userfiles/files/613&#12305;MC_Cube_C%26I_0.5C_V1.0-%28EU%29_2023.07.14%281%29.pdf" TargetMode="External"/><Relationship Id="rId63" Type="http://schemas.openxmlformats.org/officeDocument/2006/relationships/hyperlink" Target="https://cdn.enfsolar.com/z/pp/2025/8/vz51ichzq14g8tl/mc-cube-t-bess.pdf" TargetMode="External"/><Relationship Id="rId64" Type="http://schemas.openxmlformats.org/officeDocument/2006/relationships/hyperlink" Target="https://www.ess-news.com/?p=5160" TargetMode="External"/><Relationship Id="rId65" Type="http://schemas.openxmlformats.org/officeDocument/2006/relationships/hyperlink" Target="https://akkudoktor.net/uploads/short-url/2vo4dBRggjXOlkkd4vD5pnKzR5w.pdf" TargetMode="External"/><Relationship Id="rId66" Type="http://schemas.openxmlformats.org/officeDocument/2006/relationships/hyperlink" Target="https://7sun.eu/wp-content/uploads/2025/08/product-specification-catl-enerone-407-3-kwh-0-5-c.pdf" TargetMode="External"/><Relationship Id="rId67" Type="http://schemas.openxmlformats.org/officeDocument/2006/relationships/hyperlink" Target="https://akkudoktor.net/uploads/short-url/maYfKTLNOcRNqlYZNRluaz43RTL.pdf" TargetMode="External"/><Relationship Id="rId68" Type="http://schemas.openxmlformats.org/officeDocument/2006/relationships/hyperlink" Target="https://akkudoktor.net/uploads/short-url/maYfKTLNOcRNqlYZNRluaz43RTL.pdf" TargetMode="External"/><Relationship Id="rId69" Type="http://schemas.openxmlformats.org/officeDocument/2006/relationships/hyperlink" Target="https://akkudoktor.net/uploads/short-url/2vo4dBRggjXOlkkd4vD5pnKzR5w.pdf" TargetMode="External"/><Relationship Id="rId70" Type="http://schemas.openxmlformats.org/officeDocument/2006/relationships/hyperlink" Target="https://akkudoktor.net/uploads/short-url/2vo4dBRggjXOlkkd4vD5pnKzR5w.pdf" TargetMode="External"/><Relationship Id="rId71" Type="http://schemas.openxmlformats.org/officeDocument/2006/relationships/hyperlink" Target="https://mikrocontroller.net/attachment/572319/LF280-280Ah-product_specification-version-e.pdf" TargetMode="External"/><Relationship Id="rId72" Type="http://schemas.openxmlformats.org/officeDocument/2006/relationships/hyperlink" Target="https://cdn.shopify.com/s/files/1/0763/0562/9462/files/EVE_3.2V_314Ah_LiFePO4_Lithium_Battery_Cell.pdf" TargetMode="External"/><Relationship Id="rId73" Type="http://schemas.openxmlformats.org/officeDocument/2006/relationships/hyperlink" Target="https://7sun.eu/wp-content/uploads/2025/08/datasheet-catl-enerone-407-3-kwh-0-5-c.pdf" TargetMode="External"/><Relationship Id="rId74" Type="http://schemas.openxmlformats.org/officeDocument/2006/relationships/hyperlink" Target="https://www.nkon.nl/en/envision-ess-72173207-315ah-lifepo4-3-2v-a-grade.html" TargetMode="External"/><Relationship Id="rId75" Type="http://schemas.openxmlformats.org/officeDocument/2006/relationships/hyperlink" Target="https://etn.news/energy-storage/envision-8-mwh-containerized-battery-storage-system-details" TargetMode="External"/><Relationship Id="rId76" Type="http://schemas.openxmlformats.org/officeDocument/2006/relationships/hyperlink" Target="https://www.electrive.com/2021/03/16/byd-reveals-additional-blade-battery-specifications" TargetMode="External"/><Relationship Id="rId77" Type="http://schemas.openxmlformats.org/officeDocument/2006/relationships/hyperlink" Target="https://solarshop.baywa-re.lv/userfiles/files/613&#12305;MC_Cube_C%26I_0.5C_V1.0-%28EU%29_2023.07.14%281%29.pdf" TargetMode="External"/><Relationship Id="rId78" Type="http://schemas.openxmlformats.org/officeDocument/2006/relationships/hyperlink" Target="https://docs.nrel.gov/docs/fy25osti/93281.pdf" TargetMode="External"/><Relationship Id="rId79" Type="http://schemas.openxmlformats.org/officeDocument/2006/relationships/hyperlink" Target="https://kyodonewsprwire.jp/release/202404129395" TargetMode="External"/><Relationship Id="rId80" Type="http://schemas.openxmlformats.org/officeDocument/2006/relationships/hyperlink" Target="https://www.ess-news.com/?p=5160" TargetMode="External"/><Relationship Id="rId81" Type="http://schemas.openxmlformats.org/officeDocument/2006/relationships/hyperlink" Target="https://akkudoktor.net/uploads/short-url/maYfKTLNOcRNqlYZNRluaz43RTL.pdf" TargetMode="External"/><Relationship Id="rId82" Type="http://schemas.openxmlformats.org/officeDocument/2006/relationships/hyperlink" Target="https://akkudoktor.net/uploads/short-url/2vo4dBRggjXOlkkd4vD5pnKzR5w.pdf" TargetMode="External"/><Relationship Id="rId83" Type="http://schemas.openxmlformats.org/officeDocument/2006/relationships/hyperlink" Target="https://cdn.shopify.com/s/files/1/0763/0562/9462/files/EVE_3.2V_314Ah_LiFePO4_Lithium_Battery_Cell.pdf" TargetMode="External"/><Relationship Id="rId84" Type="http://schemas.openxmlformats.org/officeDocument/2006/relationships/hyperlink" Target="https://7sun.eu/wp-content/uploads/2025/08/product-specification-catl-enerone-407-3-kwh-0-5-c.pdf" TargetMode="External"/><Relationship Id="rId85" Type="http://schemas.openxmlformats.org/officeDocument/2006/relationships/hyperlink" Target="https://cdn.enfsolar.com/z/pp/2025/8/vz51ichzq14g8tl/mc-cube-t-bess.pdf" TargetMode="External"/><Relationship Id="rId86" Type="http://schemas.openxmlformats.org/officeDocument/2006/relationships/hyperlink" Target="https://www.ess-news.com/?p=5160" TargetMode="External"/><Relationship Id="rId87" Type="http://schemas.openxmlformats.org/officeDocument/2006/relationships/hyperlink" Target="https://akkudoktor.net/uploads/short-url/maYfKTLNOcRNqlYZNRluaz43RTL.pdf" TargetMode="External"/><Relationship Id="rId88" Type="http://schemas.openxmlformats.org/officeDocument/2006/relationships/hyperlink" Target="https://akkudoktor.net/uploads/short-url/2vo4dBRggjXOlkkd4vD5pnKzR5w.pdf" TargetMode="External"/><Relationship Id="rId89" Type="http://schemas.openxmlformats.org/officeDocument/2006/relationships/hyperlink" Target="https://mikrocontroller.net/attachment/572319/LF280-280Ah-product_specification-version-e.pdf" TargetMode="External"/><Relationship Id="rId90" Type="http://schemas.openxmlformats.org/officeDocument/2006/relationships/hyperlink" Target="https://cdn.shopify.com/s/files/1/0763/0562/9462/files/EVE_3.2V_314Ah_LiFePO4_Lithium_Battery_Cell.pdf" TargetMode="External"/><Relationship Id="rId91" Type="http://schemas.openxmlformats.org/officeDocument/2006/relationships/hyperlink" Target="https://7sun.eu/wp-content/uploads/2025/08/product-specification-catl-enerone-407-3-kwh-0-5-c.pdf" TargetMode="External"/><Relationship Id="rId92" Type="http://schemas.openxmlformats.org/officeDocument/2006/relationships/hyperlink" Target="https://cdn.shopify.com/s/files/1/0763/0562/9462/files/EVE_3.2V_314Ah_LiFePO4_Lithium_Battery_Cell.pdf" TargetMode="External"/><Relationship Id="rId93" Type="http://schemas.openxmlformats.org/officeDocument/2006/relationships/hyperlink" Target="https://mikrocontroller.net/attachment/572319/LF280-280Ah-product_specification-version-e.pdf" TargetMode="External"/><Relationship Id="rId94" Type="http://schemas.openxmlformats.org/officeDocument/2006/relationships/hyperlink" Target="https://about.bnef.com/insights/clean-transport/lithium-ion-battery-pack-prices-fall-to-108-per-kilowatt-hour-despite-rising-metal-prices-bloombergnef/" TargetMode="External"/><Relationship Id="rId95" Type="http://schemas.openxmlformats.org/officeDocument/2006/relationships/hyperlink" Target="https://about.bnef.com/insights/clean-transport/lithium-ion-battery-pack-prices-fall-to-108-per-kilowatt-hour-despite-rising-metal-prices-bloombergnef/" TargetMode="External"/><Relationship Id="rId96" Type="http://schemas.openxmlformats.org/officeDocument/2006/relationships/hyperlink" Target="https://docs.nrel.gov/docs/fy25osti/93281.pdf" TargetMode="External"/><Relationship Id="rId97" Type="http://schemas.openxmlformats.org/officeDocument/2006/relationships/hyperlink" Target="https://docs.nrel.gov/docs/fy25osti/93281.pdf" TargetMode="External"/><Relationship Id="rId98" Type="http://schemas.openxmlformats.org/officeDocument/2006/relationships/hyperlink" Target="https://docs.nrel.gov/docs/fy25osti/93281.pdf" TargetMode="External"/><Relationship Id="rId99" Type="http://schemas.openxmlformats.org/officeDocument/2006/relationships/hyperlink" Target="https://www.irena.org/-/media/Files/IRENA/Agency/Publication/2025/Jul/IRENA_TEC_RPGC_in_2024_Summary_2025.pdf" TargetMode="External"/><Relationship Id="rId100" Type="http://schemas.openxmlformats.org/officeDocument/2006/relationships/hyperlink" Target="https://www.energy-storage.news/behind-the-numbers-bnef-finds-40-year-on-year-drop-in-bess-costs/" TargetMode="External"/><Relationship Id="rId101" Type="http://schemas.openxmlformats.org/officeDocument/2006/relationships/hyperlink" Target="https://www.energy-storage.news/moroccos-first-large-scale-lfp-battery-storage-system-prepares-for-action/" TargetMode="External"/><Relationship Id="rId102" Type="http://schemas.openxmlformats.org/officeDocument/2006/relationships/hyperlink" Target="https://about.bnef.com/insights/clean-energy/battery-storage-costs-hit-record-lows-as-costs-of-other-clean-power-technologies-increased-bloombergnef/" TargetMode="External"/><Relationship Id="rId103"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about.bnef.com/insights/clean-energy/lithium-ion-battery-pack-prices-fall-to-108-per-kilowatt-hour" TargetMode="External"/><Relationship Id="rId2" Type="http://schemas.openxmlformats.org/officeDocument/2006/relationships/hyperlink" Target="https://about.bnef.com/insights/clean-energy/lithium-ion-battery-pack-prices-fall-to-108-per-kilowatt-hour" TargetMode="External"/><Relationship Id="rId3" Type="http://schemas.openxmlformats.org/officeDocument/2006/relationships/hyperlink" Target="https://about.bnef.com/insights/clean-energy/lithium-ion-battery-pack-prices-fall-to-108-per-kilowatt-hour" TargetMode="External"/><Relationship Id="rId4" Type="http://schemas.openxmlformats.org/officeDocument/2006/relationships/hyperlink" Target="https://about.bnef.com/insights/clean-energy/lithium-ion-battery-pack-prices-fall-to-108-per-kilowatt-hour" TargetMode="External"/><Relationship Id="rId5" Type="http://schemas.openxmlformats.org/officeDocument/2006/relationships/hyperlink" Target="https://about.bnef.com/insights/clean-energy/lithium-ion-battery-pack-prices-fall-to-108-per-kilowatt-hour" TargetMode="External"/><Relationship Id="rId6" Type="http://schemas.openxmlformats.org/officeDocument/2006/relationships/hyperlink" Target="https://www.bloomberg.com/news/articles/2025-12-09/bnef-why-global-battery-prices-are-expected-to-fall-in-2026" TargetMode="External"/><Relationship Id="rId7" Type="http://schemas.openxmlformats.org/officeDocument/2006/relationships/hyperlink" Target="https://lematin.ma/economie/energie-solaire-ocp-deploie-a-benguerir-125-mwh-de-stockage-par-batteries/365144/amp" TargetMode="External"/><Relationship Id="rId8" Type="http://schemas.openxmlformats.org/officeDocument/2006/relationships/hyperlink" Target="https://lematin.ma/economie/energie-solaire-ocp-deploie-a-benguerir-125-mwh-de-stockage-par-batteries/365144/amp" TargetMode="External"/><Relationship Id="rId9" Type="http://schemas.openxmlformats.org/officeDocument/2006/relationships/hyperlink" Target="https://medias24.com/2025/08/08/onee-lancement-de-lappel-doffres-pour-une-centrale-hybride-solaire-diesel-a-el-guerguarat/" TargetMode="External"/><Relationship Id="rId10" Type="http://schemas.openxmlformats.org/officeDocument/2006/relationships/hyperlink" Target="https://ledesk.ma/encontinu/stockage-denergie-la-banque-mondiale-approuve-le-plan-de-passation-des-marches-pour-un-projet-pilote-de-masen/" TargetMode="External"/><Relationship Id="rId11" Type="http://schemas.openxmlformats.org/officeDocument/2006/relationships/hyperlink" Target="https://ledesk.ma/encontinu/stockage-denergie-la-banque-mondiale-approuve-le-plan-de-passation-des-marches-pour-un-projet-pilote-de-masen/" TargetMode="External"/><Relationship Id="rId12" Type="http://schemas.openxmlformats.org/officeDocument/2006/relationships/hyperlink" Target="https://www.lavieeco.com/?p=415255" TargetMode="External"/><Relationship Id="rId13" Type="http://schemas.openxmlformats.org/officeDocument/2006/relationships/hyperlink" Target="https://lematin.ma/economie/onee-220-milliards-de-dh-pour-le-plan-dequipement-2025-2030/274866/amp" TargetMode="External"/><Relationship Id="rId14" Type="http://schemas.openxmlformats.org/officeDocument/2006/relationships/hyperlink" Target="https://fr.hespress.com/435561-435561.html"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akkudoktor.net/uploads/short-url/maYfKTLNOcRNqlYZNRluaz43RTL.pdf" TargetMode="External"/><Relationship Id="rId2" Type="http://schemas.openxmlformats.org/officeDocument/2006/relationships/hyperlink" Target="https://akkudoktor.net/uploads/short-url/2vo4dBRggjXOlkkd4vD5pnKzR5w.pdf" TargetMode="External"/><Relationship Id="rId3" Type="http://schemas.openxmlformats.org/officeDocument/2006/relationships/hyperlink" Target="https://mikrocontroller.net/attachment/572319/LF280-280Ah-product_specification-version-e.pdf" TargetMode="External"/><Relationship Id="rId4" Type="http://schemas.openxmlformats.org/officeDocument/2006/relationships/hyperlink" Target="https://cdn.shopify.com/s/files/1/0763/0562/9462/files/EVE_3.2V_314Ah_LiFePO4_Lithium_Battery_Cell.pdf" TargetMode="External"/><Relationship Id="rId5" Type="http://schemas.openxmlformats.org/officeDocument/2006/relationships/hyperlink" Target="https://7sun.eu/wp-content/uploads/2025/08/product-specification-catl-enerone-407-3-kwh-0-5-c.pdf" TargetMode="External"/><Relationship Id="rId6" Type="http://schemas.openxmlformats.org/officeDocument/2006/relationships/hyperlink" Target="https://7sun.eu/wp-content/uploads/2025/08/datasheet-catl-enerone-407-3-kwh-0-5-c.pdf" TargetMode="External"/><Relationship Id="rId7" Type="http://schemas.openxmlformats.org/officeDocument/2006/relationships/hyperlink" Target="https://kyodonewsprwire.jp/release/202404129395" TargetMode="External"/><Relationship Id="rId8" Type="http://schemas.openxmlformats.org/officeDocument/2006/relationships/hyperlink" Target="https://solarshop.baywa-re.lv/userfiles/files/613&#12305;MC_Cube_C%26I_0.5C_V1.0-%28EU%29_2023.07.14%281%29.pdf" TargetMode="External"/><Relationship Id="rId9" Type="http://schemas.openxmlformats.org/officeDocument/2006/relationships/hyperlink" Target="https://cdn.enfsolar.com/z/pp/2025/8/vz51ichzq14g8tl/mc-cube-t-bess.pdf" TargetMode="External"/><Relationship Id="rId10" Type="http://schemas.openxmlformats.org/officeDocument/2006/relationships/hyperlink" Target="https://autonews.gasgoo.com/articles/news/byd-launches-all-new-energy-storage-system-mc-cube-t-70032455" TargetMode="External"/><Relationship Id="rId11" Type="http://schemas.openxmlformats.org/officeDocument/2006/relationships/hyperlink" Target="https://lacey.se/2022/01/07/byd-blade-energy-density" TargetMode="External"/><Relationship Id="rId12" Type="http://schemas.openxmlformats.org/officeDocument/2006/relationships/hyperlink" Target="https://www.nkon.nl/en/envision-ess-72173207-315ah-lifepo4-3-2v-a-grade.html" TargetMode="External"/><Relationship Id="rId13" Type="http://schemas.openxmlformats.org/officeDocument/2006/relationships/hyperlink" Target="https://etn.news/energy-storage/envision-8-mwh-containerized-battery-storage-system-details" TargetMode="External"/><Relationship Id="rId14" Type="http://schemas.openxmlformats.org/officeDocument/2006/relationships/hyperlink" Target="https://www.ess-news.com/?p=5160" TargetMode="External"/><Relationship Id="rId15" Type="http://schemas.openxmlformats.org/officeDocument/2006/relationships/hyperlink" Target="https://www.energy-storage.news/moroccos-first-large-scale-lfp-battery-storage-system-prepares-for-action/" TargetMode="External"/><Relationship Id="rId16" Type="http://schemas.openxmlformats.org/officeDocument/2006/relationships/hyperlink" Target="https://docs.nrel.gov/docs/fy25osti/93281.pdf" TargetMode="External"/><Relationship Id="rId17" Type="http://schemas.openxmlformats.org/officeDocument/2006/relationships/hyperlink" Target="https://www.irena.org/-/media/Files/IRENA/Agency/Publication/2025/Jul/IRENA_TEC_RPGC_in_2024_Summary_2025.pdf" TargetMode="External"/><Relationship Id="rId18" Type="http://schemas.openxmlformats.org/officeDocument/2006/relationships/hyperlink" Target="https://about.bnef.com/insights/clean-transport/lithium-ion-battery-pack-prices-fall-to-108-per-kilowatt-hour-despite-rising-metal-prices-bloombergnef/" TargetMode="External"/><Relationship Id="rId19" Type="http://schemas.openxmlformats.org/officeDocument/2006/relationships/hyperlink" Target="https://www.energy-storage.news/behind-the-numbers-bnef-finds-40-year-on-year-drop-in-bess-costs/" TargetMode="External"/><Relationship Id="rId20" Type="http://schemas.openxmlformats.org/officeDocument/2006/relationships/hyperlink" Target="https://about.bnef.com/insights/clean-energy/battery-storage-costs-hit-record-lows-as-costs-of-other-clean-power-technologies-increased-bloombergnef/"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lifepo4.com.au/tag/3-2v/" TargetMode="External"/><Relationship Id="rId2" Type="http://schemas.openxmlformats.org/officeDocument/2006/relationships/hyperlink" Target="https://lifepo4.com.au/tag/3-2v/" TargetMode="External"/><Relationship Id="rId3" Type="http://schemas.openxmlformats.org/officeDocument/2006/relationships/hyperlink" Target="https://lifepo4.com.au/tag/3-2v/" TargetMode="External"/><Relationship Id="rId4" Type="http://schemas.openxmlformats.org/officeDocument/2006/relationships/hyperlink" Target="https://7sun.eu/produkt/catl-enerone-379-4-kwh-1-c/" TargetMode="External"/><Relationship Id="rId5" Type="http://schemas.openxmlformats.org/officeDocument/2006/relationships/hyperlink" Target="https://lifepo4.com.au/catl-enerone-1p-liquid-cooled-cabinet/" TargetMode="External"/><Relationship Id="rId6" Type="http://schemas.openxmlformats.org/officeDocument/2006/relationships/hyperlink" Target="https://lifepo4.com.au/catl-enerone-1p-liquid-cooled-cabinet/" TargetMode="External"/><Relationship Id="rId7" Type="http://schemas.openxmlformats.org/officeDocument/2006/relationships/hyperlink" Target="https://lifepo4.com.au/catl-enerone-1p-liquid-cooled-cabinet/" TargetMode="External"/><Relationship Id="rId8" Type="http://schemas.openxmlformats.org/officeDocument/2006/relationships/hyperlink" Target="https://lifepo4.com.au/catl-enerone-1p-liquid-cooled-cabinet/" TargetMode="External"/><Relationship Id="rId9" Type="http://schemas.openxmlformats.org/officeDocument/2006/relationships/hyperlink" Target="https://www.scribd.com/document/827348338/CATL-EnerOne" TargetMode="External"/><Relationship Id="rId10" Type="http://schemas.openxmlformats.org/officeDocument/2006/relationships/hyperlink" Target="https://lifepo4.com.au/shop/cells-lifepo4/special_order/catl-shipped-from-china/catl-314ah-3-2v-lifepo4-cell-genuine-new-grade-a/" TargetMode="External"/><Relationship Id="rId11" Type="http://schemas.openxmlformats.org/officeDocument/2006/relationships/hyperlink" Target="https://www.nkon.nl/en/rechargeable/lifepo4/prismatisch/eve-lf280-prismatic-280ah-280a-lifepo4-threaded.html" TargetMode="External"/><Relationship Id="rId12" Type="http://schemas.openxmlformats.org/officeDocument/2006/relationships/hyperlink" Target="https://www.18650batterystore.com/collections/lifepo4-prismatic-cells/products/eve-lf280k" TargetMode="External"/><Relationship Id="rId13" Type="http://schemas.openxmlformats.org/officeDocument/2006/relationships/hyperlink" Target="https://www.18650batterystore.com/collections/lifepo4-prismatic-cells/products/eve-lf280k" TargetMode="External"/><Relationship Id="rId14" Type="http://schemas.openxmlformats.org/officeDocument/2006/relationships/hyperlink" Target="https://www.18650batterystore.com/collections/lifepo4-prismatic-cells/products/eve-lf280k" TargetMode="External"/><Relationship Id="rId15" Type="http://schemas.openxmlformats.org/officeDocument/2006/relationships/hyperlink" Target="https://www.18650batterystore.com/collections/lifepo4-prismatic-cells/products/eve-lf280k" TargetMode="External"/><Relationship Id="rId16" Type="http://schemas.openxmlformats.org/officeDocument/2006/relationships/hyperlink" Target="https://www.18650batterystore.com/collections/lifepo4-prismatic-cells/products/eve-lf280k" TargetMode="External"/><Relationship Id="rId17" Type="http://schemas.openxmlformats.org/officeDocument/2006/relationships/hyperlink" Target="https://lifepo4.com.au/?p=6993" TargetMode="External"/><Relationship Id="rId18" Type="http://schemas.openxmlformats.org/officeDocument/2006/relationships/hyperlink" Target="https://www.nkon.nl/en/rechargeable/lifepo4/prismatisch/eve-lf280-prismatic-280ah-280a-lifepo4-threaded.html" TargetMode="External"/><Relationship Id="rId19" Type="http://schemas.openxmlformats.org/officeDocument/2006/relationships/hyperlink" Target="https://www.18650batterystore.com/collections/lifepo4-prismatic-cells/products/eve-lf280k" TargetMode="External"/><Relationship Id="rId20" Type="http://schemas.openxmlformats.org/officeDocument/2006/relationships/hyperlink" Target="https://www.18650batterystore.com/collections/lifepo4-prismatic-cells/products/eve-lf280k" TargetMode="External"/><Relationship Id="rId21" Type="http://schemas.openxmlformats.org/officeDocument/2006/relationships/hyperlink" Target="https://lifepo4.com.au/?p=6993" TargetMode="External"/><Relationship Id="rId22" Type="http://schemas.openxmlformats.org/officeDocument/2006/relationships/hyperlink" Target="https://lifepo4.com.au/?p=6993"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36"/>
    <col collapsed="false" customWidth="true" hidden="false" outlineLevel="0" max="3" min="3" style="1" width="16"/>
    <col collapsed="false" customWidth="true" hidden="false" outlineLevel="0" max="4" min="4" style="1" width="22"/>
    <col collapsed="false" customWidth="true" hidden="false" outlineLevel="0" max="5" min="5" style="1" width="40"/>
    <col collapsed="false" customWidth="true" hidden="false" outlineLevel="0" max="6" min="6" style="1" width="52"/>
    <col collapsed="false" customWidth="true" hidden="false" outlineLevel="0" max="7" min="7" style="1" width="24"/>
    <col collapsed="false" customWidth="true" hidden="false" outlineLevel="0" max="8" min="8" style="1" width="34"/>
    <col collapsed="false" customWidth="true" hidden="false" outlineLevel="0" max="9" min="9" style="1" width="60"/>
  </cols>
  <sheetData>
    <row r="1" customFormat="false" ht="27.75" hidden="false" customHeight="true" outlineLevel="0" collapsed="false">
      <c r="A1" s="2" t="s">
        <v>0</v>
      </c>
      <c r="B1" s="2"/>
      <c r="C1" s="2"/>
      <c r="D1" s="2"/>
      <c r="E1" s="2"/>
      <c r="F1" s="2"/>
      <c r="G1" s="2"/>
      <c r="H1" s="2"/>
      <c r="I1" s="2"/>
    </row>
    <row r="2" customFormat="false" ht="15" hidden="false" customHeight="true" outlineLevel="0" collapsed="false">
      <c r="A2" s="3" t="s">
        <v>1</v>
      </c>
      <c r="B2" s="3"/>
      <c r="C2" s="3"/>
      <c r="D2" s="3"/>
      <c r="E2" s="3"/>
      <c r="F2" s="3"/>
      <c r="G2" s="3"/>
      <c r="H2" s="3"/>
      <c r="I2" s="3"/>
    </row>
    <row r="3" customFormat="false" ht="15" hidden="false" customHeight="true" outlineLevel="0" collapsed="false">
      <c r="A3" s="4" t="s">
        <v>2</v>
      </c>
      <c r="B3" s="4" t="s">
        <v>3</v>
      </c>
      <c r="C3" s="4" t="s">
        <v>4</v>
      </c>
      <c r="D3" s="4" t="s">
        <v>5</v>
      </c>
      <c r="E3" s="4" t="s">
        <v>6</v>
      </c>
      <c r="F3" s="4" t="s">
        <v>7</v>
      </c>
      <c r="G3" s="4" t="s">
        <v>8</v>
      </c>
      <c r="H3" s="4" t="s">
        <v>9</v>
      </c>
      <c r="I3" s="4" t="s">
        <v>10</v>
      </c>
    </row>
    <row r="4" customFormat="false" ht="23.25" hidden="false" customHeight="true" outlineLevel="0" collapsed="false">
      <c r="A4" s="5" t="s">
        <v>11</v>
      </c>
      <c r="B4" s="6" t="s">
        <v>12</v>
      </c>
      <c r="C4" s="7" t="n">
        <v>280</v>
      </c>
      <c r="D4" s="6" t="s">
        <v>13</v>
      </c>
      <c r="E4" s="6" t="s">
        <v>14</v>
      </c>
      <c r="F4" s="6" t="s">
        <v>15</v>
      </c>
      <c r="G4" s="6" t="s">
        <v>16</v>
      </c>
      <c r="H4" s="8" t="s">
        <v>17</v>
      </c>
      <c r="I4" s="9" t="s">
        <v>18</v>
      </c>
    </row>
    <row r="5" customFormat="false" ht="23.25" hidden="false" customHeight="true" outlineLevel="0" collapsed="false">
      <c r="A5" s="5" t="s">
        <v>11</v>
      </c>
      <c r="B5" s="6" t="s">
        <v>12</v>
      </c>
      <c r="C5" s="7" t="n">
        <v>280</v>
      </c>
      <c r="D5" s="6" t="s">
        <v>13</v>
      </c>
      <c r="E5" s="6" t="s">
        <v>19</v>
      </c>
      <c r="F5" s="6" t="s">
        <v>20</v>
      </c>
      <c r="G5" s="6" t="s">
        <v>21</v>
      </c>
      <c r="H5" s="8" t="s">
        <v>17</v>
      </c>
      <c r="I5" s="9" t="s">
        <v>22</v>
      </c>
    </row>
    <row r="6" customFormat="false" ht="23.25" hidden="false" customHeight="true" outlineLevel="0" collapsed="false">
      <c r="A6" s="5" t="s">
        <v>11</v>
      </c>
      <c r="B6" s="6" t="s">
        <v>12</v>
      </c>
      <c r="C6" s="7" t="n">
        <v>280</v>
      </c>
      <c r="D6" s="6" t="s">
        <v>13</v>
      </c>
      <c r="E6" s="6" t="s">
        <v>23</v>
      </c>
      <c r="F6" s="6" t="s">
        <v>24</v>
      </c>
      <c r="G6" s="6" t="s">
        <v>25</v>
      </c>
      <c r="H6" s="8" t="s">
        <v>17</v>
      </c>
      <c r="I6" s="9" t="s">
        <v>26</v>
      </c>
    </row>
    <row r="7" customFormat="false" ht="23.25" hidden="false" customHeight="true" outlineLevel="0" collapsed="false">
      <c r="A7" s="5" t="s">
        <v>11</v>
      </c>
      <c r="B7" s="6" t="s">
        <v>12</v>
      </c>
      <c r="C7" s="7" t="n">
        <v>314</v>
      </c>
      <c r="D7" s="6" t="s">
        <v>13</v>
      </c>
      <c r="E7" s="6" t="s">
        <v>27</v>
      </c>
      <c r="F7" s="6" t="s">
        <v>28</v>
      </c>
      <c r="G7" s="6" t="s">
        <v>29</v>
      </c>
      <c r="H7" s="8" t="s">
        <v>17</v>
      </c>
      <c r="I7" s="9" t="s">
        <v>30</v>
      </c>
    </row>
    <row r="8" customFormat="false" ht="23.25" hidden="false" customHeight="true" outlineLevel="0" collapsed="false">
      <c r="A8" s="5" t="s">
        <v>11</v>
      </c>
      <c r="B8" s="6" t="s">
        <v>12</v>
      </c>
      <c r="C8" s="7" t="n">
        <v>306</v>
      </c>
      <c r="D8" s="6" t="s">
        <v>13</v>
      </c>
      <c r="E8" s="6" t="s">
        <v>31</v>
      </c>
      <c r="F8" s="6" t="s">
        <v>32</v>
      </c>
      <c r="G8" s="6" t="s">
        <v>33</v>
      </c>
      <c r="H8" s="8" t="s">
        <v>34</v>
      </c>
      <c r="I8" s="9" t="s">
        <v>35</v>
      </c>
    </row>
    <row r="9" customFormat="false" ht="23.25" hidden="false" customHeight="true" outlineLevel="0" collapsed="false">
      <c r="A9" s="5" t="s">
        <v>11</v>
      </c>
      <c r="B9" s="6" t="s">
        <v>12</v>
      </c>
      <c r="C9" s="10" t="n">
        <v>315</v>
      </c>
      <c r="D9" s="6" t="s">
        <v>13</v>
      </c>
      <c r="E9" s="6" t="s">
        <v>36</v>
      </c>
      <c r="F9" s="6" t="s">
        <v>37</v>
      </c>
      <c r="G9" s="6" t="s">
        <v>38</v>
      </c>
      <c r="H9" s="11" t="s">
        <v>39</v>
      </c>
      <c r="I9" s="9" t="s">
        <v>40</v>
      </c>
    </row>
    <row r="10" customFormat="false" ht="23.25" hidden="false" customHeight="true" outlineLevel="0" collapsed="false">
      <c r="A10" s="5" t="s">
        <v>11</v>
      </c>
      <c r="B10" s="6" t="s">
        <v>12</v>
      </c>
      <c r="C10" s="10" t="n">
        <v>700</v>
      </c>
      <c r="D10" s="6" t="s">
        <v>13</v>
      </c>
      <c r="E10" s="6" t="s">
        <v>41</v>
      </c>
      <c r="F10" s="6" t="s">
        <v>42</v>
      </c>
      <c r="G10" s="6" t="s">
        <v>43</v>
      </c>
      <c r="H10" s="11" t="s">
        <v>44</v>
      </c>
      <c r="I10" s="9" t="s">
        <v>45</v>
      </c>
    </row>
    <row r="11" customFormat="false" ht="23.25" hidden="false" customHeight="true" outlineLevel="0" collapsed="false">
      <c r="A11" s="5" t="s">
        <v>11</v>
      </c>
      <c r="B11" s="6" t="s">
        <v>12</v>
      </c>
      <c r="C11" s="10" t="n">
        <v>202</v>
      </c>
      <c r="D11" s="6" t="s">
        <v>13</v>
      </c>
      <c r="E11" s="6" t="s">
        <v>46</v>
      </c>
      <c r="F11" s="6" t="s">
        <v>47</v>
      </c>
      <c r="G11" s="6" t="s">
        <v>48</v>
      </c>
      <c r="H11" s="11" t="s">
        <v>44</v>
      </c>
      <c r="I11" s="9" t="s">
        <v>49</v>
      </c>
    </row>
    <row r="12" customFormat="false" ht="15" hidden="false" customHeight="true" outlineLevel="0" collapsed="false">
      <c r="A12" s="5" t="s">
        <v>11</v>
      </c>
      <c r="B12" s="6" t="s">
        <v>12</v>
      </c>
      <c r="C12" s="12" t="s">
        <v>50</v>
      </c>
      <c r="D12" s="6" t="s">
        <v>13</v>
      </c>
      <c r="E12" s="6" t="s">
        <v>51</v>
      </c>
      <c r="F12" s="6" t="s">
        <v>52</v>
      </c>
      <c r="G12" s="6" t="s">
        <v>53</v>
      </c>
      <c r="H12" s="13" t="s">
        <v>54</v>
      </c>
      <c r="I12" s="9" t="s">
        <v>55</v>
      </c>
    </row>
    <row r="13" customFormat="false" ht="23.25" hidden="false" customHeight="true" outlineLevel="0" collapsed="false">
      <c r="A13" s="5" t="s">
        <v>11</v>
      </c>
      <c r="B13" s="6" t="s">
        <v>56</v>
      </c>
      <c r="C13" s="14" t="n">
        <f aca="false">3.2*280</f>
        <v>896</v>
      </c>
      <c r="D13" s="6" t="s">
        <v>57</v>
      </c>
      <c r="E13" s="6" t="s">
        <v>14</v>
      </c>
      <c r="F13" s="6" t="s">
        <v>58</v>
      </c>
      <c r="G13" s="6" t="s">
        <v>16</v>
      </c>
      <c r="H13" s="11" t="s">
        <v>59</v>
      </c>
      <c r="I13" s="9" t="s">
        <v>18</v>
      </c>
    </row>
    <row r="14" customFormat="false" ht="23.25" hidden="false" customHeight="true" outlineLevel="0" collapsed="false">
      <c r="A14" s="5" t="s">
        <v>11</v>
      </c>
      <c r="B14" s="6" t="s">
        <v>56</v>
      </c>
      <c r="C14" s="7" t="n">
        <v>1004.8</v>
      </c>
      <c r="D14" s="6" t="s">
        <v>57</v>
      </c>
      <c r="E14" s="6" t="s">
        <v>27</v>
      </c>
      <c r="F14" s="6" t="s">
        <v>60</v>
      </c>
      <c r="G14" s="6" t="s">
        <v>29</v>
      </c>
      <c r="H14" s="8" t="s">
        <v>17</v>
      </c>
      <c r="I14" s="9" t="s">
        <v>30</v>
      </c>
    </row>
    <row r="15" customFormat="false" ht="23.25" hidden="false" customHeight="true" outlineLevel="0" collapsed="false">
      <c r="A15" s="5" t="s">
        <v>11</v>
      </c>
      <c r="B15" s="6" t="s">
        <v>56</v>
      </c>
      <c r="C15" s="7" t="n">
        <v>979.2</v>
      </c>
      <c r="D15" s="6" t="s">
        <v>57</v>
      </c>
      <c r="E15" s="6" t="s">
        <v>31</v>
      </c>
      <c r="F15" s="6" t="s">
        <v>61</v>
      </c>
      <c r="G15" s="6" t="s">
        <v>33</v>
      </c>
      <c r="H15" s="8" t="s">
        <v>34</v>
      </c>
      <c r="I15" s="9" t="s">
        <v>35</v>
      </c>
    </row>
    <row r="16" customFormat="false" ht="23.25" hidden="false" customHeight="true" outlineLevel="0" collapsed="false">
      <c r="A16" s="5" t="s">
        <v>11</v>
      </c>
      <c r="B16" s="6" t="s">
        <v>62</v>
      </c>
      <c r="C16" s="7" t="n">
        <v>3.2</v>
      </c>
      <c r="D16" s="6" t="s">
        <v>63</v>
      </c>
      <c r="E16" s="6" t="s">
        <v>14</v>
      </c>
      <c r="F16" s="6" t="s">
        <v>64</v>
      </c>
      <c r="G16" s="6" t="s">
        <v>16</v>
      </c>
      <c r="H16" s="8" t="s">
        <v>17</v>
      </c>
      <c r="I16" s="9" t="s">
        <v>18</v>
      </c>
    </row>
    <row r="17" customFormat="false" ht="23.25" hidden="false" customHeight="true" outlineLevel="0" collapsed="false">
      <c r="A17" s="5" t="s">
        <v>11</v>
      </c>
      <c r="B17" s="6" t="s">
        <v>62</v>
      </c>
      <c r="C17" s="7" t="n">
        <v>3.2</v>
      </c>
      <c r="D17" s="6" t="s">
        <v>63</v>
      </c>
      <c r="E17" s="6" t="s">
        <v>19</v>
      </c>
      <c r="F17" s="6" t="s">
        <v>65</v>
      </c>
      <c r="G17" s="6" t="s">
        <v>21</v>
      </c>
      <c r="H17" s="8" t="s">
        <v>17</v>
      </c>
      <c r="I17" s="9" t="s">
        <v>22</v>
      </c>
    </row>
    <row r="18" customFormat="false" ht="23.25" hidden="false" customHeight="true" outlineLevel="0" collapsed="false">
      <c r="A18" s="5" t="s">
        <v>11</v>
      </c>
      <c r="B18" s="6" t="s">
        <v>62</v>
      </c>
      <c r="C18" s="7" t="n">
        <v>3.2</v>
      </c>
      <c r="D18" s="6" t="s">
        <v>63</v>
      </c>
      <c r="E18" s="6" t="s">
        <v>27</v>
      </c>
      <c r="F18" s="6" t="s">
        <v>66</v>
      </c>
      <c r="G18" s="6" t="s">
        <v>29</v>
      </c>
      <c r="H18" s="8" t="s">
        <v>17</v>
      </c>
      <c r="I18" s="9" t="s">
        <v>30</v>
      </c>
    </row>
    <row r="19" customFormat="false" ht="23.25" hidden="false" customHeight="true" outlineLevel="0" collapsed="false">
      <c r="A19" s="5" t="s">
        <v>11</v>
      </c>
      <c r="B19" s="6" t="s">
        <v>62</v>
      </c>
      <c r="C19" s="15" t="n">
        <f aca="false">979.2/306</f>
        <v>3.2</v>
      </c>
      <c r="D19" s="6" t="s">
        <v>63</v>
      </c>
      <c r="E19" s="6" t="s">
        <v>31</v>
      </c>
      <c r="F19" s="6" t="s">
        <v>67</v>
      </c>
      <c r="G19" s="6" t="s">
        <v>33</v>
      </c>
      <c r="H19" s="11" t="s">
        <v>59</v>
      </c>
      <c r="I19" s="9" t="s">
        <v>35</v>
      </c>
    </row>
    <row r="20" customFormat="false" ht="23.25" hidden="false" customHeight="true" outlineLevel="0" collapsed="false">
      <c r="A20" s="5" t="s">
        <v>11</v>
      </c>
      <c r="B20" s="6" t="s">
        <v>62</v>
      </c>
      <c r="C20" s="10" t="n">
        <v>3.2</v>
      </c>
      <c r="D20" s="6" t="s">
        <v>63</v>
      </c>
      <c r="E20" s="6" t="s">
        <v>36</v>
      </c>
      <c r="F20" s="6" t="s">
        <v>68</v>
      </c>
      <c r="G20" s="6" t="s">
        <v>38</v>
      </c>
      <c r="H20" s="11" t="s">
        <v>39</v>
      </c>
      <c r="I20" s="9" t="s">
        <v>40</v>
      </c>
    </row>
    <row r="21" customFormat="false" ht="23.25" hidden="false" customHeight="true" outlineLevel="0" collapsed="false">
      <c r="A21" s="5" t="s">
        <v>11</v>
      </c>
      <c r="B21" s="6" t="s">
        <v>69</v>
      </c>
      <c r="C21" s="16" t="s">
        <v>70</v>
      </c>
      <c r="D21" s="6" t="s">
        <v>71</v>
      </c>
      <c r="E21" s="6" t="s">
        <v>14</v>
      </c>
      <c r="F21" s="6" t="s">
        <v>72</v>
      </c>
      <c r="G21" s="6" t="s">
        <v>16</v>
      </c>
      <c r="H21" s="8" t="s">
        <v>17</v>
      </c>
      <c r="I21" s="9" t="s">
        <v>18</v>
      </c>
    </row>
    <row r="22" customFormat="false" ht="23.25" hidden="false" customHeight="true" outlineLevel="0" collapsed="false">
      <c r="A22" s="5" t="s">
        <v>11</v>
      </c>
      <c r="B22" s="6" t="s">
        <v>69</v>
      </c>
      <c r="C22" s="16" t="s">
        <v>73</v>
      </c>
      <c r="D22" s="6" t="s">
        <v>71</v>
      </c>
      <c r="E22" s="6" t="s">
        <v>19</v>
      </c>
      <c r="F22" s="6" t="s">
        <v>74</v>
      </c>
      <c r="G22" s="6" t="s">
        <v>21</v>
      </c>
      <c r="H22" s="8" t="s">
        <v>17</v>
      </c>
      <c r="I22" s="9" t="s">
        <v>22</v>
      </c>
    </row>
    <row r="23" customFormat="false" ht="23.25" hidden="false" customHeight="true" outlineLevel="0" collapsed="false">
      <c r="A23" s="5" t="s">
        <v>11</v>
      </c>
      <c r="B23" s="6" t="s">
        <v>69</v>
      </c>
      <c r="C23" s="16" t="s">
        <v>75</v>
      </c>
      <c r="D23" s="6" t="s">
        <v>71</v>
      </c>
      <c r="E23" s="6" t="s">
        <v>23</v>
      </c>
      <c r="F23" s="6" t="s">
        <v>76</v>
      </c>
      <c r="G23" s="6" t="s">
        <v>25</v>
      </c>
      <c r="H23" s="8" t="s">
        <v>17</v>
      </c>
      <c r="I23" s="9" t="s">
        <v>26</v>
      </c>
    </row>
    <row r="24" customFormat="false" ht="23.25" hidden="false" customHeight="true" outlineLevel="0" collapsed="false">
      <c r="A24" s="5" t="s">
        <v>11</v>
      </c>
      <c r="B24" s="6" t="s">
        <v>69</v>
      </c>
      <c r="C24" s="16" t="s">
        <v>77</v>
      </c>
      <c r="D24" s="6" t="s">
        <v>71</v>
      </c>
      <c r="E24" s="6" t="s">
        <v>27</v>
      </c>
      <c r="F24" s="6" t="s">
        <v>78</v>
      </c>
      <c r="G24" s="6" t="s">
        <v>29</v>
      </c>
      <c r="H24" s="8" t="s">
        <v>17</v>
      </c>
      <c r="I24" s="9" t="s">
        <v>30</v>
      </c>
    </row>
    <row r="25" customFormat="false" ht="23.25" hidden="false" customHeight="true" outlineLevel="0" collapsed="false">
      <c r="A25" s="5" t="s">
        <v>11</v>
      </c>
      <c r="B25" s="6" t="s">
        <v>69</v>
      </c>
      <c r="C25" s="17" t="s">
        <v>79</v>
      </c>
      <c r="D25" s="6" t="s">
        <v>71</v>
      </c>
      <c r="E25" s="6" t="s">
        <v>36</v>
      </c>
      <c r="F25" s="6" t="s">
        <v>80</v>
      </c>
      <c r="G25" s="6" t="s">
        <v>38</v>
      </c>
      <c r="H25" s="11" t="s">
        <v>39</v>
      </c>
      <c r="I25" s="9" t="s">
        <v>40</v>
      </c>
    </row>
    <row r="26" customFormat="false" ht="23.25" hidden="false" customHeight="true" outlineLevel="0" collapsed="false">
      <c r="A26" s="5" t="s">
        <v>11</v>
      </c>
      <c r="B26" s="6" t="s">
        <v>69</v>
      </c>
      <c r="C26" s="17" t="s">
        <v>81</v>
      </c>
      <c r="D26" s="6" t="s">
        <v>71</v>
      </c>
      <c r="E26" s="6" t="s">
        <v>46</v>
      </c>
      <c r="F26" s="6" t="s">
        <v>82</v>
      </c>
      <c r="G26" s="6" t="s">
        <v>83</v>
      </c>
      <c r="H26" s="11" t="s">
        <v>44</v>
      </c>
      <c r="I26" s="9" t="s">
        <v>84</v>
      </c>
    </row>
    <row r="27" customFormat="false" ht="23.25" hidden="false" customHeight="true" outlineLevel="0" collapsed="false">
      <c r="A27" s="5" t="s">
        <v>11</v>
      </c>
      <c r="B27" s="6" t="s">
        <v>69</v>
      </c>
      <c r="C27" s="12" t="s">
        <v>85</v>
      </c>
      <c r="D27" s="6" t="s">
        <v>71</v>
      </c>
      <c r="E27" s="6" t="s">
        <v>31</v>
      </c>
      <c r="F27" s="6" t="s">
        <v>86</v>
      </c>
      <c r="G27" s="6" t="s">
        <v>33</v>
      </c>
      <c r="H27" s="13" t="s">
        <v>54</v>
      </c>
      <c r="I27" s="9" t="s">
        <v>35</v>
      </c>
    </row>
    <row r="28" customFormat="false" ht="23.25" hidden="false" customHeight="true" outlineLevel="0" collapsed="false">
      <c r="A28" s="5" t="s">
        <v>11</v>
      </c>
      <c r="B28" s="6" t="s">
        <v>87</v>
      </c>
      <c r="C28" s="7" t="n">
        <v>5.22</v>
      </c>
      <c r="D28" s="6" t="s">
        <v>88</v>
      </c>
      <c r="E28" s="6" t="s">
        <v>14</v>
      </c>
      <c r="F28" s="6" t="s">
        <v>89</v>
      </c>
      <c r="G28" s="6" t="s">
        <v>16</v>
      </c>
      <c r="H28" s="8" t="s">
        <v>17</v>
      </c>
      <c r="I28" s="9" t="s">
        <v>18</v>
      </c>
    </row>
    <row r="29" customFormat="false" ht="23.25" hidden="false" customHeight="true" outlineLevel="0" collapsed="false">
      <c r="A29" s="5" t="s">
        <v>11</v>
      </c>
      <c r="B29" s="6" t="s">
        <v>87</v>
      </c>
      <c r="C29" s="7" t="n">
        <v>5.3</v>
      </c>
      <c r="D29" s="6" t="s">
        <v>88</v>
      </c>
      <c r="E29" s="6" t="s">
        <v>19</v>
      </c>
      <c r="F29" s="6" t="s">
        <v>90</v>
      </c>
      <c r="G29" s="6" t="s">
        <v>21</v>
      </c>
      <c r="H29" s="8" t="s">
        <v>17</v>
      </c>
      <c r="I29" s="9" t="s">
        <v>22</v>
      </c>
    </row>
    <row r="30" customFormat="false" ht="23.25" hidden="false" customHeight="true" outlineLevel="0" collapsed="false">
      <c r="A30" s="5" t="s">
        <v>11</v>
      </c>
      <c r="B30" s="6" t="s">
        <v>87</v>
      </c>
      <c r="C30" s="7" t="n">
        <v>5.6</v>
      </c>
      <c r="D30" s="6" t="s">
        <v>88</v>
      </c>
      <c r="E30" s="6" t="s">
        <v>27</v>
      </c>
      <c r="F30" s="6" t="s">
        <v>91</v>
      </c>
      <c r="G30" s="6" t="s">
        <v>29</v>
      </c>
      <c r="H30" s="8" t="s">
        <v>17</v>
      </c>
      <c r="I30" s="9" t="s">
        <v>30</v>
      </c>
    </row>
    <row r="31" customFormat="false" ht="23.25" hidden="false" customHeight="true" outlineLevel="0" collapsed="false">
      <c r="A31" s="5" t="s">
        <v>11</v>
      </c>
      <c r="B31" s="6" t="s">
        <v>87</v>
      </c>
      <c r="C31" s="10" t="n">
        <v>5.65</v>
      </c>
      <c r="D31" s="6" t="s">
        <v>88</v>
      </c>
      <c r="E31" s="6" t="s">
        <v>36</v>
      </c>
      <c r="F31" s="6" t="s">
        <v>92</v>
      </c>
      <c r="G31" s="6" t="s">
        <v>38</v>
      </c>
      <c r="H31" s="11" t="s">
        <v>39</v>
      </c>
      <c r="I31" s="9" t="s">
        <v>40</v>
      </c>
    </row>
    <row r="32" customFormat="false" ht="23.25" hidden="false" customHeight="true" outlineLevel="0" collapsed="false">
      <c r="A32" s="5" t="s">
        <v>11</v>
      </c>
      <c r="B32" s="6" t="s">
        <v>87</v>
      </c>
      <c r="C32" s="12" t="s">
        <v>93</v>
      </c>
      <c r="D32" s="6" t="s">
        <v>88</v>
      </c>
      <c r="E32" s="6" t="s">
        <v>31</v>
      </c>
      <c r="F32" s="6" t="s">
        <v>94</v>
      </c>
      <c r="G32" s="6" t="s">
        <v>33</v>
      </c>
      <c r="H32" s="13" t="s">
        <v>54</v>
      </c>
      <c r="I32" s="9" t="s">
        <v>35</v>
      </c>
    </row>
    <row r="33" customFormat="false" ht="23.25" hidden="false" customHeight="true" outlineLevel="0" collapsed="false">
      <c r="A33" s="5" t="s">
        <v>11</v>
      </c>
      <c r="B33" s="6" t="s">
        <v>95</v>
      </c>
      <c r="C33" s="7" t="n">
        <v>0.25</v>
      </c>
      <c r="D33" s="6" t="s">
        <v>96</v>
      </c>
      <c r="E33" s="6" t="s">
        <v>14</v>
      </c>
      <c r="F33" s="6" t="s">
        <v>97</v>
      </c>
      <c r="G33" s="6" t="s">
        <v>16</v>
      </c>
      <c r="H33" s="8" t="s">
        <v>17</v>
      </c>
      <c r="I33" s="9" t="s">
        <v>18</v>
      </c>
    </row>
    <row r="34" customFormat="false" ht="23.25" hidden="false" customHeight="true" outlineLevel="0" collapsed="false">
      <c r="A34" s="5" t="s">
        <v>11</v>
      </c>
      <c r="B34" s="6" t="s">
        <v>95</v>
      </c>
      <c r="C34" s="7" t="n">
        <v>0.18</v>
      </c>
      <c r="D34" s="6" t="s">
        <v>98</v>
      </c>
      <c r="E34" s="6" t="s">
        <v>27</v>
      </c>
      <c r="F34" s="6" t="s">
        <v>99</v>
      </c>
      <c r="G34" s="6" t="s">
        <v>29</v>
      </c>
      <c r="H34" s="8" t="s">
        <v>17</v>
      </c>
      <c r="I34" s="9" t="s">
        <v>30</v>
      </c>
    </row>
    <row r="35" customFormat="false" ht="23.25" hidden="false" customHeight="true" outlineLevel="0" collapsed="false">
      <c r="A35" s="5" t="s">
        <v>100</v>
      </c>
      <c r="B35" s="6" t="s">
        <v>101</v>
      </c>
      <c r="C35" s="14" t="n">
        <f aca="false">3.2*280/5.22</f>
        <v>171.647509578544</v>
      </c>
      <c r="D35" s="6" t="s">
        <v>102</v>
      </c>
      <c r="E35" s="6" t="s">
        <v>14</v>
      </c>
      <c r="F35" s="6" t="s">
        <v>103</v>
      </c>
      <c r="G35" s="6" t="s">
        <v>16</v>
      </c>
      <c r="H35" s="11" t="s">
        <v>59</v>
      </c>
      <c r="I35" s="9" t="s">
        <v>18</v>
      </c>
    </row>
    <row r="36" customFormat="false" ht="23.25" hidden="false" customHeight="true" outlineLevel="0" collapsed="false">
      <c r="A36" s="5" t="s">
        <v>100</v>
      </c>
      <c r="B36" s="6" t="s">
        <v>101</v>
      </c>
      <c r="C36" s="14" t="n">
        <f aca="false">3.2*280/5.3</f>
        <v>169.056603773585</v>
      </c>
      <c r="D36" s="6" t="s">
        <v>102</v>
      </c>
      <c r="E36" s="6" t="s">
        <v>19</v>
      </c>
      <c r="F36" s="6" t="s">
        <v>104</v>
      </c>
      <c r="G36" s="6" t="s">
        <v>21</v>
      </c>
      <c r="H36" s="11" t="s">
        <v>59</v>
      </c>
      <c r="I36" s="9" t="s">
        <v>22</v>
      </c>
    </row>
    <row r="37" customFormat="false" ht="23.25" hidden="false" customHeight="true" outlineLevel="0" collapsed="false">
      <c r="A37" s="5" t="s">
        <v>100</v>
      </c>
      <c r="B37" s="6" t="s">
        <v>101</v>
      </c>
      <c r="C37" s="14" t="n">
        <f aca="false">1004.8/5.6</f>
        <v>179.428571428571</v>
      </c>
      <c r="D37" s="6" t="s">
        <v>102</v>
      </c>
      <c r="E37" s="6" t="s">
        <v>27</v>
      </c>
      <c r="F37" s="6" t="s">
        <v>105</v>
      </c>
      <c r="G37" s="6" t="s">
        <v>29</v>
      </c>
      <c r="H37" s="11" t="s">
        <v>59</v>
      </c>
      <c r="I37" s="9" t="s">
        <v>30</v>
      </c>
    </row>
    <row r="38" customFormat="false" ht="23.25" hidden="false" customHeight="true" outlineLevel="0" collapsed="false">
      <c r="A38" s="5" t="s">
        <v>100</v>
      </c>
      <c r="B38" s="6" t="s">
        <v>101</v>
      </c>
      <c r="C38" s="14" t="n">
        <f aca="false">3.2*315/5.65</f>
        <v>178.407079646018</v>
      </c>
      <c r="D38" s="6" t="s">
        <v>102</v>
      </c>
      <c r="E38" s="6" t="s">
        <v>36</v>
      </c>
      <c r="F38" s="6" t="s">
        <v>106</v>
      </c>
      <c r="G38" s="6" t="s">
        <v>38</v>
      </c>
      <c r="H38" s="11" t="s">
        <v>107</v>
      </c>
      <c r="I38" s="9" t="s">
        <v>40</v>
      </c>
    </row>
    <row r="39" customFormat="false" ht="23.25" hidden="false" customHeight="true" outlineLevel="0" collapsed="false">
      <c r="A39" s="5" t="s">
        <v>100</v>
      </c>
      <c r="B39" s="6" t="s">
        <v>101</v>
      </c>
      <c r="C39" s="17" t="s">
        <v>108</v>
      </c>
      <c r="D39" s="6" t="s">
        <v>102</v>
      </c>
      <c r="E39" s="6" t="s">
        <v>109</v>
      </c>
      <c r="F39" s="6" t="s">
        <v>110</v>
      </c>
      <c r="G39" s="6" t="s">
        <v>111</v>
      </c>
      <c r="H39" s="11" t="s">
        <v>44</v>
      </c>
      <c r="I39" s="9" t="s">
        <v>84</v>
      </c>
    </row>
    <row r="40" customFormat="false" ht="23.25" hidden="false" customHeight="true" outlineLevel="0" collapsed="false">
      <c r="A40" s="5" t="s">
        <v>100</v>
      </c>
      <c r="B40" s="6" t="s">
        <v>101</v>
      </c>
      <c r="C40" s="14" t="n">
        <f aca="false">407.34/3600*1000</f>
        <v>113.15</v>
      </c>
      <c r="D40" s="6" t="s">
        <v>112</v>
      </c>
      <c r="E40" s="6" t="s">
        <v>113</v>
      </c>
      <c r="F40" s="6" t="s">
        <v>114</v>
      </c>
      <c r="G40" s="6" t="s">
        <v>33</v>
      </c>
      <c r="H40" s="11" t="s">
        <v>59</v>
      </c>
      <c r="I40" s="9" t="s">
        <v>35</v>
      </c>
    </row>
    <row r="41" customFormat="false" ht="23.25" hidden="false" customHeight="true" outlineLevel="0" collapsed="false">
      <c r="A41" s="5" t="s">
        <v>100</v>
      </c>
      <c r="B41" s="6" t="s">
        <v>101</v>
      </c>
      <c r="C41" s="14" t="n">
        <f aca="false">5010/43550*1000</f>
        <v>115.0401836969</v>
      </c>
      <c r="D41" s="6" t="s">
        <v>115</v>
      </c>
      <c r="E41" s="6" t="s">
        <v>116</v>
      </c>
      <c r="F41" s="6" t="s">
        <v>117</v>
      </c>
      <c r="G41" s="6" t="s">
        <v>118</v>
      </c>
      <c r="H41" s="11" t="s">
        <v>59</v>
      </c>
      <c r="I41" s="9" t="s">
        <v>55</v>
      </c>
    </row>
    <row r="42" customFormat="false" ht="23.25" hidden="false" customHeight="true" outlineLevel="0" collapsed="false">
      <c r="A42" s="5" t="s">
        <v>100</v>
      </c>
      <c r="B42" s="6" t="s">
        <v>119</v>
      </c>
      <c r="C42" s="14" t="n">
        <f aca="false">3.2*280/(173.6*72*204.6/1000000)</f>
        <v>350.364554318769</v>
      </c>
      <c r="D42" s="6" t="s">
        <v>120</v>
      </c>
      <c r="E42" s="6" t="s">
        <v>14</v>
      </c>
      <c r="F42" s="6" t="s">
        <v>121</v>
      </c>
      <c r="G42" s="6" t="s">
        <v>16</v>
      </c>
      <c r="H42" s="11" t="s">
        <v>59</v>
      </c>
      <c r="I42" s="9" t="s">
        <v>18</v>
      </c>
    </row>
    <row r="43" customFormat="false" ht="23.25" hidden="false" customHeight="true" outlineLevel="0" collapsed="false">
      <c r="A43" s="5" t="s">
        <v>100</v>
      </c>
      <c r="B43" s="6" t="s">
        <v>119</v>
      </c>
      <c r="C43" s="14" t="n">
        <f aca="false">3.2*280/(173.7*71.5*200.2/1000000)</f>
        <v>360.361243001918</v>
      </c>
      <c r="D43" s="6" t="s">
        <v>120</v>
      </c>
      <c r="E43" s="6" t="s">
        <v>19</v>
      </c>
      <c r="F43" s="6" t="s">
        <v>122</v>
      </c>
      <c r="G43" s="6" t="s">
        <v>21</v>
      </c>
      <c r="H43" s="11" t="s">
        <v>59</v>
      </c>
      <c r="I43" s="9" t="s">
        <v>22</v>
      </c>
    </row>
    <row r="44" customFormat="false" ht="23.25" hidden="false" customHeight="true" outlineLevel="0" collapsed="false">
      <c r="A44" s="5" t="s">
        <v>100</v>
      </c>
      <c r="B44" s="6" t="s">
        <v>119</v>
      </c>
      <c r="C44" s="14" t="n">
        <f aca="false">1004.8/(173.7*71.7*204.6/1000000)</f>
        <v>394.325645484729</v>
      </c>
      <c r="D44" s="6" t="s">
        <v>120</v>
      </c>
      <c r="E44" s="6" t="s">
        <v>27</v>
      </c>
      <c r="F44" s="6" t="s">
        <v>123</v>
      </c>
      <c r="G44" s="6" t="s">
        <v>29</v>
      </c>
      <c r="H44" s="11" t="s">
        <v>59</v>
      </c>
      <c r="I44" s="9" t="s">
        <v>30</v>
      </c>
    </row>
    <row r="45" customFormat="false" ht="23.25" hidden="false" customHeight="true" outlineLevel="0" collapsed="false">
      <c r="A45" s="5" t="s">
        <v>100</v>
      </c>
      <c r="B45" s="6" t="s">
        <v>119</v>
      </c>
      <c r="C45" s="14" t="n">
        <f aca="false">3.2*315/(174.26*71.5*207.01/1000000)</f>
        <v>390.809808674181</v>
      </c>
      <c r="D45" s="6" t="s">
        <v>120</v>
      </c>
      <c r="E45" s="6" t="s">
        <v>36</v>
      </c>
      <c r="F45" s="6" t="s">
        <v>124</v>
      </c>
      <c r="G45" s="6" t="s">
        <v>38</v>
      </c>
      <c r="H45" s="11" t="s">
        <v>107</v>
      </c>
      <c r="I45" s="9" t="s">
        <v>40</v>
      </c>
    </row>
    <row r="46" customFormat="false" ht="23.25" hidden="false" customHeight="true" outlineLevel="0" collapsed="false">
      <c r="A46" s="5" t="s">
        <v>100</v>
      </c>
      <c r="B46" s="6" t="s">
        <v>119</v>
      </c>
      <c r="C46" s="10" t="n">
        <v>430</v>
      </c>
      <c r="D46" s="6" t="s">
        <v>125</v>
      </c>
      <c r="E46" s="6" t="s">
        <v>126</v>
      </c>
      <c r="F46" s="6" t="s">
        <v>127</v>
      </c>
      <c r="G46" s="6" t="s">
        <v>128</v>
      </c>
      <c r="H46" s="11" t="s">
        <v>44</v>
      </c>
      <c r="I46" s="9" t="s">
        <v>129</v>
      </c>
    </row>
    <row r="47" customFormat="false" ht="23.25" hidden="false" customHeight="true" outlineLevel="0" collapsed="false">
      <c r="A47" s="5" t="s">
        <v>100</v>
      </c>
      <c r="B47" s="6" t="s">
        <v>119</v>
      </c>
      <c r="C47" s="10" t="n">
        <v>448</v>
      </c>
      <c r="D47" s="6" t="s">
        <v>120</v>
      </c>
      <c r="E47" s="6" t="s">
        <v>46</v>
      </c>
      <c r="F47" s="6" t="s">
        <v>130</v>
      </c>
      <c r="G47" s="6" t="s">
        <v>48</v>
      </c>
      <c r="H47" s="11" t="s">
        <v>44</v>
      </c>
      <c r="I47" s="9" t="s">
        <v>49</v>
      </c>
    </row>
    <row r="48" customFormat="false" ht="23.25" hidden="false" customHeight="true" outlineLevel="0" collapsed="false">
      <c r="A48" s="5" t="s">
        <v>100</v>
      </c>
      <c r="B48" s="6" t="s">
        <v>119</v>
      </c>
      <c r="C48" s="10" t="n">
        <v>440</v>
      </c>
      <c r="D48" s="6" t="s">
        <v>131</v>
      </c>
      <c r="E48" s="6" t="s">
        <v>41</v>
      </c>
      <c r="F48" s="6" t="s">
        <v>132</v>
      </c>
      <c r="G48" s="6" t="s">
        <v>133</v>
      </c>
      <c r="H48" s="11" t="s">
        <v>44</v>
      </c>
      <c r="I48" s="9" t="s">
        <v>134</v>
      </c>
    </row>
    <row r="49" customFormat="false" ht="23.25" hidden="false" customHeight="true" outlineLevel="0" collapsed="false">
      <c r="A49" s="5" t="s">
        <v>100</v>
      </c>
      <c r="B49" s="6" t="s">
        <v>119</v>
      </c>
      <c r="C49" s="14" t="n">
        <f aca="false">5010/(6.058*2.438*2.896)</f>
        <v>117.132172407946</v>
      </c>
      <c r="D49" s="6" t="s">
        <v>135</v>
      </c>
      <c r="E49" s="6" t="s">
        <v>116</v>
      </c>
      <c r="F49" s="6" t="s">
        <v>136</v>
      </c>
      <c r="G49" s="6" t="s">
        <v>118</v>
      </c>
      <c r="H49" s="11" t="s">
        <v>59</v>
      </c>
      <c r="I49" s="9" t="s">
        <v>55</v>
      </c>
    </row>
    <row r="50" customFormat="false" ht="23.25" hidden="false" customHeight="true" outlineLevel="0" collapsed="false">
      <c r="A50" s="5" t="s">
        <v>137</v>
      </c>
      <c r="B50" s="6" t="s">
        <v>138</v>
      </c>
      <c r="C50" s="18" t="n">
        <v>0.85</v>
      </c>
      <c r="D50" s="6" t="s">
        <v>139</v>
      </c>
      <c r="E50" s="6" t="s">
        <v>140</v>
      </c>
      <c r="F50" s="6" t="s">
        <v>141</v>
      </c>
      <c r="G50" s="6" t="s">
        <v>142</v>
      </c>
      <c r="H50" s="8" t="s">
        <v>143</v>
      </c>
      <c r="I50" s="9" t="s">
        <v>144</v>
      </c>
    </row>
    <row r="51" customFormat="false" ht="23.25" hidden="false" customHeight="true" outlineLevel="0" collapsed="false">
      <c r="A51" s="5" t="s">
        <v>137</v>
      </c>
      <c r="B51" s="6" t="s">
        <v>138</v>
      </c>
      <c r="C51" s="19" t="n">
        <v>0.96</v>
      </c>
      <c r="D51" s="6" t="s">
        <v>145</v>
      </c>
      <c r="E51" s="6" t="s">
        <v>41</v>
      </c>
      <c r="F51" s="6" t="s">
        <v>146</v>
      </c>
      <c r="G51" s="6" t="s">
        <v>43</v>
      </c>
      <c r="H51" s="11" t="s">
        <v>44</v>
      </c>
      <c r="I51" s="9" t="s">
        <v>45</v>
      </c>
    </row>
    <row r="52" customFormat="false" ht="23.25" hidden="false" customHeight="true" outlineLevel="0" collapsed="false">
      <c r="A52" s="5" t="s">
        <v>137</v>
      </c>
      <c r="B52" s="6" t="s">
        <v>138</v>
      </c>
      <c r="C52" s="12" t="s">
        <v>93</v>
      </c>
      <c r="D52" s="6" t="s">
        <v>145</v>
      </c>
      <c r="E52" s="6" t="s">
        <v>113</v>
      </c>
      <c r="F52" s="6" t="s">
        <v>147</v>
      </c>
      <c r="G52" s="6" t="s">
        <v>33</v>
      </c>
      <c r="H52" s="13" t="s">
        <v>54</v>
      </c>
      <c r="I52" s="9" t="s">
        <v>35</v>
      </c>
    </row>
    <row r="53" customFormat="false" ht="15" hidden="false" customHeight="true" outlineLevel="0" collapsed="false">
      <c r="A53" s="5" t="s">
        <v>137</v>
      </c>
      <c r="B53" s="6" t="s">
        <v>138</v>
      </c>
      <c r="C53" s="12" t="s">
        <v>93</v>
      </c>
      <c r="D53" s="6" t="s">
        <v>145</v>
      </c>
      <c r="E53" s="6" t="s">
        <v>148</v>
      </c>
      <c r="F53" s="6" t="s">
        <v>149</v>
      </c>
      <c r="G53" s="6" t="s">
        <v>53</v>
      </c>
      <c r="H53" s="13" t="s">
        <v>54</v>
      </c>
      <c r="I53" s="9" t="s">
        <v>150</v>
      </c>
    </row>
    <row r="54" customFormat="false" ht="23.25" hidden="false" customHeight="true" outlineLevel="0" collapsed="false">
      <c r="A54" s="5" t="s">
        <v>137</v>
      </c>
      <c r="B54" s="6" t="s">
        <v>151</v>
      </c>
      <c r="C54" s="20" t="s">
        <v>152</v>
      </c>
      <c r="D54" s="6" t="s">
        <v>145</v>
      </c>
      <c r="E54" s="6" t="s">
        <v>153</v>
      </c>
      <c r="F54" s="6" t="s">
        <v>154</v>
      </c>
      <c r="G54" s="6" t="s">
        <v>155</v>
      </c>
      <c r="H54" s="21" t="s">
        <v>156</v>
      </c>
      <c r="I54" s="6"/>
    </row>
    <row r="55" customFormat="false" ht="23.25" hidden="false" customHeight="true" outlineLevel="0" collapsed="false">
      <c r="A55" s="5" t="s">
        <v>137</v>
      </c>
      <c r="B55" s="6" t="s">
        <v>157</v>
      </c>
      <c r="C55" s="18" t="n">
        <v>0.03</v>
      </c>
      <c r="D55" s="6" t="s">
        <v>158</v>
      </c>
      <c r="E55" s="6" t="s">
        <v>19</v>
      </c>
      <c r="F55" s="6" t="s">
        <v>159</v>
      </c>
      <c r="G55" s="6" t="s">
        <v>21</v>
      </c>
      <c r="H55" s="8" t="s">
        <v>17</v>
      </c>
      <c r="I55" s="9" t="s">
        <v>22</v>
      </c>
    </row>
    <row r="56" customFormat="false" ht="23.25" hidden="false" customHeight="true" outlineLevel="0" collapsed="false">
      <c r="A56" s="5" t="s">
        <v>137</v>
      </c>
      <c r="B56" s="6" t="s">
        <v>157</v>
      </c>
      <c r="C56" s="18" t="n">
        <v>0.035</v>
      </c>
      <c r="D56" s="6" t="s">
        <v>160</v>
      </c>
      <c r="E56" s="6" t="s">
        <v>27</v>
      </c>
      <c r="F56" s="6" t="s">
        <v>161</v>
      </c>
      <c r="G56" s="6" t="s">
        <v>29</v>
      </c>
      <c r="H56" s="8" t="s">
        <v>17</v>
      </c>
      <c r="I56" s="9" t="s">
        <v>30</v>
      </c>
    </row>
    <row r="57" customFormat="false" ht="23.25" hidden="false" customHeight="true" outlineLevel="0" collapsed="false">
      <c r="A57" s="5" t="s">
        <v>137</v>
      </c>
      <c r="B57" s="6" t="s">
        <v>157</v>
      </c>
      <c r="C57" s="18" t="n">
        <v>0.05</v>
      </c>
      <c r="D57" s="6" t="s">
        <v>162</v>
      </c>
      <c r="E57" s="6" t="s">
        <v>14</v>
      </c>
      <c r="F57" s="6" t="s">
        <v>163</v>
      </c>
      <c r="G57" s="6" t="s">
        <v>16</v>
      </c>
      <c r="H57" s="8" t="s">
        <v>17</v>
      </c>
      <c r="I57" s="9" t="s">
        <v>18</v>
      </c>
    </row>
    <row r="58" customFormat="false" ht="23.25" hidden="false" customHeight="true" outlineLevel="0" collapsed="false">
      <c r="A58" s="5" t="s">
        <v>164</v>
      </c>
      <c r="B58" s="6" t="s">
        <v>165</v>
      </c>
      <c r="C58" s="18" t="n">
        <v>0.8</v>
      </c>
      <c r="D58" s="6" t="s">
        <v>145</v>
      </c>
      <c r="E58" s="6" t="s">
        <v>14</v>
      </c>
      <c r="F58" s="6" t="s">
        <v>166</v>
      </c>
      <c r="G58" s="6" t="s">
        <v>16</v>
      </c>
      <c r="H58" s="8" t="s">
        <v>17</v>
      </c>
      <c r="I58" s="9" t="s">
        <v>18</v>
      </c>
    </row>
    <row r="59" customFormat="false" ht="23.25" hidden="false" customHeight="true" outlineLevel="0" collapsed="false">
      <c r="A59" s="5" t="s">
        <v>164</v>
      </c>
      <c r="B59" s="6" t="s">
        <v>165</v>
      </c>
      <c r="C59" s="18" t="n">
        <v>0.8</v>
      </c>
      <c r="D59" s="6" t="s">
        <v>145</v>
      </c>
      <c r="E59" s="6" t="s">
        <v>19</v>
      </c>
      <c r="F59" s="6" t="s">
        <v>166</v>
      </c>
      <c r="G59" s="6" t="s">
        <v>21</v>
      </c>
      <c r="H59" s="8" t="s">
        <v>17</v>
      </c>
      <c r="I59" s="9" t="s">
        <v>22</v>
      </c>
    </row>
    <row r="60" customFormat="false" ht="23.25" hidden="false" customHeight="true" outlineLevel="0" collapsed="false">
      <c r="A60" s="5" t="s">
        <v>164</v>
      </c>
      <c r="B60" s="6" t="s">
        <v>165</v>
      </c>
      <c r="C60" s="18" t="n">
        <v>1</v>
      </c>
      <c r="D60" s="6" t="s">
        <v>145</v>
      </c>
      <c r="E60" s="6" t="s">
        <v>167</v>
      </c>
      <c r="F60" s="6" t="s">
        <v>168</v>
      </c>
      <c r="G60" s="6" t="s">
        <v>169</v>
      </c>
      <c r="H60" s="8" t="s">
        <v>170</v>
      </c>
      <c r="I60" s="9" t="s">
        <v>150</v>
      </c>
    </row>
    <row r="61" customFormat="false" ht="23.25" hidden="false" customHeight="true" outlineLevel="0" collapsed="false">
      <c r="A61" s="5" t="s">
        <v>164</v>
      </c>
      <c r="B61" s="6" t="s">
        <v>165</v>
      </c>
      <c r="C61" s="12" t="s">
        <v>171</v>
      </c>
      <c r="D61" s="6" t="s">
        <v>145</v>
      </c>
      <c r="E61" s="6" t="s">
        <v>27</v>
      </c>
      <c r="F61" s="6" t="s">
        <v>172</v>
      </c>
      <c r="G61" s="6" t="s">
        <v>29</v>
      </c>
      <c r="H61" s="13" t="s">
        <v>54</v>
      </c>
      <c r="I61" s="9" t="s">
        <v>30</v>
      </c>
    </row>
    <row r="62" customFormat="false" ht="23.25" hidden="false" customHeight="true" outlineLevel="0" collapsed="false">
      <c r="A62" s="5" t="s">
        <v>164</v>
      </c>
      <c r="B62" s="6" t="s">
        <v>173</v>
      </c>
      <c r="C62" s="7" t="n">
        <v>0.5</v>
      </c>
      <c r="D62" s="6" t="s">
        <v>174</v>
      </c>
      <c r="E62" s="6" t="s">
        <v>14</v>
      </c>
      <c r="F62" s="6" t="s">
        <v>175</v>
      </c>
      <c r="G62" s="6" t="s">
        <v>16</v>
      </c>
      <c r="H62" s="8" t="s">
        <v>17</v>
      </c>
      <c r="I62" s="9" t="s">
        <v>18</v>
      </c>
    </row>
    <row r="63" customFormat="false" ht="23.25" hidden="false" customHeight="true" outlineLevel="0" collapsed="false">
      <c r="A63" s="5" t="s">
        <v>164</v>
      </c>
      <c r="B63" s="6" t="s">
        <v>173</v>
      </c>
      <c r="C63" s="7" t="n">
        <v>1</v>
      </c>
      <c r="D63" s="6" t="s">
        <v>176</v>
      </c>
      <c r="E63" s="6" t="s">
        <v>19</v>
      </c>
      <c r="F63" s="6" t="s">
        <v>177</v>
      </c>
      <c r="G63" s="6" t="s">
        <v>21</v>
      </c>
      <c r="H63" s="8" t="s">
        <v>17</v>
      </c>
      <c r="I63" s="9" t="s">
        <v>22</v>
      </c>
    </row>
    <row r="64" customFormat="false" ht="23.25" hidden="false" customHeight="true" outlineLevel="0" collapsed="false">
      <c r="A64" s="5" t="s">
        <v>164</v>
      </c>
      <c r="B64" s="6" t="s">
        <v>173</v>
      </c>
      <c r="C64" s="7" t="n">
        <v>0.5</v>
      </c>
      <c r="D64" s="6" t="s">
        <v>178</v>
      </c>
      <c r="E64" s="6" t="s">
        <v>27</v>
      </c>
      <c r="F64" s="6" t="s">
        <v>179</v>
      </c>
      <c r="G64" s="6" t="s">
        <v>29</v>
      </c>
      <c r="H64" s="8" t="s">
        <v>17</v>
      </c>
      <c r="I64" s="9" t="s">
        <v>30</v>
      </c>
    </row>
    <row r="65" customFormat="false" ht="23.25" hidden="false" customHeight="true" outlineLevel="0" collapsed="false">
      <c r="A65" s="5" t="s">
        <v>164</v>
      </c>
      <c r="B65" s="6" t="s">
        <v>173</v>
      </c>
      <c r="C65" s="7" t="n">
        <v>0.5</v>
      </c>
      <c r="D65" s="6" t="s">
        <v>180</v>
      </c>
      <c r="E65" s="6" t="s">
        <v>113</v>
      </c>
      <c r="F65" s="6" t="s">
        <v>181</v>
      </c>
      <c r="G65" s="6" t="s">
        <v>33</v>
      </c>
      <c r="H65" s="8" t="s">
        <v>34</v>
      </c>
      <c r="I65" s="9" t="s">
        <v>35</v>
      </c>
    </row>
    <row r="66" customFormat="false" ht="23.25" hidden="false" customHeight="true" outlineLevel="0" collapsed="false">
      <c r="A66" s="5" t="s">
        <v>164</v>
      </c>
      <c r="B66" s="6" t="s">
        <v>173</v>
      </c>
      <c r="C66" s="15" t="n">
        <f aca="false">200/466</f>
        <v>0.429184549356223</v>
      </c>
      <c r="D66" s="6" t="s">
        <v>182</v>
      </c>
      <c r="E66" s="6" t="s">
        <v>167</v>
      </c>
      <c r="F66" s="6" t="s">
        <v>183</v>
      </c>
      <c r="G66" s="6" t="s">
        <v>169</v>
      </c>
      <c r="H66" s="11" t="s">
        <v>59</v>
      </c>
      <c r="I66" s="9" t="s">
        <v>150</v>
      </c>
    </row>
    <row r="67" customFormat="false" ht="23.25" hidden="false" customHeight="true" outlineLevel="0" collapsed="false">
      <c r="A67" s="5" t="s">
        <v>164</v>
      </c>
      <c r="B67" s="6" t="s">
        <v>173</v>
      </c>
      <c r="C67" s="15" t="n">
        <f aca="false">2*1253/5010</f>
        <v>0.500199600798403</v>
      </c>
      <c r="D67" s="6" t="s">
        <v>182</v>
      </c>
      <c r="E67" s="6" t="s">
        <v>116</v>
      </c>
      <c r="F67" s="6" t="s">
        <v>184</v>
      </c>
      <c r="G67" s="6" t="s">
        <v>118</v>
      </c>
      <c r="H67" s="11" t="s">
        <v>59</v>
      </c>
      <c r="I67" s="9" t="s">
        <v>55</v>
      </c>
    </row>
    <row r="68" customFormat="false" ht="23.25" hidden="false" customHeight="true" outlineLevel="0" collapsed="false">
      <c r="A68" s="5" t="s">
        <v>164</v>
      </c>
      <c r="B68" s="6" t="s">
        <v>173</v>
      </c>
      <c r="C68" s="15" t="n">
        <f aca="false">2.5/5</f>
        <v>0.5</v>
      </c>
      <c r="D68" s="6" t="s">
        <v>182</v>
      </c>
      <c r="E68" s="6" t="s">
        <v>185</v>
      </c>
      <c r="F68" s="6" t="s">
        <v>186</v>
      </c>
      <c r="G68" s="6" t="s">
        <v>187</v>
      </c>
      <c r="H68" s="11" t="s">
        <v>188</v>
      </c>
      <c r="I68" s="9" t="s">
        <v>189</v>
      </c>
    </row>
    <row r="69" customFormat="false" ht="23.25" hidden="false" customHeight="true" outlineLevel="0" collapsed="false">
      <c r="A69" s="5" t="s">
        <v>164</v>
      </c>
      <c r="B69" s="6" t="s">
        <v>190</v>
      </c>
      <c r="C69" s="7" t="n">
        <v>2</v>
      </c>
      <c r="D69" s="6" t="s">
        <v>191</v>
      </c>
      <c r="E69" s="6" t="s">
        <v>19</v>
      </c>
      <c r="F69" s="6" t="s">
        <v>192</v>
      </c>
      <c r="G69" s="6" t="s">
        <v>21</v>
      </c>
      <c r="H69" s="8" t="s">
        <v>17</v>
      </c>
      <c r="I69" s="9" t="s">
        <v>22</v>
      </c>
    </row>
    <row r="70" customFormat="false" ht="23.25" hidden="false" customHeight="true" outlineLevel="0" collapsed="false">
      <c r="A70" s="5" t="s">
        <v>164</v>
      </c>
      <c r="B70" s="6" t="s">
        <v>190</v>
      </c>
      <c r="C70" s="15" t="n">
        <f aca="false">195.8/306</f>
        <v>0.639869281045752</v>
      </c>
      <c r="D70" s="6" t="s">
        <v>193</v>
      </c>
      <c r="E70" s="6" t="s">
        <v>113</v>
      </c>
      <c r="F70" s="6" t="s">
        <v>194</v>
      </c>
      <c r="G70" s="6" t="s">
        <v>33</v>
      </c>
      <c r="H70" s="11" t="s">
        <v>59</v>
      </c>
      <c r="I70" s="9" t="s">
        <v>35</v>
      </c>
    </row>
    <row r="71" customFormat="false" ht="15" hidden="false" customHeight="true" outlineLevel="0" collapsed="false">
      <c r="A71" s="5" t="s">
        <v>164</v>
      </c>
      <c r="B71" s="6" t="s">
        <v>190</v>
      </c>
      <c r="C71" s="20" t="s">
        <v>195</v>
      </c>
      <c r="D71" s="6" t="s">
        <v>196</v>
      </c>
      <c r="E71" s="6" t="s">
        <v>153</v>
      </c>
      <c r="F71" s="6" t="s">
        <v>197</v>
      </c>
      <c r="G71" s="6" t="s">
        <v>155</v>
      </c>
      <c r="H71" s="21" t="s">
        <v>156</v>
      </c>
      <c r="I71" s="6"/>
    </row>
    <row r="72" customFormat="false" ht="23.25" hidden="false" customHeight="true" outlineLevel="0" collapsed="false">
      <c r="A72" s="5" t="s">
        <v>198</v>
      </c>
      <c r="B72" s="6" t="s">
        <v>199</v>
      </c>
      <c r="C72" s="7" t="n">
        <v>6000</v>
      </c>
      <c r="D72" s="6" t="s">
        <v>200</v>
      </c>
      <c r="E72" s="6" t="s">
        <v>14</v>
      </c>
      <c r="F72" s="6" t="s">
        <v>201</v>
      </c>
      <c r="G72" s="6" t="s">
        <v>16</v>
      </c>
      <c r="H72" s="8" t="s">
        <v>17</v>
      </c>
      <c r="I72" s="9" t="s">
        <v>18</v>
      </c>
    </row>
    <row r="73" customFormat="false" ht="23.25" hidden="false" customHeight="true" outlineLevel="0" collapsed="false">
      <c r="A73" s="5" t="s">
        <v>198</v>
      </c>
      <c r="B73" s="6" t="s">
        <v>199</v>
      </c>
      <c r="C73" s="7" t="n">
        <v>2500</v>
      </c>
      <c r="D73" s="6" t="s">
        <v>200</v>
      </c>
      <c r="E73" s="6" t="s">
        <v>14</v>
      </c>
      <c r="F73" s="6" t="s">
        <v>202</v>
      </c>
      <c r="G73" s="6" t="s">
        <v>16</v>
      </c>
      <c r="H73" s="8" t="s">
        <v>17</v>
      </c>
      <c r="I73" s="9" t="s">
        <v>18</v>
      </c>
    </row>
    <row r="74" customFormat="false" ht="23.25" hidden="false" customHeight="true" outlineLevel="0" collapsed="false">
      <c r="A74" s="5" t="s">
        <v>198</v>
      </c>
      <c r="B74" s="6" t="s">
        <v>199</v>
      </c>
      <c r="C74" s="7" t="n">
        <v>3500</v>
      </c>
      <c r="D74" s="6" t="s">
        <v>200</v>
      </c>
      <c r="E74" s="6" t="s">
        <v>19</v>
      </c>
      <c r="F74" s="6" t="s">
        <v>203</v>
      </c>
      <c r="G74" s="6" t="s">
        <v>21</v>
      </c>
      <c r="H74" s="8" t="s">
        <v>17</v>
      </c>
      <c r="I74" s="9" t="s">
        <v>22</v>
      </c>
    </row>
    <row r="75" customFormat="false" ht="23.25" hidden="false" customHeight="true" outlineLevel="0" collapsed="false">
      <c r="A75" s="5" t="s">
        <v>198</v>
      </c>
      <c r="B75" s="6" t="s">
        <v>199</v>
      </c>
      <c r="C75" s="7" t="n">
        <v>1800</v>
      </c>
      <c r="D75" s="6" t="s">
        <v>200</v>
      </c>
      <c r="E75" s="6" t="s">
        <v>19</v>
      </c>
      <c r="F75" s="6" t="s">
        <v>204</v>
      </c>
      <c r="G75" s="6" t="s">
        <v>21</v>
      </c>
      <c r="H75" s="8" t="s">
        <v>17</v>
      </c>
      <c r="I75" s="9" t="s">
        <v>22</v>
      </c>
    </row>
    <row r="76" customFormat="false" ht="23.25" hidden="false" customHeight="true" outlineLevel="0" collapsed="false">
      <c r="A76" s="5" t="s">
        <v>198</v>
      </c>
      <c r="B76" s="6" t="s">
        <v>199</v>
      </c>
      <c r="C76" s="7" t="n">
        <v>3500</v>
      </c>
      <c r="D76" s="6" t="s">
        <v>200</v>
      </c>
      <c r="E76" s="6" t="s">
        <v>23</v>
      </c>
      <c r="F76" s="6" t="s">
        <v>205</v>
      </c>
      <c r="G76" s="6" t="s">
        <v>25</v>
      </c>
      <c r="H76" s="8" t="s">
        <v>17</v>
      </c>
      <c r="I76" s="9" t="s">
        <v>26</v>
      </c>
    </row>
    <row r="77" customFormat="false" ht="23.25" hidden="false" customHeight="true" outlineLevel="0" collapsed="false">
      <c r="A77" s="5" t="s">
        <v>198</v>
      </c>
      <c r="B77" s="6" t="s">
        <v>199</v>
      </c>
      <c r="C77" s="7" t="n">
        <v>8000</v>
      </c>
      <c r="D77" s="6" t="s">
        <v>206</v>
      </c>
      <c r="E77" s="6" t="s">
        <v>27</v>
      </c>
      <c r="F77" s="6" t="s">
        <v>207</v>
      </c>
      <c r="G77" s="6" t="s">
        <v>29</v>
      </c>
      <c r="H77" s="8" t="s">
        <v>17</v>
      </c>
      <c r="I77" s="9" t="s">
        <v>30</v>
      </c>
    </row>
    <row r="78" customFormat="false" ht="23.25" hidden="false" customHeight="true" outlineLevel="0" collapsed="false">
      <c r="A78" s="5" t="s">
        <v>198</v>
      </c>
      <c r="B78" s="6" t="s">
        <v>199</v>
      </c>
      <c r="C78" s="10" t="n">
        <v>12000</v>
      </c>
      <c r="D78" s="6" t="s">
        <v>208</v>
      </c>
      <c r="E78" s="6" t="s">
        <v>113</v>
      </c>
      <c r="F78" s="6" t="s">
        <v>209</v>
      </c>
      <c r="G78" s="6" t="s">
        <v>210</v>
      </c>
      <c r="H78" s="11" t="s">
        <v>211</v>
      </c>
      <c r="I78" s="9" t="s">
        <v>212</v>
      </c>
    </row>
    <row r="79" customFormat="false" ht="23.25" hidden="false" customHeight="true" outlineLevel="0" collapsed="false">
      <c r="A79" s="5" t="s">
        <v>198</v>
      </c>
      <c r="B79" s="6" t="s">
        <v>199</v>
      </c>
      <c r="C79" s="10" t="n">
        <v>10000</v>
      </c>
      <c r="D79" s="6" t="s">
        <v>200</v>
      </c>
      <c r="E79" s="6" t="s">
        <v>36</v>
      </c>
      <c r="F79" s="6" t="s">
        <v>213</v>
      </c>
      <c r="G79" s="6" t="s">
        <v>38</v>
      </c>
      <c r="H79" s="11" t="s">
        <v>39</v>
      </c>
      <c r="I79" s="9" t="s">
        <v>40</v>
      </c>
    </row>
    <row r="80" customFormat="false" ht="23.25" hidden="false" customHeight="true" outlineLevel="0" collapsed="false">
      <c r="A80" s="5" t="s">
        <v>198</v>
      </c>
      <c r="B80" s="6" t="s">
        <v>199</v>
      </c>
      <c r="C80" s="10" t="n">
        <v>16000</v>
      </c>
      <c r="D80" s="6" t="s">
        <v>214</v>
      </c>
      <c r="E80" s="6" t="s">
        <v>41</v>
      </c>
      <c r="F80" s="6" t="s">
        <v>215</v>
      </c>
      <c r="G80" s="6" t="s">
        <v>43</v>
      </c>
      <c r="H80" s="11" t="s">
        <v>44</v>
      </c>
      <c r="I80" s="9" t="s">
        <v>45</v>
      </c>
    </row>
    <row r="81" customFormat="false" ht="23.25" hidden="false" customHeight="true" outlineLevel="0" collapsed="false">
      <c r="A81" s="5" t="s">
        <v>198</v>
      </c>
      <c r="B81" s="6" t="s">
        <v>199</v>
      </c>
      <c r="C81" s="10" t="n">
        <v>3000</v>
      </c>
      <c r="D81" s="6" t="s">
        <v>206</v>
      </c>
      <c r="E81" s="6" t="s">
        <v>46</v>
      </c>
      <c r="F81" s="6" t="s">
        <v>216</v>
      </c>
      <c r="G81" s="6" t="s">
        <v>217</v>
      </c>
      <c r="H81" s="11" t="s">
        <v>44</v>
      </c>
      <c r="I81" s="9" t="s">
        <v>218</v>
      </c>
    </row>
    <row r="82" customFormat="false" ht="15" hidden="false" customHeight="true" outlineLevel="0" collapsed="false">
      <c r="A82" s="5" t="s">
        <v>198</v>
      </c>
      <c r="B82" s="6" t="s">
        <v>199</v>
      </c>
      <c r="C82" s="12" t="s">
        <v>50</v>
      </c>
      <c r="D82" s="6" t="s">
        <v>206</v>
      </c>
      <c r="E82" s="6" t="s">
        <v>219</v>
      </c>
      <c r="F82" s="6" t="s">
        <v>220</v>
      </c>
      <c r="G82" s="6" t="s">
        <v>53</v>
      </c>
      <c r="H82" s="13" t="s">
        <v>54</v>
      </c>
      <c r="I82" s="9" t="s">
        <v>150</v>
      </c>
    </row>
    <row r="83" customFormat="false" ht="23.25" hidden="false" customHeight="true" outlineLevel="0" collapsed="false">
      <c r="A83" s="5" t="s">
        <v>198</v>
      </c>
      <c r="B83" s="6" t="s">
        <v>221</v>
      </c>
      <c r="C83" s="7" t="n">
        <v>15</v>
      </c>
      <c r="D83" s="6" t="s">
        <v>222</v>
      </c>
      <c r="E83" s="6" t="s">
        <v>140</v>
      </c>
      <c r="F83" s="6" t="s">
        <v>223</v>
      </c>
      <c r="G83" s="6" t="s">
        <v>142</v>
      </c>
      <c r="H83" s="8" t="s">
        <v>143</v>
      </c>
      <c r="I83" s="9" t="s">
        <v>144</v>
      </c>
    </row>
    <row r="84" customFormat="false" ht="23.25" hidden="false" customHeight="true" outlineLevel="0" collapsed="false">
      <c r="A84" s="5" t="s">
        <v>198</v>
      </c>
      <c r="B84" s="6" t="s">
        <v>221</v>
      </c>
      <c r="C84" s="20" t="s">
        <v>224</v>
      </c>
      <c r="D84" s="6" t="s">
        <v>222</v>
      </c>
      <c r="E84" s="6" t="s">
        <v>153</v>
      </c>
      <c r="F84" s="6" t="s">
        <v>225</v>
      </c>
      <c r="G84" s="6" t="s">
        <v>155</v>
      </c>
      <c r="H84" s="21" t="s">
        <v>156</v>
      </c>
      <c r="I84" s="6"/>
    </row>
    <row r="85" customFormat="false" ht="23.25" hidden="false" customHeight="true" outlineLevel="0" collapsed="false">
      <c r="A85" s="5" t="s">
        <v>198</v>
      </c>
      <c r="B85" s="6" t="s">
        <v>226</v>
      </c>
      <c r="C85" s="10" t="n">
        <v>5</v>
      </c>
      <c r="D85" s="6" t="s">
        <v>222</v>
      </c>
      <c r="E85" s="6" t="s">
        <v>126</v>
      </c>
      <c r="F85" s="6" t="s">
        <v>227</v>
      </c>
      <c r="G85" s="6" t="s">
        <v>128</v>
      </c>
      <c r="H85" s="11" t="s">
        <v>44</v>
      </c>
      <c r="I85" s="9" t="s">
        <v>129</v>
      </c>
    </row>
    <row r="86" customFormat="false" ht="23.25" hidden="false" customHeight="true" outlineLevel="0" collapsed="false">
      <c r="A86" s="5" t="s">
        <v>198</v>
      </c>
      <c r="B86" s="6" t="s">
        <v>226</v>
      </c>
      <c r="C86" s="10" t="n">
        <v>3</v>
      </c>
      <c r="D86" s="6" t="s">
        <v>222</v>
      </c>
      <c r="E86" s="6" t="s">
        <v>185</v>
      </c>
      <c r="F86" s="6" t="s">
        <v>228</v>
      </c>
      <c r="G86" s="6" t="s">
        <v>187</v>
      </c>
      <c r="H86" s="11" t="s">
        <v>44</v>
      </c>
      <c r="I86" s="9" t="s">
        <v>189</v>
      </c>
    </row>
    <row r="87" customFormat="false" ht="15" hidden="false" customHeight="true" outlineLevel="0" collapsed="false">
      <c r="A87" s="5" t="s">
        <v>198</v>
      </c>
      <c r="B87" s="6" t="s">
        <v>229</v>
      </c>
      <c r="C87" s="20" t="s">
        <v>230</v>
      </c>
      <c r="D87" s="6" t="s">
        <v>231</v>
      </c>
      <c r="E87" s="6" t="s">
        <v>153</v>
      </c>
      <c r="F87" s="6" t="s">
        <v>232</v>
      </c>
      <c r="G87" s="6" t="s">
        <v>155</v>
      </c>
      <c r="H87" s="21" t="s">
        <v>156</v>
      </c>
      <c r="I87" s="6"/>
    </row>
    <row r="88" customFormat="false" ht="26.25" hidden="false" customHeight="true" outlineLevel="0" collapsed="false">
      <c r="A88" s="5" t="s">
        <v>233</v>
      </c>
      <c r="B88" s="6" t="s">
        <v>234</v>
      </c>
      <c r="C88" s="16" t="s">
        <v>235</v>
      </c>
      <c r="D88" s="6" t="s">
        <v>236</v>
      </c>
      <c r="E88" s="6" t="s">
        <v>14</v>
      </c>
      <c r="F88" s="6"/>
      <c r="G88" s="6" t="s">
        <v>16</v>
      </c>
      <c r="H88" s="8" t="s">
        <v>17</v>
      </c>
      <c r="I88" s="9" t="s">
        <v>18</v>
      </c>
    </row>
    <row r="89" customFormat="false" ht="26.25" hidden="false" customHeight="true" outlineLevel="0" collapsed="false">
      <c r="A89" s="5" t="s">
        <v>233</v>
      </c>
      <c r="B89" s="6" t="s">
        <v>234</v>
      </c>
      <c r="C89" s="16" t="s">
        <v>237</v>
      </c>
      <c r="D89" s="6" t="s">
        <v>236</v>
      </c>
      <c r="E89" s="6" t="s">
        <v>19</v>
      </c>
      <c r="F89" s="6"/>
      <c r="G89" s="6" t="s">
        <v>21</v>
      </c>
      <c r="H89" s="8" t="s">
        <v>17</v>
      </c>
      <c r="I89" s="9" t="s">
        <v>22</v>
      </c>
    </row>
    <row r="90" customFormat="false" ht="26.25" hidden="false" customHeight="true" outlineLevel="0" collapsed="false">
      <c r="A90" s="5" t="s">
        <v>233</v>
      </c>
      <c r="B90" s="6" t="s">
        <v>234</v>
      </c>
      <c r="C90" s="16" t="s">
        <v>237</v>
      </c>
      <c r="D90" s="6" t="s">
        <v>236</v>
      </c>
      <c r="E90" s="6" t="s">
        <v>27</v>
      </c>
      <c r="F90" s="6" t="s">
        <v>238</v>
      </c>
      <c r="G90" s="6" t="s">
        <v>29</v>
      </c>
      <c r="H90" s="8" t="s">
        <v>17</v>
      </c>
      <c r="I90" s="9" t="s">
        <v>30</v>
      </c>
    </row>
    <row r="91" customFormat="false" ht="26.25" hidden="false" customHeight="true" outlineLevel="0" collapsed="false">
      <c r="A91" s="5" t="s">
        <v>233</v>
      </c>
      <c r="B91" s="6" t="s">
        <v>234</v>
      </c>
      <c r="C91" s="16" t="s">
        <v>239</v>
      </c>
      <c r="D91" s="6" t="s">
        <v>240</v>
      </c>
      <c r="E91" s="6" t="s">
        <v>113</v>
      </c>
      <c r="F91" s="6" t="s">
        <v>241</v>
      </c>
      <c r="G91" s="6" t="s">
        <v>33</v>
      </c>
      <c r="H91" s="8" t="s">
        <v>34</v>
      </c>
      <c r="I91" s="9" t="s">
        <v>35</v>
      </c>
    </row>
    <row r="92" customFormat="false" ht="26.25" hidden="false" customHeight="true" outlineLevel="0" collapsed="false">
      <c r="A92" s="5" t="s">
        <v>233</v>
      </c>
      <c r="B92" s="6" t="s">
        <v>234</v>
      </c>
      <c r="C92" s="16" t="s">
        <v>242</v>
      </c>
      <c r="D92" s="6" t="s">
        <v>243</v>
      </c>
      <c r="E92" s="6" t="s">
        <v>116</v>
      </c>
      <c r="F92" s="6" t="s">
        <v>244</v>
      </c>
      <c r="G92" s="6" t="s">
        <v>118</v>
      </c>
      <c r="H92" s="8" t="s">
        <v>245</v>
      </c>
      <c r="I92" s="9" t="s">
        <v>55</v>
      </c>
    </row>
    <row r="93" customFormat="false" ht="26.25" hidden="false" customHeight="true" outlineLevel="0" collapsed="false">
      <c r="A93" s="5" t="s">
        <v>233</v>
      </c>
      <c r="B93" s="6" t="s">
        <v>234</v>
      </c>
      <c r="C93" s="17" t="s">
        <v>246</v>
      </c>
      <c r="D93" s="6" t="s">
        <v>243</v>
      </c>
      <c r="E93" s="6" t="s">
        <v>185</v>
      </c>
      <c r="F93" s="6" t="s">
        <v>247</v>
      </c>
      <c r="G93" s="6" t="s">
        <v>187</v>
      </c>
      <c r="H93" s="11" t="s">
        <v>44</v>
      </c>
      <c r="I93" s="9" t="s">
        <v>189</v>
      </c>
    </row>
    <row r="94" customFormat="false" ht="26.25" hidden="false" customHeight="true" outlineLevel="0" collapsed="false">
      <c r="A94" s="5" t="s">
        <v>233</v>
      </c>
      <c r="B94" s="6" t="s">
        <v>248</v>
      </c>
      <c r="C94" s="16" t="s">
        <v>249</v>
      </c>
      <c r="D94" s="6" t="s">
        <v>236</v>
      </c>
      <c r="E94" s="6" t="s">
        <v>14</v>
      </c>
      <c r="F94" s="6" t="s">
        <v>250</v>
      </c>
      <c r="G94" s="6" t="s">
        <v>16</v>
      </c>
      <c r="H94" s="8" t="s">
        <v>17</v>
      </c>
      <c r="I94" s="9" t="s">
        <v>18</v>
      </c>
    </row>
    <row r="95" customFormat="false" ht="26.25" hidden="false" customHeight="true" outlineLevel="0" collapsed="false">
      <c r="A95" s="5" t="s">
        <v>233</v>
      </c>
      <c r="B95" s="6" t="s">
        <v>248</v>
      </c>
      <c r="C95" s="16" t="s">
        <v>251</v>
      </c>
      <c r="D95" s="6" t="s">
        <v>236</v>
      </c>
      <c r="E95" s="6" t="s">
        <v>19</v>
      </c>
      <c r="F95" s="6"/>
      <c r="G95" s="6" t="s">
        <v>21</v>
      </c>
      <c r="H95" s="8" t="s">
        <v>17</v>
      </c>
      <c r="I95" s="9" t="s">
        <v>22</v>
      </c>
    </row>
    <row r="96" customFormat="false" ht="26.25" hidden="false" customHeight="true" outlineLevel="0" collapsed="false">
      <c r="A96" s="5" t="s">
        <v>233</v>
      </c>
      <c r="B96" s="6" t="s">
        <v>248</v>
      </c>
      <c r="C96" s="16" t="s">
        <v>249</v>
      </c>
      <c r="D96" s="6" t="s">
        <v>236</v>
      </c>
      <c r="E96" s="6" t="s">
        <v>23</v>
      </c>
      <c r="F96" s="6" t="s">
        <v>252</v>
      </c>
      <c r="G96" s="6" t="s">
        <v>25</v>
      </c>
      <c r="H96" s="8" t="s">
        <v>17</v>
      </c>
      <c r="I96" s="9" t="s">
        <v>26</v>
      </c>
    </row>
    <row r="97" customFormat="false" ht="26.25" hidden="false" customHeight="true" outlineLevel="0" collapsed="false">
      <c r="A97" s="5" t="s">
        <v>233</v>
      </c>
      <c r="B97" s="6" t="s">
        <v>248</v>
      </c>
      <c r="C97" s="16" t="s">
        <v>251</v>
      </c>
      <c r="D97" s="6" t="s">
        <v>236</v>
      </c>
      <c r="E97" s="6" t="s">
        <v>27</v>
      </c>
      <c r="F97" s="6" t="s">
        <v>253</v>
      </c>
      <c r="G97" s="6" t="s">
        <v>29</v>
      </c>
      <c r="H97" s="8" t="s">
        <v>17</v>
      </c>
      <c r="I97" s="9" t="s">
        <v>30</v>
      </c>
    </row>
    <row r="98" customFormat="false" ht="26.25" hidden="false" customHeight="true" outlineLevel="0" collapsed="false">
      <c r="A98" s="5" t="s">
        <v>233</v>
      </c>
      <c r="B98" s="6" t="s">
        <v>248</v>
      </c>
      <c r="C98" s="16" t="s">
        <v>239</v>
      </c>
      <c r="D98" s="6" t="s">
        <v>240</v>
      </c>
      <c r="E98" s="6" t="s">
        <v>113</v>
      </c>
      <c r="F98" s="6" t="s">
        <v>254</v>
      </c>
      <c r="G98" s="6" t="s">
        <v>33</v>
      </c>
      <c r="H98" s="8" t="s">
        <v>34</v>
      </c>
      <c r="I98" s="9" t="s">
        <v>35</v>
      </c>
    </row>
    <row r="99" customFormat="false" ht="26.25" hidden="false" customHeight="true" outlineLevel="0" collapsed="false">
      <c r="A99" s="5" t="s">
        <v>233</v>
      </c>
      <c r="B99" s="6" t="s">
        <v>255</v>
      </c>
      <c r="C99" s="16" t="s">
        <v>256</v>
      </c>
      <c r="D99" s="6" t="s">
        <v>257</v>
      </c>
      <c r="E99" s="6" t="s">
        <v>27</v>
      </c>
      <c r="F99" s="6" t="s">
        <v>258</v>
      </c>
      <c r="G99" s="6" t="s">
        <v>29</v>
      </c>
      <c r="H99" s="8" t="s">
        <v>17</v>
      </c>
      <c r="I99" s="9" t="s">
        <v>30</v>
      </c>
    </row>
    <row r="100" customFormat="false" ht="26.25" hidden="false" customHeight="true" outlineLevel="0" collapsed="false">
      <c r="A100" s="5" t="s">
        <v>233</v>
      </c>
      <c r="B100" s="6" t="s">
        <v>255</v>
      </c>
      <c r="C100" s="16" t="s">
        <v>256</v>
      </c>
      <c r="D100" s="6" t="s">
        <v>257</v>
      </c>
      <c r="E100" s="6" t="s">
        <v>23</v>
      </c>
      <c r="F100" s="6" t="s">
        <v>259</v>
      </c>
      <c r="G100" s="6" t="s">
        <v>25</v>
      </c>
      <c r="H100" s="8" t="s">
        <v>17</v>
      </c>
      <c r="I100" s="9" t="s">
        <v>26</v>
      </c>
    </row>
    <row r="101" customFormat="false" ht="26.25" hidden="false" customHeight="true" outlineLevel="0" collapsed="false">
      <c r="A101" s="5" t="s">
        <v>233</v>
      </c>
      <c r="B101" s="6" t="s">
        <v>260</v>
      </c>
      <c r="C101" s="20" t="s">
        <v>261</v>
      </c>
      <c r="D101" s="6" t="s">
        <v>262</v>
      </c>
      <c r="E101" s="6" t="s">
        <v>153</v>
      </c>
      <c r="F101" s="6" t="s">
        <v>263</v>
      </c>
      <c r="G101" s="6" t="s">
        <v>155</v>
      </c>
      <c r="H101" s="21" t="s">
        <v>156</v>
      </c>
      <c r="I101" s="6"/>
    </row>
    <row r="102" customFormat="false" ht="15" hidden="false" customHeight="true" outlineLevel="0" collapsed="false">
      <c r="A102" s="5" t="s">
        <v>264</v>
      </c>
      <c r="B102" s="6" t="s">
        <v>265</v>
      </c>
      <c r="C102" s="20" t="s">
        <v>266</v>
      </c>
      <c r="D102" s="6" t="s">
        <v>267</v>
      </c>
      <c r="E102" s="6" t="s">
        <v>153</v>
      </c>
      <c r="F102" s="6" t="s">
        <v>268</v>
      </c>
      <c r="G102" s="6" t="s">
        <v>155</v>
      </c>
      <c r="H102" s="21" t="s">
        <v>156</v>
      </c>
      <c r="I102" s="6"/>
    </row>
    <row r="103" customFormat="false" ht="15" hidden="false" customHeight="true" outlineLevel="0" collapsed="false">
      <c r="A103" s="5" t="s">
        <v>264</v>
      </c>
      <c r="B103" s="6" t="s">
        <v>269</v>
      </c>
      <c r="C103" s="7" t="n">
        <v>70</v>
      </c>
      <c r="D103" s="6" t="s">
        <v>270</v>
      </c>
      <c r="E103" s="6" t="s">
        <v>271</v>
      </c>
      <c r="F103" s="6" t="s">
        <v>272</v>
      </c>
      <c r="G103" s="6" t="s">
        <v>273</v>
      </c>
      <c r="H103" s="8" t="s">
        <v>143</v>
      </c>
      <c r="I103" s="9" t="s">
        <v>274</v>
      </c>
    </row>
    <row r="104" customFormat="false" ht="15" hidden="false" customHeight="true" outlineLevel="0" collapsed="false">
      <c r="A104" s="5" t="s">
        <v>264</v>
      </c>
      <c r="B104" s="6" t="s">
        <v>275</v>
      </c>
      <c r="C104" s="7" t="n">
        <v>81</v>
      </c>
      <c r="D104" s="6" t="s">
        <v>270</v>
      </c>
      <c r="E104" s="6" t="s">
        <v>271</v>
      </c>
      <c r="F104" s="6"/>
      <c r="G104" s="6" t="s">
        <v>273</v>
      </c>
      <c r="H104" s="8" t="s">
        <v>143</v>
      </c>
      <c r="I104" s="9" t="s">
        <v>274</v>
      </c>
    </row>
    <row r="105" customFormat="false" ht="15" hidden="false" customHeight="true" outlineLevel="0" collapsed="false">
      <c r="A105" s="5" t="s">
        <v>264</v>
      </c>
      <c r="B105" s="6" t="s">
        <v>276</v>
      </c>
      <c r="C105" s="7" t="n">
        <v>334</v>
      </c>
      <c r="D105" s="6" t="s">
        <v>277</v>
      </c>
      <c r="E105" s="6" t="s">
        <v>140</v>
      </c>
      <c r="F105" s="6" t="s">
        <v>278</v>
      </c>
      <c r="G105" s="6" t="s">
        <v>142</v>
      </c>
      <c r="H105" s="8" t="s">
        <v>143</v>
      </c>
      <c r="I105" s="9" t="s">
        <v>144</v>
      </c>
    </row>
    <row r="106" customFormat="false" ht="23.25" hidden="false" customHeight="true" outlineLevel="0" collapsed="false">
      <c r="A106" s="5" t="s">
        <v>264</v>
      </c>
      <c r="B106" s="6" t="s">
        <v>279</v>
      </c>
      <c r="C106" s="7" t="n">
        <v>279</v>
      </c>
      <c r="D106" s="6" t="s">
        <v>280</v>
      </c>
      <c r="E106" s="6" t="s">
        <v>140</v>
      </c>
      <c r="F106" s="6" t="s">
        <v>281</v>
      </c>
      <c r="G106" s="6" t="s">
        <v>142</v>
      </c>
      <c r="H106" s="8" t="s">
        <v>143</v>
      </c>
      <c r="I106" s="9" t="s">
        <v>144</v>
      </c>
    </row>
    <row r="107" customFormat="false" ht="23.25" hidden="false" customHeight="true" outlineLevel="0" collapsed="false">
      <c r="A107" s="5" t="s">
        <v>264</v>
      </c>
      <c r="B107" s="6" t="s">
        <v>282</v>
      </c>
      <c r="C107" s="7" t="n">
        <v>178</v>
      </c>
      <c r="D107" s="6" t="s">
        <v>280</v>
      </c>
      <c r="E107" s="6" t="s">
        <v>140</v>
      </c>
      <c r="F107" s="6" t="s">
        <v>283</v>
      </c>
      <c r="G107" s="6" t="s">
        <v>142</v>
      </c>
      <c r="H107" s="8" t="s">
        <v>143</v>
      </c>
      <c r="I107" s="9" t="s">
        <v>144</v>
      </c>
    </row>
    <row r="108" customFormat="false" ht="23.25" hidden="false" customHeight="true" outlineLevel="0" collapsed="false">
      <c r="A108" s="5" t="s">
        <v>264</v>
      </c>
      <c r="B108" s="6" t="s">
        <v>276</v>
      </c>
      <c r="C108" s="7" t="n">
        <v>192</v>
      </c>
      <c r="D108" s="6" t="s">
        <v>284</v>
      </c>
      <c r="E108" s="6" t="s">
        <v>285</v>
      </c>
      <c r="F108" s="6" t="s">
        <v>286</v>
      </c>
      <c r="G108" s="6" t="s">
        <v>287</v>
      </c>
      <c r="H108" s="8" t="s">
        <v>143</v>
      </c>
      <c r="I108" s="9" t="s">
        <v>288</v>
      </c>
    </row>
    <row r="109" customFormat="false" ht="23.25" hidden="false" customHeight="true" outlineLevel="0" collapsed="false">
      <c r="A109" s="5" t="s">
        <v>264</v>
      </c>
      <c r="B109" s="6" t="s">
        <v>289</v>
      </c>
      <c r="C109" s="7" t="n">
        <v>165</v>
      </c>
      <c r="D109" s="6" t="s">
        <v>284</v>
      </c>
      <c r="E109" s="6" t="s">
        <v>290</v>
      </c>
      <c r="F109" s="6" t="s">
        <v>291</v>
      </c>
      <c r="G109" s="6" t="s">
        <v>292</v>
      </c>
      <c r="H109" s="8" t="s">
        <v>143</v>
      </c>
      <c r="I109" s="9" t="s">
        <v>293</v>
      </c>
    </row>
    <row r="110" customFormat="false" ht="23.25" hidden="false" customHeight="true" outlineLevel="0" collapsed="false">
      <c r="A110" s="5" t="s">
        <v>264</v>
      </c>
      <c r="B110" s="6" t="s">
        <v>294</v>
      </c>
      <c r="C110" s="14" t="n">
        <f aca="false">17.98*1000000/125000</f>
        <v>143.84</v>
      </c>
      <c r="D110" s="6" t="s">
        <v>295</v>
      </c>
      <c r="E110" s="6" t="s">
        <v>296</v>
      </c>
      <c r="F110" s="6" t="s">
        <v>297</v>
      </c>
      <c r="G110" s="6" t="s">
        <v>298</v>
      </c>
      <c r="H110" s="11" t="s">
        <v>299</v>
      </c>
      <c r="I110" s="9" t="s">
        <v>300</v>
      </c>
    </row>
    <row r="111" customFormat="false" ht="15" hidden="false" customHeight="true" outlineLevel="0" collapsed="false">
      <c r="A111" s="5" t="s">
        <v>264</v>
      </c>
      <c r="B111" s="6" t="s">
        <v>301</v>
      </c>
      <c r="C111" s="7" t="n">
        <v>78</v>
      </c>
      <c r="D111" s="6" t="s">
        <v>302</v>
      </c>
      <c r="E111" s="6" t="s">
        <v>303</v>
      </c>
      <c r="F111" s="6" t="s">
        <v>304</v>
      </c>
      <c r="G111" s="6" t="s">
        <v>305</v>
      </c>
      <c r="H111" s="8" t="s">
        <v>143</v>
      </c>
      <c r="I111" s="9" t="s">
        <v>306</v>
      </c>
    </row>
    <row r="112" customFormat="false" ht="23.25" hidden="false" customHeight="true" outlineLevel="0" collapsed="false">
      <c r="A112" s="5" t="s">
        <v>264</v>
      </c>
      <c r="B112" s="6" t="s">
        <v>301</v>
      </c>
      <c r="C112" s="20" t="s">
        <v>307</v>
      </c>
      <c r="D112" s="6" t="s">
        <v>308</v>
      </c>
      <c r="E112" s="6" t="s">
        <v>153</v>
      </c>
      <c r="F112" s="6" t="s">
        <v>309</v>
      </c>
      <c r="G112" s="6" t="s">
        <v>155</v>
      </c>
      <c r="H112" s="21" t="s">
        <v>156</v>
      </c>
      <c r="I112" s="6"/>
    </row>
    <row r="114" customFormat="false" ht="15" hidden="false" customHeight="true" outlineLevel="0" collapsed="false">
      <c r="A114" s="22" t="s">
        <v>310</v>
      </c>
    </row>
    <row r="115" customFormat="false" ht="15" hidden="false" customHeight="true" outlineLevel="0" collapsed="false">
      <c r="A115" s="23"/>
      <c r="B115" s="24" t="s">
        <v>311</v>
      </c>
      <c r="C115" s="24"/>
      <c r="D115" s="24"/>
      <c r="E115" s="24"/>
      <c r="F115" s="24"/>
      <c r="G115" s="24"/>
      <c r="H115" s="24"/>
      <c r="I115" s="24"/>
    </row>
    <row r="116" customFormat="false" ht="15" hidden="false" customHeight="true" outlineLevel="0" collapsed="false">
      <c r="A116" s="25"/>
      <c r="B116" s="24" t="s">
        <v>312</v>
      </c>
      <c r="C116" s="24"/>
      <c r="D116" s="24"/>
      <c r="E116" s="24"/>
      <c r="F116" s="24"/>
      <c r="G116" s="24"/>
      <c r="H116" s="24"/>
      <c r="I116" s="24"/>
    </row>
    <row r="117" customFormat="false" ht="15" hidden="false" customHeight="true" outlineLevel="0" collapsed="false">
      <c r="A117" s="26"/>
      <c r="B117" s="24" t="s">
        <v>313</v>
      </c>
      <c r="C117" s="24"/>
      <c r="D117" s="24"/>
      <c r="E117" s="24"/>
      <c r="F117" s="24"/>
      <c r="G117" s="24"/>
      <c r="H117" s="24"/>
      <c r="I117" s="24"/>
    </row>
    <row r="118" customFormat="false" ht="15" hidden="false" customHeight="true" outlineLevel="0" collapsed="false">
      <c r="A118" s="27"/>
      <c r="B118" s="24" t="s">
        <v>314</v>
      </c>
      <c r="C118" s="24"/>
      <c r="D118" s="24"/>
      <c r="E118" s="24"/>
      <c r="F118" s="24"/>
      <c r="G118" s="24"/>
      <c r="H118" s="24"/>
      <c r="I118" s="24"/>
    </row>
    <row r="120" customFormat="false" ht="25.5" hidden="false" customHeight="true" outlineLevel="0" collapsed="false">
      <c r="A120" s="28" t="s">
        <v>315</v>
      </c>
      <c r="B120" s="28"/>
      <c r="C120" s="28"/>
      <c r="D120" s="28"/>
      <c r="E120" s="28"/>
      <c r="F120" s="28"/>
      <c r="G120" s="28"/>
      <c r="H120" s="28"/>
      <c r="I120" s="28"/>
    </row>
    <row r="121" customFormat="false" ht="25.5" hidden="false" customHeight="true" outlineLevel="0" collapsed="false">
      <c r="A121" s="28" t="s">
        <v>316</v>
      </c>
      <c r="B121" s="28"/>
      <c r="C121" s="28"/>
      <c r="D121" s="28"/>
      <c r="E121" s="28"/>
      <c r="F121" s="28"/>
      <c r="G121" s="28"/>
      <c r="H121" s="28"/>
      <c r="I121" s="28"/>
    </row>
    <row r="122" customFormat="false" ht="25.5" hidden="false" customHeight="true" outlineLevel="0" collapsed="false">
      <c r="A122" s="28" t="s">
        <v>317</v>
      </c>
      <c r="B122" s="28"/>
      <c r="C122" s="28"/>
      <c r="D122" s="28"/>
      <c r="E122" s="28"/>
      <c r="F122" s="28"/>
      <c r="G122" s="28"/>
      <c r="H122" s="28"/>
      <c r="I122" s="28"/>
    </row>
    <row r="123" customFormat="false" ht="25.5" hidden="false" customHeight="true" outlineLevel="0" collapsed="false">
      <c r="A123" s="28" t="s">
        <v>318</v>
      </c>
      <c r="B123" s="28"/>
      <c r="C123" s="28"/>
      <c r="D123" s="28"/>
      <c r="E123" s="28"/>
      <c r="F123" s="28"/>
      <c r="G123" s="28"/>
      <c r="H123" s="28"/>
      <c r="I123" s="28"/>
    </row>
    <row r="124" customFormat="false" ht="25.5" hidden="false" customHeight="true" outlineLevel="0" collapsed="false">
      <c r="A124" s="28" t="s">
        <v>319</v>
      </c>
      <c r="B124" s="28"/>
      <c r="C124" s="28"/>
      <c r="D124" s="28"/>
      <c r="E124" s="28"/>
      <c r="F124" s="28"/>
      <c r="G124" s="28"/>
      <c r="H124" s="28"/>
      <c r="I124" s="28"/>
    </row>
  </sheetData>
  <autoFilter ref="A3:I112"/>
  <mergeCells count="11">
    <mergeCell ref="A1:I1"/>
    <mergeCell ref="A2:I2"/>
    <mergeCell ref="B115:I115"/>
    <mergeCell ref="B116:I116"/>
    <mergeCell ref="B117:I117"/>
    <mergeCell ref="B118:I118"/>
    <mergeCell ref="A120:I120"/>
    <mergeCell ref="A121:I121"/>
    <mergeCell ref="A122:I122"/>
    <mergeCell ref="A123:I123"/>
    <mergeCell ref="A124:I124"/>
  </mergeCells>
  <hyperlinks>
    <hyperlink ref="I4" r:id="rId1" display="https://akkudoktor.net/uploads/short-url/maYfKTLNOcRNqlYZNRluaz43RTL.pdf"/>
    <hyperlink ref="I5" r:id="rId2" display="https://akkudoktor.net/uploads/short-url/2vo4dBRggjXOlkkd4vD5pnKzR5w.pdf"/>
    <hyperlink ref="I6" r:id="rId3" display="https://mikrocontroller.net/attachment/572319/LF280-280Ah-product_specification-version-e.pdf"/>
    <hyperlink ref="I7" r:id="rId4" display="https://cdn.shopify.com/s/files/1/0763/0562/9462/files/EVE_3.2V_314Ah_LiFePO4_Lithium_Battery_Cell.pdf"/>
    <hyperlink ref="I8" r:id="rId5" display="https://7sun.eu/wp-content/uploads/2025/08/product-specification-catl-enerone-407-3-kwh-0-5-c.pdf"/>
    <hyperlink ref="I9" r:id="rId6" display="https://www.nkon.nl/en/envision-ess-72173207-315ah-lifepo4-3-2v-a-grade.html"/>
    <hyperlink ref="I10" r:id="rId7" display="https://etn.news/energy-storage/envision-8-mwh-containerized-battery-storage-system-details"/>
    <hyperlink ref="I11" r:id="rId8" display="https://lacey.se/2022/01/07/byd-blade-energy-density"/>
    <hyperlink ref="I12" r:id="rId9" display="https://cdn.enfsolar.com/z/pp/2025/8/vz51ichzq14g8tl/mc-cube-t-bess.pdf"/>
    <hyperlink ref="I13" r:id="rId10" display="https://akkudoktor.net/uploads/short-url/maYfKTLNOcRNqlYZNRluaz43RTL.pdf"/>
    <hyperlink ref="I14" r:id="rId11" display="https://cdn.shopify.com/s/files/1/0763/0562/9462/files/EVE_3.2V_314Ah_LiFePO4_Lithium_Battery_Cell.pdf"/>
    <hyperlink ref="I15" r:id="rId12" display="https://7sun.eu/wp-content/uploads/2025/08/product-specification-catl-enerone-407-3-kwh-0-5-c.pdf"/>
    <hyperlink ref="I16" r:id="rId13" display="https://akkudoktor.net/uploads/short-url/maYfKTLNOcRNqlYZNRluaz43RTL.pdf"/>
    <hyperlink ref="I17" r:id="rId14" display="https://akkudoktor.net/uploads/short-url/2vo4dBRggjXOlkkd4vD5pnKzR5w.pdf"/>
    <hyperlink ref="I18" r:id="rId15" display="https://cdn.shopify.com/s/files/1/0763/0562/9462/files/EVE_3.2V_314Ah_LiFePO4_Lithium_Battery_Cell.pdf"/>
    <hyperlink ref="I19" r:id="rId16" display="https://7sun.eu/wp-content/uploads/2025/08/product-specification-catl-enerone-407-3-kwh-0-5-c.pdf"/>
    <hyperlink ref="I20" r:id="rId17" display="https://www.nkon.nl/en/envision-ess-72173207-315ah-lifepo4-3-2v-a-grade.html"/>
    <hyperlink ref="I21" r:id="rId18" display="https://akkudoktor.net/uploads/short-url/maYfKTLNOcRNqlYZNRluaz43RTL.pdf"/>
    <hyperlink ref="I22" r:id="rId19" display="https://akkudoktor.net/uploads/short-url/2vo4dBRggjXOlkkd4vD5pnKzR5w.pdf"/>
    <hyperlink ref="I23" r:id="rId20" display="https://mikrocontroller.net/attachment/572319/LF280-280Ah-product_specification-version-e.pdf"/>
    <hyperlink ref="I24" r:id="rId21" display="https://cdn.shopify.com/s/files/1/0763/0562/9462/files/EVE_3.2V_314Ah_LiFePO4_Lithium_Battery_Cell.pdf"/>
    <hyperlink ref="I25" r:id="rId22" display="https://www.nkon.nl/en/envision-ess-72173207-315ah-lifepo4-3-2v-a-grade.html"/>
    <hyperlink ref="I26" r:id="rId23" display="https://en.wikipedia.org/wiki/Blade_battery"/>
    <hyperlink ref="I27" r:id="rId24" display="https://7sun.eu/wp-content/uploads/2025/08/product-specification-catl-enerone-407-3-kwh-0-5-c.pdf"/>
    <hyperlink ref="I28" r:id="rId25" display="https://akkudoktor.net/uploads/short-url/maYfKTLNOcRNqlYZNRluaz43RTL.pdf"/>
    <hyperlink ref="I29" r:id="rId26" display="https://akkudoktor.net/uploads/short-url/2vo4dBRggjXOlkkd4vD5pnKzR5w.pdf"/>
    <hyperlink ref="I30" r:id="rId27" display="https://cdn.shopify.com/s/files/1/0763/0562/9462/files/EVE_3.2V_314Ah_LiFePO4_Lithium_Battery_Cell.pdf"/>
    <hyperlink ref="I31" r:id="rId28" display="https://www.nkon.nl/en/envision-ess-72173207-315ah-lifepo4-3-2v-a-grade.html"/>
    <hyperlink ref="I32" r:id="rId29" display="https://7sun.eu/wp-content/uploads/2025/08/product-specification-catl-enerone-407-3-kwh-0-5-c.pdf"/>
    <hyperlink ref="I33" r:id="rId30" display="https://akkudoktor.net/uploads/short-url/maYfKTLNOcRNqlYZNRluaz43RTL.pdf"/>
    <hyperlink ref="I34" r:id="rId31" display="https://cdn.shopify.com/s/files/1/0763/0562/9462/files/EVE_3.2V_314Ah_LiFePO4_Lithium_Battery_Cell.pdf"/>
    <hyperlink ref="I35" r:id="rId32" display="https://akkudoktor.net/uploads/short-url/maYfKTLNOcRNqlYZNRluaz43RTL.pdf"/>
    <hyperlink ref="I36" r:id="rId33" display="https://akkudoktor.net/uploads/short-url/2vo4dBRggjXOlkkd4vD5pnKzR5w.pdf"/>
    <hyperlink ref="I37" r:id="rId34" display="https://cdn.shopify.com/s/files/1/0763/0562/9462/files/EVE_3.2V_314Ah_LiFePO4_Lithium_Battery_Cell.pdf"/>
    <hyperlink ref="I38" r:id="rId35" display="https://www.nkon.nl/en/envision-ess-72173207-315ah-lifepo4-3-2v-a-grade.html"/>
    <hyperlink ref="I39" r:id="rId36" display="https://en.wikipedia.org/wiki/Blade_battery"/>
    <hyperlink ref="I40" r:id="rId37" display="https://7sun.eu/wp-content/uploads/2025/08/product-specification-catl-enerone-407-3-kwh-0-5-c.pdf"/>
    <hyperlink ref="I41" r:id="rId38" display="https://cdn.enfsolar.com/z/pp/2025/8/vz51ichzq14g8tl/mc-cube-t-bess.pdf"/>
    <hyperlink ref="I42" r:id="rId39" display="https://akkudoktor.net/uploads/short-url/maYfKTLNOcRNqlYZNRluaz43RTL.pdf"/>
    <hyperlink ref="I43" r:id="rId40" display="https://akkudoktor.net/uploads/short-url/2vo4dBRggjXOlkkd4vD5pnKzR5w.pdf"/>
    <hyperlink ref="I44" r:id="rId41" display="https://cdn.shopify.com/s/files/1/0763/0562/9462/files/EVE_3.2V_314Ah_LiFePO4_Lithium_Battery_Cell.pdf"/>
    <hyperlink ref="I45" r:id="rId42" display="https://www.nkon.nl/en/envision-ess-72173207-315ah-lifepo4-3-2v-a-grade.html"/>
    <hyperlink ref="I46" r:id="rId43" display="https://kyodonewsprwire.jp/release/202404129395"/>
    <hyperlink ref="I47" r:id="rId44" display="https://lacey.se/2022/01/07/byd-blade-energy-density"/>
    <hyperlink ref="I48" r:id="rId45" display="https://www.ess-news.com/?p=2460"/>
    <hyperlink ref="I49" r:id="rId46" display="https://cdn.enfsolar.com/z/pp/2025/8/vz51ichzq14g8tl/mc-cube-t-bess.pdf"/>
    <hyperlink ref="I50" r:id="rId47" display="https://docs.nrel.gov/docs/fy25osti/93281.pdf"/>
    <hyperlink ref="I51" r:id="rId48" display="https://etn.news/energy-storage/envision-8-mwh-containerized-battery-storage-system-details"/>
    <hyperlink ref="I52" r:id="rId49" display="https://7sun.eu/wp-content/uploads/2025/08/product-specification-catl-enerone-407-3-kwh-0-5-c.pdf"/>
    <hyperlink ref="I53" r:id="rId50" display="https://solarshop.baywa-re.lv/userfiles/files/613%E3%80%91MC_Cube_C%26I_0.5C_V1.0-%28EU%29_2023.07.14%281%29.pdf"/>
    <hyperlink ref="I55" r:id="rId51" display="https://akkudoktor.net/uploads/short-url/2vo4dBRggjXOlkkd4vD5pnKzR5w.pdf"/>
    <hyperlink ref="I56" r:id="rId52" display="https://cdn.shopify.com/s/files/1/0763/0562/9462/files/EVE_3.2V_314Ah_LiFePO4_Lithium_Battery_Cell.pdf"/>
    <hyperlink ref="I57" r:id="rId53" display="https://akkudoktor.net/uploads/short-url/maYfKTLNOcRNqlYZNRluaz43RTL.pdf"/>
    <hyperlink ref="I58" r:id="rId54" display="https://akkudoktor.net/uploads/short-url/maYfKTLNOcRNqlYZNRluaz43RTL.pdf"/>
    <hyperlink ref="I59" r:id="rId55" display="https://akkudoktor.net/uploads/short-url/2vo4dBRggjXOlkkd4vD5pnKzR5w.pdf"/>
    <hyperlink ref="I60" r:id="rId56" display="https://solarshop.baywa-re.lv/userfiles/files/613%E3%80%91MC_Cube_C%26I_0.5C_V1.0-%28EU%29_2023.07.14%281%29.pdf"/>
    <hyperlink ref="I61" r:id="rId57" display="https://cdn.shopify.com/s/files/1/0763/0562/9462/files/EVE_3.2V_314Ah_LiFePO4_Lithium_Battery_Cell.pdf"/>
    <hyperlink ref="I62" r:id="rId58" display="https://akkudoktor.net/uploads/short-url/maYfKTLNOcRNqlYZNRluaz43RTL.pdf"/>
    <hyperlink ref="I63" r:id="rId59" display="https://akkudoktor.net/uploads/short-url/2vo4dBRggjXOlkkd4vD5pnKzR5w.pdf"/>
    <hyperlink ref="I64" r:id="rId60" display="https://cdn.shopify.com/s/files/1/0763/0562/9462/files/EVE_3.2V_314Ah_LiFePO4_Lithium_Battery_Cell.pdf"/>
    <hyperlink ref="I65" r:id="rId61" display="https://7sun.eu/wp-content/uploads/2025/08/product-specification-catl-enerone-407-3-kwh-0-5-c.pdf"/>
    <hyperlink ref="I66" r:id="rId62" display="https://solarshop.baywa-re.lv/userfiles/files/613%E3%80%91MC_Cube_C%26I_0.5C_V1.0-%28EU%29_2023.07.14%281%29.pdf"/>
    <hyperlink ref="I67" r:id="rId63" display="https://cdn.enfsolar.com/z/pp/2025/8/vz51ichzq14g8tl/mc-cube-t-bess.pdf"/>
    <hyperlink ref="I68" r:id="rId64" display="https://www.ess-news.com/?p=5160"/>
    <hyperlink ref="I69" r:id="rId65" display="https://akkudoktor.net/uploads/short-url/2vo4dBRggjXOlkkd4vD5pnKzR5w.pdf"/>
    <hyperlink ref="I70" r:id="rId66" display="https://7sun.eu/wp-content/uploads/2025/08/product-specification-catl-enerone-407-3-kwh-0-5-c.pdf"/>
    <hyperlink ref="I72" r:id="rId67" display="https://akkudoktor.net/uploads/short-url/maYfKTLNOcRNqlYZNRluaz43RTL.pdf"/>
    <hyperlink ref="I73" r:id="rId68" display="https://akkudoktor.net/uploads/short-url/maYfKTLNOcRNqlYZNRluaz43RTL.pdf"/>
    <hyperlink ref="I74" r:id="rId69" display="https://akkudoktor.net/uploads/short-url/2vo4dBRggjXOlkkd4vD5pnKzR5w.pdf"/>
    <hyperlink ref="I75" r:id="rId70" display="https://akkudoktor.net/uploads/short-url/2vo4dBRggjXOlkkd4vD5pnKzR5w.pdf"/>
    <hyperlink ref="I76" r:id="rId71" display="https://mikrocontroller.net/attachment/572319/LF280-280Ah-product_specification-version-e.pdf"/>
    <hyperlink ref="I77" r:id="rId72" display="https://cdn.shopify.com/s/files/1/0763/0562/9462/files/EVE_3.2V_314Ah_LiFePO4_Lithium_Battery_Cell.pdf"/>
    <hyperlink ref="I78" r:id="rId73" display="https://7sun.eu/wp-content/uploads/2025/08/datasheet-catl-enerone-407-3-kwh-0-5-c.pdf"/>
    <hyperlink ref="I79" r:id="rId74" display="https://www.nkon.nl/en/envision-ess-72173207-315ah-lifepo4-3-2v-a-grade.html"/>
    <hyperlink ref="I80" r:id="rId75" display="https://etn.news/energy-storage/envision-8-mwh-containerized-battery-storage-system-details"/>
    <hyperlink ref="I81" r:id="rId76" display="https://www.electrive.com/2021/03/16/byd-reveals-additional-blade-battery-specifications"/>
    <hyperlink ref="I82" r:id="rId77" display="https://solarshop.baywa-re.lv/userfiles/files/613%E3%80%91MC_Cube_C%26I_0.5C_V1.0-%28EU%29_2023.07.14%281%29.pdf"/>
    <hyperlink ref="I83" r:id="rId78" display="https://docs.nrel.gov/docs/fy25osti/93281.pdf"/>
    <hyperlink ref="I85" r:id="rId79" display="https://kyodonewsprwire.jp/release/202404129395"/>
    <hyperlink ref="I86" r:id="rId80" display="https://www.ess-news.com/?p=5160"/>
    <hyperlink ref="I88" r:id="rId81" display="https://akkudoktor.net/uploads/short-url/maYfKTLNOcRNqlYZNRluaz43RTL.pdf"/>
    <hyperlink ref="I89" r:id="rId82" display="https://akkudoktor.net/uploads/short-url/2vo4dBRggjXOlkkd4vD5pnKzR5w.pdf"/>
    <hyperlink ref="I90" r:id="rId83" display="https://cdn.shopify.com/s/files/1/0763/0562/9462/files/EVE_3.2V_314Ah_LiFePO4_Lithium_Battery_Cell.pdf"/>
    <hyperlink ref="I91" r:id="rId84" display="https://7sun.eu/wp-content/uploads/2025/08/product-specification-catl-enerone-407-3-kwh-0-5-c.pdf"/>
    <hyperlink ref="I92" r:id="rId85" display="https://cdn.enfsolar.com/z/pp/2025/8/vz51ichzq14g8tl/mc-cube-t-bess.pdf"/>
    <hyperlink ref="I93" r:id="rId86" display="https://www.ess-news.com/?p=5160"/>
    <hyperlink ref="I94" r:id="rId87" display="https://akkudoktor.net/uploads/short-url/maYfKTLNOcRNqlYZNRluaz43RTL.pdf"/>
    <hyperlink ref="I95" r:id="rId88" display="https://akkudoktor.net/uploads/short-url/2vo4dBRggjXOlkkd4vD5pnKzR5w.pdf"/>
    <hyperlink ref="I96" r:id="rId89" display="https://mikrocontroller.net/attachment/572319/LF280-280Ah-product_specification-version-e.pdf"/>
    <hyperlink ref="I97" r:id="rId90" display="https://cdn.shopify.com/s/files/1/0763/0562/9462/files/EVE_3.2V_314Ah_LiFePO4_Lithium_Battery_Cell.pdf"/>
    <hyperlink ref="I98" r:id="rId91" display="https://7sun.eu/wp-content/uploads/2025/08/product-specification-catl-enerone-407-3-kwh-0-5-c.pdf"/>
    <hyperlink ref="I99" r:id="rId92" display="https://cdn.shopify.com/s/files/1/0763/0562/9462/files/EVE_3.2V_314Ah_LiFePO4_Lithium_Battery_Cell.pdf"/>
    <hyperlink ref="I100" r:id="rId93" display="https://mikrocontroller.net/attachment/572319/LF280-280Ah-product_specification-version-e.pdf"/>
    <hyperlink ref="I103" r:id="rId94" display="https://about.bnef.com/insights/clean-transport/lithium-ion-battery-pack-prices-fall-to-108-per-kilowatt-hour-despite-rising-metal-prices-bloombergnef/"/>
    <hyperlink ref="I104" r:id="rId95" display="https://about.bnef.com/insights/clean-transport/lithium-ion-battery-pack-prices-fall-to-108-per-kilowatt-hour-despite-rising-metal-prices-bloombergnef/"/>
    <hyperlink ref="I105" r:id="rId96" display="https://docs.nrel.gov/docs/fy25osti/93281.pdf"/>
    <hyperlink ref="I106" r:id="rId97" display="https://docs.nrel.gov/docs/fy25osti/93281.pdf"/>
    <hyperlink ref="I107" r:id="rId98" display="https://docs.nrel.gov/docs/fy25osti/93281.pdf"/>
    <hyperlink ref="I108" r:id="rId99" display="https://www.irena.org/-/media/Files/IRENA/Agency/Publication/2025/Jul/IRENA_TEC_RPGC_in_2024_Summary_2025.pdf"/>
    <hyperlink ref="I109" r:id="rId100" display="https://www.energy-storage.news/behind-the-numbers-bnef-finds-40-year-on-year-drop-in-bess-costs/"/>
    <hyperlink ref="I110" r:id="rId101" display="https://www.energy-storage.news/moroccos-first-large-scale-lfp-battery-storage-system-prepares-for-action/"/>
    <hyperlink ref="I111" r:id="rId102" display="https://about.bnef.com/insights/clean-energy/battery-storage-costs-hit-record-lows-as-costs-of-other-clean-power-technologies-increased-bloombergne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2"/>
    <col collapsed="false" customWidth="true" hidden="false" outlineLevel="0" max="3" min="3" style="1" width="40"/>
    <col collapsed="false" customWidth="true" hidden="false" outlineLevel="0" max="4" min="4" style="1" width="42"/>
  </cols>
  <sheetData>
    <row r="1" customFormat="false" ht="27.75" hidden="false" customHeight="true" outlineLevel="0" collapsed="false">
      <c r="A1" s="29" t="s">
        <v>320</v>
      </c>
      <c r="B1" s="29"/>
      <c r="C1" s="29"/>
      <c r="D1" s="29"/>
    </row>
    <row r="3" customFormat="false" ht="15" hidden="false" customHeight="true" outlineLevel="0" collapsed="false">
      <c r="A3" s="30" t="s">
        <v>2</v>
      </c>
      <c r="B3" s="30" t="s">
        <v>3</v>
      </c>
      <c r="C3" s="30" t="s">
        <v>321</v>
      </c>
      <c r="D3" s="30" t="s">
        <v>322</v>
      </c>
    </row>
    <row r="4" customFormat="false" ht="15" hidden="false" customHeight="true" outlineLevel="0" collapsed="false">
      <c r="A4" s="31" t="s">
        <v>323</v>
      </c>
      <c r="B4" s="32" t="s">
        <v>324</v>
      </c>
      <c r="C4" s="32" t="s">
        <v>325</v>
      </c>
      <c r="D4" s="32" t="s">
        <v>326</v>
      </c>
    </row>
    <row r="5" customFormat="false" ht="15" hidden="false" customHeight="true" outlineLevel="0" collapsed="false">
      <c r="A5" s="31" t="s">
        <v>323</v>
      </c>
      <c r="B5" s="32" t="s">
        <v>327</v>
      </c>
      <c r="C5" s="32" t="s">
        <v>328</v>
      </c>
      <c r="D5" s="32" t="s">
        <v>329</v>
      </c>
    </row>
    <row r="6" customFormat="false" ht="15" hidden="false" customHeight="true" outlineLevel="0" collapsed="false">
      <c r="A6" s="31" t="s">
        <v>323</v>
      </c>
      <c r="B6" s="32" t="s">
        <v>330</v>
      </c>
      <c r="C6" s="32" t="s">
        <v>331</v>
      </c>
      <c r="D6" s="32" t="s">
        <v>332</v>
      </c>
    </row>
    <row r="7" customFormat="false" ht="15" hidden="false" customHeight="true" outlineLevel="0" collapsed="false">
      <c r="A7" s="33" t="s">
        <v>333</v>
      </c>
      <c r="B7" s="34" t="s">
        <v>334</v>
      </c>
      <c r="C7" s="34" t="s">
        <v>335</v>
      </c>
      <c r="D7" s="34" t="s">
        <v>336</v>
      </c>
    </row>
    <row r="8" customFormat="false" ht="15" hidden="false" customHeight="true" outlineLevel="0" collapsed="false">
      <c r="A8" s="33" t="s">
        <v>333</v>
      </c>
      <c r="B8" s="34" t="s">
        <v>337</v>
      </c>
      <c r="C8" s="34" t="s">
        <v>338</v>
      </c>
      <c r="D8" s="34" t="s">
        <v>339</v>
      </c>
    </row>
    <row r="9" customFormat="false" ht="23.25" hidden="false" customHeight="true" outlineLevel="0" collapsed="false">
      <c r="A9" s="33" t="s">
        <v>333</v>
      </c>
      <c r="B9" s="34" t="s">
        <v>340</v>
      </c>
      <c r="C9" s="34" t="s">
        <v>341</v>
      </c>
      <c r="D9" s="34" t="s">
        <v>342</v>
      </c>
    </row>
    <row r="10" customFormat="false" ht="15" hidden="false" customHeight="true" outlineLevel="0" collapsed="false">
      <c r="A10" s="33" t="s">
        <v>333</v>
      </c>
      <c r="B10" s="34" t="s">
        <v>343</v>
      </c>
      <c r="C10" s="34" t="s">
        <v>341</v>
      </c>
      <c r="D10" s="34" t="s">
        <v>344</v>
      </c>
    </row>
    <row r="11" customFormat="false" ht="15" hidden="false" customHeight="true" outlineLevel="0" collapsed="false">
      <c r="A11" s="31" t="s">
        <v>345</v>
      </c>
      <c r="B11" s="32" t="s">
        <v>346</v>
      </c>
      <c r="C11" s="32" t="s">
        <v>347</v>
      </c>
      <c r="D11" s="32" t="s">
        <v>348</v>
      </c>
    </row>
    <row r="12" customFormat="false" ht="15" hidden="false" customHeight="true" outlineLevel="0" collapsed="false">
      <c r="A12" s="31" t="s">
        <v>345</v>
      </c>
      <c r="B12" s="32" t="s">
        <v>349</v>
      </c>
      <c r="C12" s="32" t="s">
        <v>347</v>
      </c>
      <c r="D12" s="32" t="s">
        <v>350</v>
      </c>
    </row>
    <row r="13" customFormat="false" ht="15" hidden="false" customHeight="true" outlineLevel="0" collapsed="false">
      <c r="A13" s="31" t="s">
        <v>345</v>
      </c>
      <c r="B13" s="32" t="s">
        <v>351</v>
      </c>
      <c r="C13" s="32" t="s">
        <v>352</v>
      </c>
      <c r="D13" s="32" t="s">
        <v>353</v>
      </c>
    </row>
    <row r="14" customFormat="false" ht="15" hidden="false" customHeight="true" outlineLevel="0" collapsed="false">
      <c r="A14" s="31" t="s">
        <v>345</v>
      </c>
      <c r="B14" s="32" t="s">
        <v>354</v>
      </c>
      <c r="C14" s="32" t="s">
        <v>347</v>
      </c>
      <c r="D14" s="32" t="s">
        <v>353</v>
      </c>
    </row>
    <row r="15" customFormat="false" ht="15" hidden="false" customHeight="true" outlineLevel="0" collapsed="false">
      <c r="A15" s="31" t="s">
        <v>345</v>
      </c>
      <c r="B15" s="32" t="s">
        <v>355</v>
      </c>
      <c r="C15" s="32" t="s">
        <v>356</v>
      </c>
      <c r="D15" s="32" t="s">
        <v>357</v>
      </c>
    </row>
    <row r="16" customFormat="false" ht="26.25" hidden="false" customHeight="true" outlineLevel="0" collapsed="false">
      <c r="A16" s="33" t="s">
        <v>358</v>
      </c>
      <c r="B16" s="34" t="s">
        <v>359</v>
      </c>
      <c r="C16" s="34" t="s">
        <v>360</v>
      </c>
      <c r="D16" s="34" t="s">
        <v>361</v>
      </c>
    </row>
    <row r="17" customFormat="false" ht="26.25" hidden="false" customHeight="true" outlineLevel="0" collapsed="false">
      <c r="A17" s="33" t="s">
        <v>358</v>
      </c>
      <c r="B17" s="34" t="s">
        <v>362</v>
      </c>
      <c r="C17" s="34" t="s">
        <v>341</v>
      </c>
      <c r="D17" s="34" t="s">
        <v>363</v>
      </c>
    </row>
    <row r="18" customFormat="false" ht="26.25" hidden="false" customHeight="true" outlineLevel="0" collapsed="false">
      <c r="A18" s="33" t="s">
        <v>358</v>
      </c>
      <c r="B18" s="34" t="s">
        <v>364</v>
      </c>
      <c r="C18" s="34" t="s">
        <v>365</v>
      </c>
      <c r="D18" s="34" t="s">
        <v>366</v>
      </c>
    </row>
    <row r="19" customFormat="false" ht="23.25" hidden="false" customHeight="true" outlineLevel="0" collapsed="false">
      <c r="A19" s="31" t="s">
        <v>367</v>
      </c>
      <c r="B19" s="32" t="s">
        <v>368</v>
      </c>
      <c r="C19" s="32" t="s">
        <v>369</v>
      </c>
      <c r="D19" s="32" t="s">
        <v>370</v>
      </c>
    </row>
    <row r="21" customFormat="false" ht="39.75" hidden="false" customHeight="true" outlineLevel="0" collapsed="false">
      <c r="A21" s="35" t="s">
        <v>371</v>
      </c>
      <c r="B21" s="35"/>
      <c r="C21" s="35"/>
      <c r="D21" s="35"/>
    </row>
  </sheetData>
  <mergeCells count="2">
    <mergeCell ref="A1:D1"/>
    <mergeCell ref="A21: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6"/>
    <col collapsed="false" customWidth="true" hidden="false" outlineLevel="0" max="3" min="3" style="1" width="14"/>
    <col collapsed="false" customWidth="true" hidden="false" outlineLevel="0" max="4" min="4" style="1" width="30"/>
    <col collapsed="false" customWidth="true" hidden="false" outlineLevel="0" max="5" min="5" style="1" width="22"/>
    <col collapsed="false" customWidth="true" hidden="false" outlineLevel="0" max="6" min="6" style="1" width="55"/>
  </cols>
  <sheetData>
    <row r="1" customFormat="false" ht="27.75" hidden="false" customHeight="true" outlineLevel="0" collapsed="false">
      <c r="A1" s="2" t="s">
        <v>372</v>
      </c>
      <c r="B1" s="2"/>
      <c r="C1" s="2"/>
      <c r="D1" s="2"/>
      <c r="E1" s="2"/>
      <c r="F1" s="2"/>
    </row>
    <row r="3" customFormat="false" ht="15" hidden="false" customHeight="true" outlineLevel="0" collapsed="false">
      <c r="A3" s="36" t="s">
        <v>2</v>
      </c>
      <c r="B3" s="36" t="s">
        <v>373</v>
      </c>
      <c r="C3" s="36" t="s">
        <v>374</v>
      </c>
      <c r="D3" s="36" t="s">
        <v>5</v>
      </c>
      <c r="E3" s="36" t="s">
        <v>375</v>
      </c>
      <c r="F3" s="36" t="s">
        <v>10</v>
      </c>
    </row>
    <row r="4" customFormat="false" ht="26.25" hidden="false" customHeight="true" outlineLevel="0" collapsed="false">
      <c r="A4" s="31" t="s">
        <v>376</v>
      </c>
      <c r="B4" s="32" t="s">
        <v>377</v>
      </c>
      <c r="C4" s="37" t="s">
        <v>378</v>
      </c>
      <c r="D4" s="32" t="s">
        <v>267</v>
      </c>
      <c r="E4" s="32" t="s">
        <v>379</v>
      </c>
      <c r="F4" s="38" t="s">
        <v>380</v>
      </c>
    </row>
    <row r="5" customFormat="false" ht="26.25" hidden="false" customHeight="true" outlineLevel="0" collapsed="false">
      <c r="A5" s="31" t="s">
        <v>376</v>
      </c>
      <c r="B5" s="32" t="s">
        <v>381</v>
      </c>
      <c r="C5" s="37" t="s">
        <v>382</v>
      </c>
      <c r="D5" s="32" t="s">
        <v>267</v>
      </c>
      <c r="E5" s="32" t="s">
        <v>383</v>
      </c>
      <c r="F5" s="38" t="s">
        <v>380</v>
      </c>
    </row>
    <row r="6" customFormat="false" ht="26.25" hidden="false" customHeight="true" outlineLevel="0" collapsed="false">
      <c r="A6" s="31" t="s">
        <v>376</v>
      </c>
      <c r="B6" s="32" t="s">
        <v>275</v>
      </c>
      <c r="C6" s="37" t="s">
        <v>384</v>
      </c>
      <c r="D6" s="32" t="s">
        <v>267</v>
      </c>
      <c r="E6" s="32" t="s">
        <v>385</v>
      </c>
      <c r="F6" s="38" t="s">
        <v>380</v>
      </c>
    </row>
    <row r="7" customFormat="false" ht="26.25" hidden="false" customHeight="true" outlineLevel="0" collapsed="false">
      <c r="A7" s="31" t="s">
        <v>376</v>
      </c>
      <c r="B7" s="32" t="s">
        <v>386</v>
      </c>
      <c r="C7" s="37" t="s">
        <v>387</v>
      </c>
      <c r="D7" s="32" t="s">
        <v>267</v>
      </c>
      <c r="E7" s="32" t="s">
        <v>385</v>
      </c>
      <c r="F7" s="38" t="s">
        <v>380</v>
      </c>
    </row>
    <row r="8" customFormat="false" ht="26.25" hidden="false" customHeight="true" outlineLevel="0" collapsed="false">
      <c r="A8" s="31" t="s">
        <v>376</v>
      </c>
      <c r="B8" s="32" t="s">
        <v>388</v>
      </c>
      <c r="C8" s="37" t="s">
        <v>389</v>
      </c>
      <c r="D8" s="32" t="s">
        <v>267</v>
      </c>
      <c r="E8" s="32" t="s">
        <v>385</v>
      </c>
      <c r="F8" s="38" t="s">
        <v>380</v>
      </c>
    </row>
    <row r="9" customFormat="false" ht="26.25" hidden="false" customHeight="true" outlineLevel="0" collapsed="false">
      <c r="A9" s="31" t="s">
        <v>376</v>
      </c>
      <c r="B9" s="32" t="s">
        <v>390</v>
      </c>
      <c r="C9" s="37" t="s">
        <v>391</v>
      </c>
      <c r="D9" s="32" t="s">
        <v>267</v>
      </c>
      <c r="E9" s="32" t="s">
        <v>392</v>
      </c>
      <c r="F9" s="38" t="s">
        <v>393</v>
      </c>
    </row>
    <row r="10" customFormat="false" ht="23.25" hidden="false" customHeight="true" outlineLevel="0" collapsed="false">
      <c r="A10" s="33" t="s">
        <v>394</v>
      </c>
      <c r="B10" s="34" t="s">
        <v>395</v>
      </c>
      <c r="C10" s="39" t="s">
        <v>396</v>
      </c>
      <c r="D10" s="34" t="s">
        <v>397</v>
      </c>
      <c r="E10" s="34" t="s">
        <v>398</v>
      </c>
      <c r="F10" s="40" t="s">
        <v>399</v>
      </c>
    </row>
    <row r="11" customFormat="false" ht="15" hidden="false" customHeight="true" outlineLevel="0" collapsed="false">
      <c r="A11" s="33" t="s">
        <v>394</v>
      </c>
      <c r="B11" s="34" t="s">
        <v>400</v>
      </c>
      <c r="C11" s="39" t="s">
        <v>401</v>
      </c>
      <c r="D11" s="34" t="s">
        <v>402</v>
      </c>
      <c r="E11" s="34" t="s">
        <v>403</v>
      </c>
      <c r="F11" s="40" t="s">
        <v>399</v>
      </c>
    </row>
    <row r="12" customFormat="false" ht="23.25" hidden="false" customHeight="true" outlineLevel="0" collapsed="false">
      <c r="A12" s="33" t="s">
        <v>394</v>
      </c>
      <c r="B12" s="34" t="s">
        <v>404</v>
      </c>
      <c r="C12" s="39" t="s">
        <v>405</v>
      </c>
      <c r="D12" s="34" t="s">
        <v>406</v>
      </c>
      <c r="E12" s="34" t="s">
        <v>407</v>
      </c>
      <c r="F12" s="40" t="s">
        <v>408</v>
      </c>
    </row>
    <row r="13" customFormat="false" ht="23.25" hidden="false" customHeight="true" outlineLevel="0" collapsed="false">
      <c r="A13" s="33" t="s">
        <v>394</v>
      </c>
      <c r="B13" s="34" t="s">
        <v>409</v>
      </c>
      <c r="C13" s="39" t="s">
        <v>410</v>
      </c>
      <c r="D13" s="34" t="s">
        <v>411</v>
      </c>
      <c r="E13" s="34" t="s">
        <v>412</v>
      </c>
      <c r="F13" s="40" t="s">
        <v>413</v>
      </c>
    </row>
    <row r="14" customFormat="false" ht="23.25" hidden="false" customHeight="true" outlineLevel="0" collapsed="false">
      <c r="A14" s="33" t="s">
        <v>394</v>
      </c>
      <c r="B14" s="34" t="s">
        <v>414</v>
      </c>
      <c r="C14" s="39" t="s">
        <v>415</v>
      </c>
      <c r="D14" s="34" t="s">
        <v>416</v>
      </c>
      <c r="E14" s="34" t="s">
        <v>385</v>
      </c>
      <c r="F14" s="40" t="s">
        <v>413</v>
      </c>
    </row>
    <row r="15" customFormat="false" ht="23.25" hidden="false" customHeight="true" outlineLevel="0" collapsed="false">
      <c r="A15" s="33" t="s">
        <v>394</v>
      </c>
      <c r="B15" s="34" t="s">
        <v>417</v>
      </c>
      <c r="C15" s="39" t="s">
        <v>418</v>
      </c>
      <c r="D15" s="34" t="s">
        <v>419</v>
      </c>
      <c r="E15" s="34" t="s">
        <v>385</v>
      </c>
      <c r="F15" s="40" t="s">
        <v>420</v>
      </c>
    </row>
    <row r="16" customFormat="false" ht="23.25" hidden="false" customHeight="true" outlineLevel="0" collapsed="false">
      <c r="A16" s="33" t="s">
        <v>394</v>
      </c>
      <c r="B16" s="34" t="s">
        <v>421</v>
      </c>
      <c r="C16" s="39" t="s">
        <v>422</v>
      </c>
      <c r="D16" s="34" t="s">
        <v>423</v>
      </c>
      <c r="E16" s="34" t="s">
        <v>424</v>
      </c>
      <c r="F16" s="40" t="s">
        <v>425</v>
      </c>
    </row>
    <row r="17" customFormat="false" ht="23.25" hidden="false" customHeight="true" outlineLevel="0" collapsed="false">
      <c r="A17" s="31" t="s">
        <v>426</v>
      </c>
      <c r="B17" s="32" t="s">
        <v>427</v>
      </c>
      <c r="C17" s="37" t="s">
        <v>428</v>
      </c>
      <c r="D17" s="32" t="s">
        <v>429</v>
      </c>
      <c r="E17" s="32" t="s">
        <v>430</v>
      </c>
      <c r="F17" s="38" t="s">
        <v>431</v>
      </c>
    </row>
    <row r="19" customFormat="false" ht="54.75" hidden="false" customHeight="true" outlineLevel="0" collapsed="false">
      <c r="A19" s="35" t="s">
        <v>432</v>
      </c>
      <c r="B19" s="35"/>
      <c r="C19" s="35"/>
      <c r="D19" s="35"/>
      <c r="E19" s="35"/>
      <c r="F19" s="35"/>
    </row>
  </sheetData>
  <mergeCells count="2">
    <mergeCell ref="A1:F1"/>
    <mergeCell ref="A19:F19"/>
  </mergeCells>
  <hyperlinks>
    <hyperlink ref="F4" r:id="rId1" display="https://about.bnef.com/insights/clean-energy/lithium-ion-battery-pack-prices-fall-to-108-per-kilowatt-hour"/>
    <hyperlink ref="F5" r:id="rId2" display="https://about.bnef.com/insights/clean-energy/lithium-ion-battery-pack-prices-fall-to-108-per-kilowatt-hour"/>
    <hyperlink ref="F6" r:id="rId3" display="https://about.bnef.com/insights/clean-energy/lithium-ion-battery-pack-prices-fall-to-108-per-kilowatt-hour"/>
    <hyperlink ref="F7" r:id="rId4" display="https://about.bnef.com/insights/clean-energy/lithium-ion-battery-pack-prices-fall-to-108-per-kilowatt-hour"/>
    <hyperlink ref="F8" r:id="rId5" display="https://about.bnef.com/insights/clean-energy/lithium-ion-battery-pack-prices-fall-to-108-per-kilowatt-hour"/>
    <hyperlink ref="F9" r:id="rId6" display="https://www.bloomberg.com/news/articles/2025-12-09/bnef-why-global-battery-prices-are-expected-to-fall-in-2026"/>
    <hyperlink ref="F10" r:id="rId7" display="https://lematin.ma/economie/energie-solaire-ocp-deploie-a-benguerir-125-mwh-de-stockage-par-batteries/365144/amp"/>
    <hyperlink ref="F11" r:id="rId8" display="https://lematin.ma/economie/energie-solaire-ocp-deploie-a-benguerir-125-mwh-de-stockage-par-batteries/365144/amp"/>
    <hyperlink ref="F12" r:id="rId9" display="https://medias24.com/2025/08/08/onee-lancement-de-lappel-doffres-pour-une-centrale-hybride-solaire-diesel-a-el-guerguarat/"/>
    <hyperlink ref="F13" r:id="rId10" display="https://ledesk.ma/encontinu/stockage-denergie-la-banque-mondiale-approuve-le-plan-de-passation-des-marches-pour-un-projet-pilote-de-masen/"/>
    <hyperlink ref="F14" r:id="rId11" display="https://ledesk.ma/encontinu/stockage-denergie-la-banque-mondiale-approuve-le-plan-de-passation-des-marches-pour-un-projet-pilote-de-masen/"/>
    <hyperlink ref="F15" r:id="rId12" display="https://www.lavieeco.com/?p=415255"/>
    <hyperlink ref="F16" r:id="rId13" display="https://lematin.ma/economie/onee-220-milliards-de-dh-pour-le-plan-dequipement-2025-2030/274866/amp"/>
    <hyperlink ref="F17" r:id="rId14" display="https://fr.hespress.com/435561-435561.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52"/>
    <col collapsed="false" customWidth="true" hidden="false" outlineLevel="0" max="4" min="3" style="1" width="26"/>
    <col collapsed="false" customWidth="true" hidden="false" outlineLevel="0" max="6" min="5" style="1" width="60"/>
  </cols>
  <sheetData>
    <row r="1" customFormat="false" ht="17.25" hidden="false" customHeight="true" outlineLevel="0" collapsed="false">
      <c r="A1" s="41" t="s">
        <v>433</v>
      </c>
    </row>
    <row r="3" customFormat="false" ht="15" hidden="false" customHeight="true" outlineLevel="0" collapsed="false">
      <c r="A3" s="42" t="s">
        <v>434</v>
      </c>
      <c r="B3" s="42" t="s">
        <v>435</v>
      </c>
      <c r="C3" s="42" t="s">
        <v>436</v>
      </c>
      <c r="D3" s="42" t="s">
        <v>437</v>
      </c>
      <c r="E3" s="42" t="s">
        <v>438</v>
      </c>
      <c r="F3" s="42" t="s">
        <v>439</v>
      </c>
    </row>
    <row r="4" customFormat="false" ht="15" hidden="false" customHeight="true" outlineLevel="0" collapsed="false">
      <c r="A4" s="43" t="s">
        <v>440</v>
      </c>
      <c r="B4" s="43" t="s">
        <v>441</v>
      </c>
      <c r="C4" s="43" t="s">
        <v>442</v>
      </c>
      <c r="D4" s="43" t="s">
        <v>443</v>
      </c>
      <c r="E4" s="43" t="s">
        <v>444</v>
      </c>
      <c r="F4" s="44" t="s">
        <v>18</v>
      </c>
    </row>
    <row r="5" customFormat="false" ht="15" hidden="false" customHeight="true" outlineLevel="0" collapsed="false">
      <c r="A5" s="43" t="s">
        <v>440</v>
      </c>
      <c r="B5" s="43" t="s">
        <v>445</v>
      </c>
      <c r="C5" s="43" t="s">
        <v>446</v>
      </c>
      <c r="D5" s="43" t="s">
        <v>443</v>
      </c>
      <c r="E5" s="43" t="s">
        <v>444</v>
      </c>
      <c r="F5" s="44" t="s">
        <v>22</v>
      </c>
    </row>
    <row r="6" customFormat="false" ht="15" hidden="false" customHeight="true" outlineLevel="0" collapsed="false">
      <c r="A6" s="43" t="s">
        <v>440</v>
      </c>
      <c r="B6" s="43" t="s">
        <v>447</v>
      </c>
      <c r="C6" s="43" t="s">
        <v>448</v>
      </c>
      <c r="D6" s="43" t="s">
        <v>443</v>
      </c>
      <c r="E6" s="43" t="s">
        <v>449</v>
      </c>
      <c r="F6" s="44" t="s">
        <v>26</v>
      </c>
    </row>
    <row r="7" customFormat="false" ht="15" hidden="false" customHeight="true" outlineLevel="0" collapsed="false">
      <c r="A7" s="43" t="s">
        <v>450</v>
      </c>
      <c r="B7" s="43" t="s">
        <v>451</v>
      </c>
      <c r="C7" s="43" t="s">
        <v>452</v>
      </c>
      <c r="D7" s="43" t="s">
        <v>443</v>
      </c>
      <c r="E7" s="43" t="s">
        <v>453</v>
      </c>
      <c r="F7" s="44" t="s">
        <v>30</v>
      </c>
    </row>
    <row r="8" customFormat="false" ht="15" hidden="false" customHeight="true" outlineLevel="0" collapsed="false">
      <c r="A8" s="45" t="s">
        <v>440</v>
      </c>
      <c r="B8" s="45" t="s">
        <v>454</v>
      </c>
      <c r="C8" s="45" t="s">
        <v>155</v>
      </c>
      <c r="D8" s="45" t="s">
        <v>455</v>
      </c>
      <c r="E8" s="45" t="s">
        <v>456</v>
      </c>
      <c r="F8" s="45"/>
    </row>
    <row r="9" customFormat="false" ht="23.25" hidden="false" customHeight="true" outlineLevel="0" collapsed="false">
      <c r="A9" s="43" t="s">
        <v>457</v>
      </c>
      <c r="B9" s="43" t="s">
        <v>458</v>
      </c>
      <c r="C9" s="43" t="s">
        <v>459</v>
      </c>
      <c r="D9" s="43" t="s">
        <v>460</v>
      </c>
      <c r="E9" s="43" t="s">
        <v>461</v>
      </c>
      <c r="F9" s="44" t="s">
        <v>35</v>
      </c>
    </row>
    <row r="10" customFormat="false" ht="15" hidden="false" customHeight="true" outlineLevel="0" collapsed="false">
      <c r="A10" s="43" t="s">
        <v>457</v>
      </c>
      <c r="B10" s="43" t="s">
        <v>462</v>
      </c>
      <c r="C10" s="43" t="s">
        <v>463</v>
      </c>
      <c r="D10" s="43" t="s">
        <v>460</v>
      </c>
      <c r="E10" s="43" t="s">
        <v>464</v>
      </c>
      <c r="F10" s="44" t="s">
        <v>212</v>
      </c>
    </row>
    <row r="11" customFormat="false" ht="15" hidden="false" customHeight="true" outlineLevel="0" collapsed="false">
      <c r="A11" s="43" t="s">
        <v>457</v>
      </c>
      <c r="B11" s="43" t="s">
        <v>465</v>
      </c>
      <c r="C11" s="43" t="s">
        <v>128</v>
      </c>
      <c r="D11" s="43" t="s">
        <v>466</v>
      </c>
      <c r="E11" s="43" t="s">
        <v>467</v>
      </c>
      <c r="F11" s="44" t="s">
        <v>129</v>
      </c>
    </row>
    <row r="12" customFormat="false" ht="34.5" hidden="false" customHeight="true" outlineLevel="0" collapsed="false">
      <c r="A12" s="45" t="s">
        <v>457</v>
      </c>
      <c r="B12" s="45" t="s">
        <v>468</v>
      </c>
      <c r="C12" s="45" t="s">
        <v>155</v>
      </c>
      <c r="D12" s="45" t="s">
        <v>469</v>
      </c>
      <c r="E12" s="45" t="s">
        <v>470</v>
      </c>
      <c r="F12" s="45"/>
    </row>
    <row r="13" customFormat="false" ht="15" hidden="false" customHeight="true" outlineLevel="0" collapsed="false">
      <c r="A13" s="43" t="s">
        <v>471</v>
      </c>
      <c r="B13" s="43" t="s">
        <v>472</v>
      </c>
      <c r="C13" s="43" t="s">
        <v>473</v>
      </c>
      <c r="D13" s="43" t="s">
        <v>474</v>
      </c>
      <c r="E13" s="43" t="s">
        <v>475</v>
      </c>
      <c r="F13" s="44" t="s">
        <v>150</v>
      </c>
    </row>
    <row r="14" customFormat="false" ht="15" hidden="false" customHeight="true" outlineLevel="0" collapsed="false">
      <c r="A14" s="43" t="s">
        <v>471</v>
      </c>
      <c r="B14" s="43" t="s">
        <v>476</v>
      </c>
      <c r="C14" s="43" t="s">
        <v>477</v>
      </c>
      <c r="D14" s="43" t="s">
        <v>478</v>
      </c>
      <c r="E14" s="43" t="s">
        <v>479</v>
      </c>
      <c r="F14" s="44" t="s">
        <v>55</v>
      </c>
    </row>
    <row r="15" customFormat="false" ht="15" hidden="false" customHeight="true" outlineLevel="0" collapsed="false">
      <c r="A15" s="43" t="s">
        <v>471</v>
      </c>
      <c r="B15" s="43" t="s">
        <v>480</v>
      </c>
      <c r="C15" s="43" t="s">
        <v>481</v>
      </c>
      <c r="D15" s="43" t="s">
        <v>466</v>
      </c>
      <c r="E15" s="43" t="s">
        <v>482</v>
      </c>
      <c r="F15" s="44" t="s">
        <v>483</v>
      </c>
    </row>
    <row r="16" customFormat="false" ht="15" hidden="false" customHeight="true" outlineLevel="0" collapsed="false">
      <c r="A16" s="43" t="s">
        <v>471</v>
      </c>
      <c r="B16" s="43" t="s">
        <v>484</v>
      </c>
      <c r="C16" s="43" t="s">
        <v>485</v>
      </c>
      <c r="D16" s="43" t="s">
        <v>466</v>
      </c>
      <c r="E16" s="43" t="s">
        <v>486</v>
      </c>
      <c r="F16" s="44" t="s">
        <v>49</v>
      </c>
    </row>
    <row r="17" customFormat="false" ht="15" hidden="false" customHeight="true" outlineLevel="0" collapsed="false">
      <c r="A17" s="43" t="s">
        <v>487</v>
      </c>
      <c r="B17" s="43" t="s">
        <v>488</v>
      </c>
      <c r="C17" s="43" t="s">
        <v>489</v>
      </c>
      <c r="D17" s="43" t="s">
        <v>466</v>
      </c>
      <c r="E17" s="43" t="s">
        <v>490</v>
      </c>
      <c r="F17" s="44" t="s">
        <v>40</v>
      </c>
    </row>
    <row r="18" customFormat="false" ht="15" hidden="false" customHeight="true" outlineLevel="0" collapsed="false">
      <c r="A18" s="43" t="s">
        <v>487</v>
      </c>
      <c r="B18" s="43" t="s">
        <v>491</v>
      </c>
      <c r="C18" s="43" t="s">
        <v>133</v>
      </c>
      <c r="D18" s="43" t="s">
        <v>466</v>
      </c>
      <c r="E18" s="43" t="s">
        <v>492</v>
      </c>
      <c r="F18" s="44" t="s">
        <v>45</v>
      </c>
    </row>
    <row r="19" customFormat="false" ht="15" hidden="false" customHeight="true" outlineLevel="0" collapsed="false">
      <c r="A19" s="43" t="s">
        <v>487</v>
      </c>
      <c r="B19" s="43" t="s">
        <v>493</v>
      </c>
      <c r="C19" s="43" t="s">
        <v>385</v>
      </c>
      <c r="D19" s="43" t="s">
        <v>466</v>
      </c>
      <c r="E19" s="43" t="s">
        <v>494</v>
      </c>
      <c r="F19" s="44" t="s">
        <v>189</v>
      </c>
    </row>
    <row r="20" customFormat="false" ht="23.25" hidden="false" customHeight="true" outlineLevel="0" collapsed="false">
      <c r="A20" s="43" t="s">
        <v>495</v>
      </c>
      <c r="B20" s="43" t="s">
        <v>496</v>
      </c>
      <c r="C20" s="43" t="s">
        <v>497</v>
      </c>
      <c r="D20" s="43" t="s">
        <v>466</v>
      </c>
      <c r="E20" s="43" t="s">
        <v>498</v>
      </c>
      <c r="F20" s="44" t="s">
        <v>300</v>
      </c>
    </row>
    <row r="21" customFormat="false" ht="23.25" hidden="false" customHeight="true" outlineLevel="0" collapsed="false">
      <c r="A21" s="43" t="s">
        <v>499</v>
      </c>
      <c r="B21" s="43" t="s">
        <v>500</v>
      </c>
      <c r="C21" s="43" t="s">
        <v>142</v>
      </c>
      <c r="D21" s="43" t="s">
        <v>466</v>
      </c>
      <c r="E21" s="43" t="s">
        <v>501</v>
      </c>
      <c r="F21" s="44" t="s">
        <v>144</v>
      </c>
    </row>
    <row r="22" customFormat="false" ht="15" hidden="false" customHeight="true" outlineLevel="0" collapsed="false">
      <c r="A22" s="43" t="s">
        <v>502</v>
      </c>
      <c r="B22" s="43" t="s">
        <v>503</v>
      </c>
      <c r="C22" s="43" t="s">
        <v>287</v>
      </c>
      <c r="D22" s="43" t="s">
        <v>466</v>
      </c>
      <c r="E22" s="43" t="s">
        <v>504</v>
      </c>
      <c r="F22" s="44" t="s">
        <v>288</v>
      </c>
    </row>
    <row r="23" customFormat="false" ht="15" hidden="false" customHeight="true" outlineLevel="0" collapsed="false">
      <c r="A23" s="43" t="s">
        <v>505</v>
      </c>
      <c r="B23" s="43" t="s">
        <v>506</v>
      </c>
      <c r="C23" s="43" t="s">
        <v>273</v>
      </c>
      <c r="D23" s="43" t="s">
        <v>466</v>
      </c>
      <c r="E23" s="43" t="s">
        <v>507</v>
      </c>
      <c r="F23" s="44" t="s">
        <v>274</v>
      </c>
    </row>
    <row r="24" customFormat="false" ht="23.25" hidden="false" customHeight="true" outlineLevel="0" collapsed="false">
      <c r="A24" s="43" t="s">
        <v>505</v>
      </c>
      <c r="B24" s="43" t="s">
        <v>508</v>
      </c>
      <c r="C24" s="43" t="s">
        <v>292</v>
      </c>
      <c r="D24" s="43" t="s">
        <v>466</v>
      </c>
      <c r="E24" s="43" t="s">
        <v>509</v>
      </c>
      <c r="F24" s="44" t="s">
        <v>293</v>
      </c>
    </row>
    <row r="25" customFormat="false" ht="15" hidden="false" customHeight="true" outlineLevel="0" collapsed="false">
      <c r="A25" s="43" t="s">
        <v>505</v>
      </c>
      <c r="B25" s="43" t="s">
        <v>510</v>
      </c>
      <c r="C25" s="43" t="s">
        <v>305</v>
      </c>
      <c r="D25" s="43" t="s">
        <v>466</v>
      </c>
      <c r="E25" s="43" t="s">
        <v>511</v>
      </c>
      <c r="F25" s="44" t="s">
        <v>306</v>
      </c>
    </row>
  </sheetData>
  <hyperlinks>
    <hyperlink ref="F4" r:id="rId1" display="https://akkudoktor.net/uploads/short-url/maYfKTLNOcRNqlYZNRluaz43RTL.pdf"/>
    <hyperlink ref="F5" r:id="rId2" display="https://akkudoktor.net/uploads/short-url/2vo4dBRggjXOlkkd4vD5pnKzR5w.pdf"/>
    <hyperlink ref="F6" r:id="rId3" display="https://mikrocontroller.net/attachment/572319/LF280-280Ah-product_specification-version-e.pdf"/>
    <hyperlink ref="F7" r:id="rId4" display="https://cdn.shopify.com/s/files/1/0763/0562/9462/files/EVE_3.2V_314Ah_LiFePO4_Lithium_Battery_Cell.pdf"/>
    <hyperlink ref="F9" r:id="rId5" display="https://7sun.eu/wp-content/uploads/2025/08/product-specification-catl-enerone-407-3-kwh-0-5-c.pdf"/>
    <hyperlink ref="F10" r:id="rId6" display="https://7sun.eu/wp-content/uploads/2025/08/datasheet-catl-enerone-407-3-kwh-0-5-c.pdf"/>
    <hyperlink ref="F11" r:id="rId7" display="https://kyodonewsprwire.jp/release/202404129395"/>
    <hyperlink ref="F13" r:id="rId8" display="https://solarshop.baywa-re.lv/userfiles/files/613%E3%80%91MC_Cube_C%26I_0.5C_V1.0-%28EU%29_2023.07.14%281%29.pdf"/>
    <hyperlink ref="F14" r:id="rId9" display="https://cdn.enfsolar.com/z/pp/2025/8/vz51ichzq14g8tl/mc-cube-t-bess.pdf"/>
    <hyperlink ref="F15" r:id="rId10" display="https://autonews.gasgoo.com/articles/news/byd-launches-all-new-energy-storage-system-mc-cube-t-70032455"/>
    <hyperlink ref="F16" r:id="rId11" display="https://lacey.se/2022/01/07/byd-blade-energy-density"/>
    <hyperlink ref="F17" r:id="rId12" display="https://www.nkon.nl/en/envision-ess-72173207-315ah-lifepo4-3-2v-a-grade.html"/>
    <hyperlink ref="F18" r:id="rId13" display="https://etn.news/energy-storage/envision-8-mwh-containerized-battery-storage-system-details"/>
    <hyperlink ref="F19" r:id="rId14" display="https://www.ess-news.com/?p=5160"/>
    <hyperlink ref="F20" r:id="rId15" display="https://www.energy-storage.news/moroccos-first-large-scale-lfp-battery-storage-system-prepares-for-action/"/>
    <hyperlink ref="F21" r:id="rId16" display="https://docs.nrel.gov/docs/fy25osti/93281.pdf"/>
    <hyperlink ref="F22" r:id="rId17" display="https://www.irena.org/-/media/Files/IRENA/Agency/Publication/2025/Jul/IRENA_TEC_RPGC_in_2024_Summary_2025.pdf"/>
    <hyperlink ref="F23" r:id="rId18" display="https://about.bnef.com/insights/clean-transport/lithium-ion-battery-pack-prices-fall-to-108-per-kilowatt-hour-despite-rising-metal-prices-bloombergnef/"/>
    <hyperlink ref="F24" r:id="rId19" display="https://www.energy-storage.news/behind-the-numbers-bnef-finds-40-year-on-year-drop-in-bess-costs/"/>
    <hyperlink ref="F25" r:id="rId20" display="https://about.bnef.com/insights/clean-energy/battery-storage-costs-hit-record-lows-as-costs-of-other-clean-power-technologies-increased-bloombergne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2"/>
    <col collapsed="false" customWidth="true" hidden="false" outlineLevel="0" max="3" min="3" style="0" width="28"/>
    <col collapsed="false" customWidth="true" hidden="false" outlineLevel="0" max="4" min="4" style="0" width="34"/>
    <col collapsed="false" customWidth="true" hidden="false" outlineLevel="0" max="5" min="5" style="0" width="10"/>
    <col collapsed="false" customWidth="true" hidden="false" outlineLevel="0" max="6" min="6" style="0" width="36"/>
    <col collapsed="false" customWidth="true" hidden="false" outlineLevel="0" max="7" min="7" style="0" width="50"/>
  </cols>
  <sheetData>
    <row r="1" customFormat="false" ht="27.75" hidden="false" customHeight="true" outlineLevel="0" collapsed="false">
      <c r="A1" s="46" t="s">
        <v>512</v>
      </c>
      <c r="B1" s="46"/>
      <c r="C1" s="46"/>
      <c r="D1" s="46"/>
      <c r="E1" s="46"/>
      <c r="F1" s="46"/>
      <c r="G1" s="46"/>
    </row>
    <row r="3" customFormat="false" ht="15" hidden="false" customHeight="false" outlineLevel="0" collapsed="false">
      <c r="A3" s="36" t="s">
        <v>513</v>
      </c>
      <c r="B3" s="36" t="s">
        <v>514</v>
      </c>
      <c r="C3" s="36" t="s">
        <v>3</v>
      </c>
      <c r="D3" s="36" t="s">
        <v>515</v>
      </c>
      <c r="E3" s="36" t="s">
        <v>5</v>
      </c>
      <c r="F3" s="36" t="s">
        <v>516</v>
      </c>
      <c r="G3" s="36" t="s">
        <v>10</v>
      </c>
    </row>
    <row r="4" customFormat="false" ht="15" hidden="false" customHeight="false" outlineLevel="0" collapsed="false">
      <c r="A4" s="31" t="s">
        <v>457</v>
      </c>
      <c r="B4" s="32" t="s">
        <v>517</v>
      </c>
      <c r="C4" s="32" t="s">
        <v>518</v>
      </c>
      <c r="D4" s="32" t="s">
        <v>519</v>
      </c>
      <c r="E4" s="32" t="s">
        <v>13</v>
      </c>
      <c r="F4" s="32" t="s">
        <v>520</v>
      </c>
      <c r="G4" s="38" t="s">
        <v>521</v>
      </c>
    </row>
    <row r="5" customFormat="false" ht="15" hidden="false" customHeight="false" outlineLevel="0" collapsed="false">
      <c r="A5" s="31" t="s">
        <v>457</v>
      </c>
      <c r="B5" s="32" t="s">
        <v>517</v>
      </c>
      <c r="C5" s="32" t="s">
        <v>522</v>
      </c>
      <c r="D5" s="32" t="s">
        <v>523</v>
      </c>
      <c r="E5" s="32" t="s">
        <v>63</v>
      </c>
      <c r="F5" s="32" t="s">
        <v>155</v>
      </c>
      <c r="G5" s="38" t="s">
        <v>521</v>
      </c>
    </row>
    <row r="6" customFormat="false" ht="15" hidden="false" customHeight="false" outlineLevel="0" collapsed="false">
      <c r="A6" s="31" t="s">
        <v>457</v>
      </c>
      <c r="B6" s="32" t="s">
        <v>517</v>
      </c>
      <c r="C6" s="32" t="s">
        <v>56</v>
      </c>
      <c r="D6" s="32" t="s">
        <v>524</v>
      </c>
      <c r="E6" s="32" t="s">
        <v>57</v>
      </c>
      <c r="F6" s="32" t="s">
        <v>525</v>
      </c>
      <c r="G6" s="38" t="s">
        <v>521</v>
      </c>
    </row>
    <row r="7" customFormat="false" ht="15" hidden="false" customHeight="false" outlineLevel="0" collapsed="false">
      <c r="A7" s="31" t="s">
        <v>457</v>
      </c>
      <c r="B7" s="32" t="s">
        <v>526</v>
      </c>
      <c r="C7" s="32" t="s">
        <v>527</v>
      </c>
      <c r="D7" s="32" t="s">
        <v>528</v>
      </c>
      <c r="E7" s="32" t="s">
        <v>529</v>
      </c>
      <c r="F7" s="32" t="s">
        <v>530</v>
      </c>
      <c r="G7" s="38" t="s">
        <v>531</v>
      </c>
    </row>
    <row r="8" customFormat="false" ht="15" hidden="false" customHeight="false" outlineLevel="0" collapsed="false">
      <c r="A8" s="31" t="s">
        <v>457</v>
      </c>
      <c r="B8" s="32" t="s">
        <v>526</v>
      </c>
      <c r="C8" s="32" t="s">
        <v>532</v>
      </c>
      <c r="D8" s="32" t="s">
        <v>533</v>
      </c>
      <c r="E8" s="32" t="s">
        <v>257</v>
      </c>
      <c r="F8" s="32" t="s">
        <v>534</v>
      </c>
      <c r="G8" s="38" t="s">
        <v>535</v>
      </c>
    </row>
    <row r="9" customFormat="false" ht="23.85" hidden="false" customHeight="false" outlineLevel="0" collapsed="false">
      <c r="A9" s="31" t="s">
        <v>457</v>
      </c>
      <c r="B9" s="32" t="s">
        <v>536</v>
      </c>
      <c r="C9" s="32" t="s">
        <v>199</v>
      </c>
      <c r="D9" s="32" t="s">
        <v>537</v>
      </c>
      <c r="E9" s="32" t="s">
        <v>206</v>
      </c>
      <c r="F9" s="32" t="s">
        <v>538</v>
      </c>
      <c r="G9" s="38" t="s">
        <v>535</v>
      </c>
    </row>
    <row r="10" customFormat="false" ht="23.85" hidden="false" customHeight="false" outlineLevel="0" collapsed="false">
      <c r="A10" s="31" t="s">
        <v>457</v>
      </c>
      <c r="B10" s="32" t="s">
        <v>539</v>
      </c>
      <c r="C10" s="32" t="s">
        <v>540</v>
      </c>
      <c r="D10" s="32" t="s">
        <v>541</v>
      </c>
      <c r="E10" s="32" t="s">
        <v>206</v>
      </c>
      <c r="F10" s="32" t="s">
        <v>542</v>
      </c>
      <c r="G10" s="38" t="s">
        <v>535</v>
      </c>
    </row>
    <row r="11" customFormat="false" ht="23.85" hidden="false" customHeight="false" outlineLevel="0" collapsed="false">
      <c r="A11" s="31" t="s">
        <v>457</v>
      </c>
      <c r="B11" s="32" t="s">
        <v>543</v>
      </c>
      <c r="C11" s="32" t="s">
        <v>544</v>
      </c>
      <c r="D11" s="32" t="s">
        <v>545</v>
      </c>
      <c r="E11" s="32" t="s">
        <v>546</v>
      </c>
      <c r="F11" s="32" t="s">
        <v>547</v>
      </c>
      <c r="G11" s="38" t="s">
        <v>535</v>
      </c>
    </row>
    <row r="12" customFormat="false" ht="15" hidden="false" customHeight="false" outlineLevel="0" collapsed="false">
      <c r="A12" s="31" t="s">
        <v>457</v>
      </c>
      <c r="B12" s="32" t="s">
        <v>548</v>
      </c>
      <c r="C12" s="32" t="s">
        <v>199</v>
      </c>
      <c r="D12" s="32" t="s">
        <v>549</v>
      </c>
      <c r="E12" s="32" t="s">
        <v>206</v>
      </c>
      <c r="F12" s="32" t="s">
        <v>550</v>
      </c>
      <c r="G12" s="38" t="s">
        <v>551</v>
      </c>
    </row>
    <row r="13" customFormat="false" ht="15" hidden="false" customHeight="false" outlineLevel="0" collapsed="false">
      <c r="A13" s="31" t="s">
        <v>457</v>
      </c>
      <c r="B13" s="32" t="s">
        <v>552</v>
      </c>
      <c r="C13" s="32" t="s">
        <v>553</v>
      </c>
      <c r="D13" s="32" t="s">
        <v>554</v>
      </c>
      <c r="E13" s="32" t="s">
        <v>155</v>
      </c>
      <c r="F13" s="32" t="s">
        <v>555</v>
      </c>
      <c r="G13" s="38" t="s">
        <v>556</v>
      </c>
    </row>
    <row r="14" customFormat="false" ht="15" hidden="false" customHeight="false" outlineLevel="0" collapsed="false">
      <c r="A14" s="33" t="s">
        <v>440</v>
      </c>
      <c r="B14" s="34" t="s">
        <v>557</v>
      </c>
      <c r="C14" s="34" t="s">
        <v>12</v>
      </c>
      <c r="D14" s="34" t="s">
        <v>558</v>
      </c>
      <c r="E14" s="34" t="s">
        <v>13</v>
      </c>
      <c r="F14" s="34" t="s">
        <v>559</v>
      </c>
      <c r="G14" s="40" t="s">
        <v>560</v>
      </c>
    </row>
    <row r="15" customFormat="false" ht="15" hidden="false" customHeight="false" outlineLevel="0" collapsed="false">
      <c r="A15" s="33" t="s">
        <v>440</v>
      </c>
      <c r="B15" s="34" t="s">
        <v>557</v>
      </c>
      <c r="C15" s="34" t="s">
        <v>561</v>
      </c>
      <c r="D15" s="34" t="s">
        <v>562</v>
      </c>
      <c r="E15" s="34" t="s">
        <v>63</v>
      </c>
      <c r="F15" s="34" t="s">
        <v>155</v>
      </c>
      <c r="G15" s="40" t="s">
        <v>563</v>
      </c>
    </row>
    <row r="16" customFormat="false" ht="15" hidden="false" customHeight="false" outlineLevel="0" collapsed="false">
      <c r="A16" s="33" t="s">
        <v>440</v>
      </c>
      <c r="B16" s="34" t="s">
        <v>557</v>
      </c>
      <c r="C16" s="34" t="s">
        <v>564</v>
      </c>
      <c r="D16" s="34" t="s">
        <v>565</v>
      </c>
      <c r="E16" s="34" t="s">
        <v>63</v>
      </c>
      <c r="F16" s="34" t="s">
        <v>155</v>
      </c>
      <c r="G16" s="40" t="s">
        <v>563</v>
      </c>
    </row>
    <row r="17" customFormat="false" ht="15" hidden="false" customHeight="false" outlineLevel="0" collapsed="false">
      <c r="A17" s="33" t="s">
        <v>440</v>
      </c>
      <c r="B17" s="34" t="s">
        <v>557</v>
      </c>
      <c r="C17" s="34" t="s">
        <v>566</v>
      </c>
      <c r="D17" s="34" t="s">
        <v>567</v>
      </c>
      <c r="E17" s="34" t="s">
        <v>63</v>
      </c>
      <c r="F17" s="34" t="s">
        <v>155</v>
      </c>
      <c r="G17" s="40" t="s">
        <v>563</v>
      </c>
    </row>
    <row r="18" customFormat="false" ht="15" hidden="false" customHeight="false" outlineLevel="0" collapsed="false">
      <c r="A18" s="33" t="s">
        <v>440</v>
      </c>
      <c r="B18" s="34" t="s">
        <v>557</v>
      </c>
      <c r="C18" s="34" t="s">
        <v>568</v>
      </c>
      <c r="D18" s="34" t="s">
        <v>569</v>
      </c>
      <c r="E18" s="34" t="s">
        <v>570</v>
      </c>
      <c r="F18" s="34" t="s">
        <v>155</v>
      </c>
      <c r="G18" s="40" t="s">
        <v>563</v>
      </c>
    </row>
    <row r="19" customFormat="false" ht="15" hidden="false" customHeight="false" outlineLevel="0" collapsed="false">
      <c r="A19" s="33" t="s">
        <v>440</v>
      </c>
      <c r="B19" s="34" t="s">
        <v>557</v>
      </c>
      <c r="C19" s="34" t="s">
        <v>571</v>
      </c>
      <c r="D19" s="34" t="s">
        <v>569</v>
      </c>
      <c r="E19" s="34" t="s">
        <v>570</v>
      </c>
      <c r="F19" s="34" t="s">
        <v>155</v>
      </c>
      <c r="G19" s="40" t="s">
        <v>563</v>
      </c>
    </row>
    <row r="20" customFormat="false" ht="15" hidden="false" customHeight="false" outlineLevel="0" collapsed="false">
      <c r="A20" s="33" t="s">
        <v>440</v>
      </c>
      <c r="B20" s="34" t="s">
        <v>572</v>
      </c>
      <c r="C20" s="34" t="s">
        <v>199</v>
      </c>
      <c r="D20" s="34" t="s">
        <v>573</v>
      </c>
      <c r="E20" s="34" t="s">
        <v>206</v>
      </c>
      <c r="F20" s="34" t="s">
        <v>574</v>
      </c>
      <c r="G20" s="40" t="s">
        <v>575</v>
      </c>
    </row>
    <row r="21" customFormat="false" ht="15" hidden="false" customHeight="false" outlineLevel="0" collapsed="false">
      <c r="A21" s="33" t="s">
        <v>440</v>
      </c>
      <c r="B21" s="34" t="s">
        <v>576</v>
      </c>
      <c r="C21" s="34" t="s">
        <v>199</v>
      </c>
      <c r="D21" s="34" t="s">
        <v>549</v>
      </c>
      <c r="E21" s="34" t="s">
        <v>206</v>
      </c>
      <c r="F21" s="34" t="s">
        <v>577</v>
      </c>
      <c r="G21" s="40" t="s">
        <v>560</v>
      </c>
    </row>
    <row r="22" customFormat="false" ht="23.85" hidden="false" customHeight="false" outlineLevel="0" collapsed="false">
      <c r="A22" s="33" t="s">
        <v>440</v>
      </c>
      <c r="B22" s="34" t="s">
        <v>557</v>
      </c>
      <c r="C22" s="34" t="s">
        <v>578</v>
      </c>
      <c r="D22" s="34" t="s">
        <v>579</v>
      </c>
      <c r="E22" s="34" t="s">
        <v>71</v>
      </c>
      <c r="F22" s="34" t="s">
        <v>580</v>
      </c>
      <c r="G22" s="40" t="s">
        <v>563</v>
      </c>
    </row>
    <row r="23" customFormat="false" ht="15" hidden="false" customHeight="false" outlineLevel="0" collapsed="false">
      <c r="A23" s="33" t="s">
        <v>440</v>
      </c>
      <c r="B23" s="34" t="s">
        <v>557</v>
      </c>
      <c r="C23" s="34" t="s">
        <v>87</v>
      </c>
      <c r="D23" s="34" t="s">
        <v>581</v>
      </c>
      <c r="E23" s="34" t="s">
        <v>88</v>
      </c>
      <c r="F23" s="34" t="s">
        <v>155</v>
      </c>
      <c r="G23" s="40" t="s">
        <v>563</v>
      </c>
    </row>
    <row r="24" customFormat="false" ht="15" hidden="false" customHeight="false" outlineLevel="0" collapsed="false">
      <c r="A24" s="33" t="s">
        <v>440</v>
      </c>
      <c r="B24" s="34" t="s">
        <v>582</v>
      </c>
      <c r="C24" s="34" t="s">
        <v>583</v>
      </c>
      <c r="D24" s="34" t="s">
        <v>584</v>
      </c>
      <c r="E24" s="34" t="s">
        <v>585</v>
      </c>
      <c r="F24" s="34" t="s">
        <v>586</v>
      </c>
      <c r="G24" s="40" t="s">
        <v>575</v>
      </c>
    </row>
    <row r="25" customFormat="false" ht="15" hidden="false" customHeight="false" outlineLevel="0" collapsed="false">
      <c r="A25" s="33" t="s">
        <v>440</v>
      </c>
      <c r="B25" s="34" t="s">
        <v>587</v>
      </c>
      <c r="C25" s="34" t="s">
        <v>199</v>
      </c>
      <c r="D25" s="34" t="s">
        <v>588</v>
      </c>
      <c r="E25" s="34" t="s">
        <v>206</v>
      </c>
      <c r="F25" s="34" t="s">
        <v>589</v>
      </c>
      <c r="G25" s="40" t="s">
        <v>575</v>
      </c>
    </row>
    <row r="27" customFormat="false" ht="54.75" hidden="false" customHeight="true" outlineLevel="0" collapsed="false">
      <c r="A27" s="35" t="s">
        <v>590</v>
      </c>
      <c r="B27" s="35"/>
      <c r="C27" s="35"/>
      <c r="D27" s="35"/>
      <c r="E27" s="35"/>
      <c r="F27" s="35"/>
      <c r="G27" s="35"/>
    </row>
  </sheetData>
  <mergeCells count="2">
    <mergeCell ref="A1:G1"/>
    <mergeCell ref="A27:G27"/>
  </mergeCells>
  <hyperlinks>
    <hyperlink ref="G4" r:id="rId1" display="https://lifepo4.com.au/tag/3-2v/"/>
    <hyperlink ref="G5" r:id="rId2" display="https://lifepo4.com.au/tag/3-2v/"/>
    <hyperlink ref="G6" r:id="rId3" display="https://lifepo4.com.au/tag/3-2v/"/>
    <hyperlink ref="G7" r:id="rId4" display="https://7sun.eu/produkt/catl-enerone-379-4-kwh-1-c/"/>
    <hyperlink ref="G8" r:id="rId5" display="https://lifepo4.com.au/catl-enerone-1p-liquid-cooled-cabinet/"/>
    <hyperlink ref="G9" r:id="rId6" display="https://lifepo4.com.au/catl-enerone-1p-liquid-cooled-cabinet/"/>
    <hyperlink ref="G10" r:id="rId7" display="https://lifepo4.com.au/catl-enerone-1p-liquid-cooled-cabinet/"/>
    <hyperlink ref="G11" r:id="rId8" display="https://lifepo4.com.au/catl-enerone-1p-liquid-cooled-cabinet/"/>
    <hyperlink ref="G12" r:id="rId9" display="https://www.scribd.com/document/827348338/CATL-EnerOne"/>
    <hyperlink ref="G13" r:id="rId10" display="https://lifepo4.com.au/shop/cells-lifepo4/special_order/catl-shipped-from-china/catl-314ah-3-2v-lifepo4-cell-genuine-new-grade-a/"/>
    <hyperlink ref="G14" r:id="rId11" display="https://www.nkon.nl/en/rechargeable/lifepo4/prismatisch/eve-lf280-prismatic-280ah-280a-lifepo4-threaded.html"/>
    <hyperlink ref="G15" r:id="rId12" display="https://www.18650batterystore.com/collections/lifepo4-prismatic-cells/products/eve-lf280k"/>
    <hyperlink ref="G16" r:id="rId13" display="https://www.18650batterystore.com/collections/lifepo4-prismatic-cells/products/eve-lf280k"/>
    <hyperlink ref="G17" r:id="rId14" display="https://www.18650batterystore.com/collections/lifepo4-prismatic-cells/products/eve-lf280k"/>
    <hyperlink ref="G18" r:id="rId15" display="https://www.18650batterystore.com/collections/lifepo4-prismatic-cells/products/eve-lf280k"/>
    <hyperlink ref="G19" r:id="rId16" display="https://www.18650batterystore.com/collections/lifepo4-prismatic-cells/products/eve-lf280k"/>
    <hyperlink ref="G20" r:id="rId17" display="https://lifepo4.com.au/?p=6993"/>
    <hyperlink ref="G21" r:id="rId18" display="https://www.nkon.nl/en/rechargeable/lifepo4/prismatisch/eve-lf280-prismatic-280ah-280a-lifepo4-threaded.html"/>
    <hyperlink ref="G22" r:id="rId19" display="https://www.18650batterystore.com/collections/lifepo4-prismatic-cells/products/eve-lf280k"/>
    <hyperlink ref="G23" r:id="rId20" display="https://www.18650batterystore.com/collections/lifepo4-prismatic-cells/products/eve-lf280k"/>
    <hyperlink ref="G24" r:id="rId21" display="https://lifepo4.com.au/?p=6993"/>
    <hyperlink ref="G25" r:id="rId22" display="https://lifepo4.com.au/?p=6993"/>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2026-10-21T10:13:31Z</dcterms:created>
  <dc:creator>openpyxl</dc:creator>
  <dc:description/>
  <dc:language>en-US</dc:language>
  <cp:lastModifiedBy/>
  <dcterms:modified xsi:type="dcterms:W3CDTF">2026-10-21T14:50:52Z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