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tations_Dessalement" sheetId="2" state="visible" r:id="rId4"/>
    <sheet name="PNAEPI_PolicyCenter" sheetId="3" state="visible" r:id="rId5"/>
    <sheet name="Parametres_Techno_Eco" sheetId="4" state="visible" r:id="rId6"/>
    <sheet name="Ecarts_Sources" sheetId="5" state="visible" r:id="rId7"/>
    <sheet name="Sources" sheetId="6" state="visible" r:id="rId8"/>
  </sheets>
  <definedNames>
    <definedName function="false" hidden="true" localSheetId="1" name="_xlnm._FilterDatabase" vbProcedure="false">Stations_Dessalement!$A$1:$X$34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<sst xmlns="http://schemas.openxmlformats.org/spreadsheetml/2006/main" count="1033" uniqueCount="554">
  <si>
    <t xml:space="preserve">Base de données – Dessalement de l'eau au Maroc</t>
  </si>
  <si>
    <t xml:space="preserve">Projet : Modélisation systémique d'un écosystème énergétique décarboné – Sherpa Engineering × École Centrale Casablanca</t>
  </si>
  <si>
    <t xml:space="preserve">Version du 19 octobre 2026. Données collectées dans des documents officiels (ONEE, Ministère de l'Équipement et de l'Eau), un think tank marocain et la presse économique.</t>
  </si>
  <si>
    <t xml:space="preserve">Contenu des feuilles</t>
  </si>
  <si>
    <t xml:space="preserve">Stations_Dessalement : une ligne par station ou projet (capacité, statut, procédé, énergie, coût, CAPEX, salinité, source, niveau de confiance).</t>
  </si>
  <si>
    <t xml:space="preserve">PNAEPI_PolicyCenter : tableaux du programme national (17 + 9 stations) avec totaux recalculés et contrôle.</t>
  </si>
  <si>
    <t xml:space="preserve">Parametres_Techno_Eco : paramètres utilisables dans le modèle (kWh/m³, DH/m³, CAPEX, durées PPP, couplage EnR) et liste des données manquantes.</t>
  </si>
  <si>
    <t xml:space="preserve">Ecarts_Sources : chiffres nationaux contradictoires selon la date et le périmètre.</t>
  </si>
  <si>
    <t xml:space="preserve">Sources : 30 références avec lien.</t>
  </si>
  <si>
    <t xml:space="preserve">Légende des couleurs</t>
  </si>
  <si>
    <t xml:space="preserve">Bleu = donnée saisie issue d'une source. Noir = formule ou texte. Vert = lien vers une autre feuille. Jaune = donnée à compléter.</t>
  </si>
  <si>
    <t xml:space="preserve">Capacité : quand la source donne des m³/j, les Mm³/an sont calculés (×365) ; quand elle donne des Mm³/an, les m³/j sont calculés (÷365).</t>
  </si>
  <si>
    <t xml:space="preserve">Niveau de confiance</t>
  </si>
  <si>
    <t xml:space="preserve">Élevée : source officielle (ONEE/ministère) ou plusieurs sources concordantes. Moyenne : une seule source ou petits écarts. Faible : sources contradictoires.</t>
  </si>
  <si>
    <t xml:space="preserve">Limites à connaître</t>
  </si>
  <si>
    <t xml:space="preserve">1. Il n'existe pas de base ouverte officielle : cette base est compilée à la main à partir de documents. Elle n'est pas exhaustive (unités privées, hôtelières, agricoles et mobiles non reprises).</t>
  </si>
  <si>
    <t xml:space="preserve">2. Plusieurs chiffres se contredisent entre sources (nombre de stations, capacités OCP, Dakhla, Sidi Ifni) : ils sont signalés dans les notes et dans Ecarts_Sources.</t>
  </si>
  <si>
    <t xml:space="preserve">3. Les données de consommation d'énergie et de coût par station sont rares. Les valeurs détaillées viennent surtout de Laâyoune (ONEE, 2021).</t>
  </si>
  <si>
    <t xml:space="preserve">4. Durée de vie technique, taux de récupération, OPEX détaillé, émissions spécifiques, TRL et flexibilité ne sont pas dans les sources marocaines : voir la liste jaune dans Parametres_Techno_Eco.</t>
  </si>
  <si>
    <t xml:space="preserve">5. Pour la base GWI DesalData (payante) ou des données ONEE plus détaillées, une demande directe à l'ONEE, à la DGIE ou à Sherpa est recommandée.</t>
  </si>
  <si>
    <t xml:space="preserve">ID</t>
  </si>
  <si>
    <t xml:space="preserve">Station / projet</t>
  </si>
  <si>
    <t xml:space="preserve">Région / localisation</t>
  </si>
  <si>
    <t xml:space="preserve">Type d'eau</t>
  </si>
  <si>
    <t xml:space="preserve">Statut</t>
  </si>
  <si>
    <t xml:space="preserve">Procédé</t>
  </si>
  <si>
    <t xml:space="preserve">Porteur / mode</t>
  </si>
  <si>
    <t xml:space="preserve">Année(s) de mise en service</t>
  </si>
  <si>
    <t xml:space="preserve">Capacité installée (m³/j)</t>
  </si>
  <si>
    <t xml:space="preserve">Capacité (Mm³/an)</t>
  </si>
  <si>
    <t xml:space="preserve">Capacité à terme (m³/j)</t>
  </si>
  <si>
    <t xml:space="preserve">Eau potable (Mm³/an)</t>
  </si>
  <si>
    <t xml:space="preserve">Irrigation (Mm³/an)</t>
  </si>
  <si>
    <t xml:space="preserve">Industrie (Mm³/an)</t>
  </si>
  <si>
    <t xml:space="preserve">Source d'énergie</t>
  </si>
  <si>
    <t xml:space="preserve">Conso. énergie (kWh/m³)</t>
  </si>
  <si>
    <t xml:space="preserve">Coût de l'eau (DH/m³)</t>
  </si>
  <si>
    <t xml:space="preserve">CAPEX (MDH)</t>
  </si>
  <si>
    <t xml:space="preserve">Capacité de réf. CAPEX (m³/j)</t>
  </si>
  <si>
    <t xml:space="preserve">CAPEX (DH par m³/j)</t>
  </si>
  <si>
    <t xml:space="preserve">Salinité TDS (g/L)</t>
  </si>
  <si>
    <t xml:space="preserve">Sources</t>
  </si>
  <si>
    <t xml:space="preserve">Confiance</t>
  </si>
  <si>
    <t xml:space="preserve">Notes / écarts</t>
  </si>
  <si>
    <t xml:space="preserve">D01</t>
  </si>
  <si>
    <t xml:space="preserve">Laâyoune (ONEE)</t>
  </si>
  <si>
    <t xml:space="preserve">Laâyoune-Sakia El Hamra</t>
  </si>
  <si>
    <t xml:space="preserve">Mer</t>
  </si>
  <si>
    <t xml:space="preserve">En service</t>
  </si>
  <si>
    <t xml:space="preserve">Osmose inverse</t>
  </si>
  <si>
    <t xml:space="preserve">ONEE – EPC</t>
  </si>
  <si>
    <t xml:space="preserve">1995, 2005, 2010, 2022</t>
  </si>
  <si>
    <t xml:space="preserve">n.d.</t>
  </si>
  <si>
    <t xml:space="preserve">S2; S3; S1</t>
  </si>
  <si>
    <t xml:space="preserve">Élevée</t>
  </si>
  <si>
    <t xml:space="preserve">26 000 m³/j en 2021, 52 000 m³/j selon l'ONEE (2025). Coût 11 DH/m³ = 6 (investissement) + 5 (exploitation) [2021]. 2,64 kWh/m³ avec récupération d'énergie ; 3,5 kWh/m³ après passage à la prise d'eau directe ; 4,54 sans récupération. CAPEX de 14 000 DH/(m³/j) fourni directement par l'ONEE (cas Laâyoune).</t>
  </si>
  <si>
    <t xml:space="preserve">D02</t>
  </si>
  <si>
    <t xml:space="preserve">Laâyoune – Phosboucraa (OCP)</t>
  </si>
  <si>
    <t xml:space="preserve">OCP</t>
  </si>
  <si>
    <t xml:space="preserve">S2; S1; S17</t>
  </si>
  <si>
    <t xml:space="preserve">Moyenne</t>
  </si>
  <si>
    <t xml:space="preserve">Classé 'industrie' par l'ONEE (2021) et 'irrigation' par le Policy Center. Extension de 7,5 Mm³/an prévue pour 2023 (ONEE 2021) ; l'OCP vise 60 Mm³/an sur le site de Laâyoune (EcoActu).</t>
  </si>
  <si>
    <t xml:space="preserve">D03</t>
  </si>
  <si>
    <t xml:space="preserve">Boujdour (ONEE)</t>
  </si>
  <si>
    <t xml:space="preserve">ONEE</t>
  </si>
  <si>
    <t xml:space="preserve">1977, 1995, 2005, 2011, 2016</t>
  </si>
  <si>
    <t xml:space="preserve">S2; S1</t>
  </si>
  <si>
    <t xml:space="preserve">Policy Center : 3,90 Mm³/an (≈ 10 685 m³/j).</t>
  </si>
  <si>
    <t xml:space="preserve">D04</t>
  </si>
  <si>
    <t xml:space="preserve">Tarfaya – eau saumâtre</t>
  </si>
  <si>
    <t xml:space="preserve">Saumâtre</t>
  </si>
  <si>
    <t xml:space="preserve">Osmose inverse (déminéralisation)</t>
  </si>
  <si>
    <t xml:space="preserve">1976, 1983, 2001</t>
  </si>
  <si>
    <t xml:space="preserve">S2</t>
  </si>
  <si>
    <t xml:space="preserve">TDS ≈ 3 g/L. Policy Center indique 0,16 Mm³/an pour Tarfaya en service (écart).</t>
  </si>
  <si>
    <t xml:space="preserve">D05</t>
  </si>
  <si>
    <t xml:space="preserve">Tarfaya – eau de mer (nouvelle)</t>
  </si>
  <si>
    <t xml:space="preserve">En construction</t>
  </si>
  <si>
    <t xml:space="preserve">Statut 'travaux en cours' en 2021 – à confirmer. Une extension de 1 300 m³/j supplémentaires est prévue à moyen/long terme (ONEE 2021).</t>
  </si>
  <si>
    <t xml:space="preserve">D06</t>
  </si>
  <si>
    <t xml:space="preserve">Tan-Tan – eau saumâtre</t>
  </si>
  <si>
    <t xml:space="preserve">Guelmim-Oued Noun</t>
  </si>
  <si>
    <t xml:space="preserve">2003, 2014</t>
  </si>
  <si>
    <t xml:space="preserve">Réseau national (1re phase)</t>
  </si>
  <si>
    <t xml:space="preserve">15–20</t>
  </si>
  <si>
    <t xml:space="preserve">1re phase : 9 000 m³/j (2014), TDS 15–20 g/L. Consultation en cours (2021) pour +4 320 m³/j.</t>
  </si>
  <si>
    <t xml:space="preserve">D07</t>
  </si>
  <si>
    <t xml:space="preserve">Sidi El Ghazi / Roc Chico</t>
  </si>
  <si>
    <t xml:space="preserve">2008, 2009</t>
  </si>
  <si>
    <t xml:space="preserve">Une autre diapositive ONEE indique 90 m³/j (2009).</t>
  </si>
  <si>
    <t xml:space="preserve">D08</t>
  </si>
  <si>
    <t xml:space="preserve">Daoura</t>
  </si>
  <si>
    <t xml:space="preserve">Drâa-Tafilalet</t>
  </si>
  <si>
    <t xml:space="preserve">2008</t>
  </si>
  <si>
    <t xml:space="preserve">D09</t>
  </si>
  <si>
    <t xml:space="preserve">Tagounite</t>
  </si>
  <si>
    <t xml:space="preserve">Une autre diapositive ONEE indique 320 m³/j.</t>
  </si>
  <si>
    <t xml:space="preserve">D10</t>
  </si>
  <si>
    <t xml:space="preserve">Akhfennir</t>
  </si>
  <si>
    <t xml:space="preserve">2011</t>
  </si>
  <si>
    <t xml:space="preserve">D11</t>
  </si>
  <si>
    <t xml:space="preserve">Khénifra</t>
  </si>
  <si>
    <t xml:space="preserve">Béni Mellal-Khénifra</t>
  </si>
  <si>
    <t xml:space="preserve">2012</t>
  </si>
  <si>
    <t xml:space="preserve">Une autre diapositive ONEE indique 30 000 m³/j.</t>
  </si>
  <si>
    <t xml:space="preserve">D12</t>
  </si>
  <si>
    <t xml:space="preserve">Dakhla – ONEE (forages) 1</t>
  </si>
  <si>
    <t xml:space="preserve">Dakhla-Oued Ed-Dahab</t>
  </si>
  <si>
    <t xml:space="preserve">2015</t>
  </si>
  <si>
    <t xml:space="preserve">Nappe fossile : traitement du H₂S, NH₄, Fe avant déminéralisation. Eau brute à ≈ 35 °C. Prise d'eau par forages.</t>
  </si>
  <si>
    <t xml:space="preserve">D13</t>
  </si>
  <si>
    <t xml:space="preserve">Dakhla – ONEE (forages) 2</t>
  </si>
  <si>
    <t xml:space="preserve">2018</t>
  </si>
  <si>
    <t xml:space="preserve">Nouvelle station de déminéralisation de 200 L/s (projet de renforcement AEP).</t>
  </si>
  <si>
    <t xml:space="preserve">D14</t>
  </si>
  <si>
    <t xml:space="preserve">Zagora</t>
  </si>
  <si>
    <t xml:space="preserve">Gestion de la saumure par évaporation : 5 bassins, ≈ 90 000 m² (attribution à Zagora probable d'après l'ordre des diapositives).</t>
  </si>
  <si>
    <t xml:space="preserve">D15</t>
  </si>
  <si>
    <t xml:space="preserve">Al Hoceima</t>
  </si>
  <si>
    <t xml:space="preserve">Tanger-Tétouan-Al Hoceima</t>
  </si>
  <si>
    <t xml:space="preserve">2020</t>
  </si>
  <si>
    <t xml:space="preserve">Prise d'eau de mer par forages côtiers.</t>
  </si>
  <si>
    <t xml:space="preserve">D16</t>
  </si>
  <si>
    <t xml:space="preserve">Khouribga – plateau des phosphates</t>
  </si>
  <si>
    <t xml:space="preserve">D17</t>
  </si>
  <si>
    <t xml:space="preserve">Chtouka-Aït Baha (Douira, Grand Agadir)</t>
  </si>
  <si>
    <t xml:space="preserve">Souss-Massa</t>
  </si>
  <si>
    <t xml:space="preserve">PPP (Min. Agriculture / ONEE) – construction Abengoa</t>
  </si>
  <si>
    <t xml:space="preserve">2022</t>
  </si>
  <si>
    <t xml:space="preserve">n.d. (extension : parc éolien 150 MW prévu)</t>
  </si>
  <si>
    <t xml:space="preserve">S10; S11; S12; S13; S9; S3</t>
  </si>
  <si>
    <t xml:space="preserve">Répartition 150 000 m³/j potable / 125 000 m³/j irrigation (converties en Mm³/an). Investissement : 3 000 MDH (2019, usine seule) ; 4 480 MDH (2021, projet complet) ; 4 410 MDH (2024 : 2 350 irrigation + 2 060 AEP). Coût de l'eau 10 DH/m³ (ministère via Le360, 2024) ; 5 DH/m³ promis aux agriculteurs. Extension à 400 000 m³/j (Cox, 250 M€, 2025-2027) avec parc éolien 150 MW ('Energy follows water'). Policy Center : 100,4 Mm³/an répartis 50/50. L'ONEE (2025) parle de 400 000 m³/j à terme et d'une 1re phase 2022.</t>
  </si>
  <si>
    <t xml:space="preserve">D18</t>
  </si>
  <si>
    <t xml:space="preserve">Casablanca – Grand Casablanca (Lamharza Essahel, El Jadida)</t>
  </si>
  <si>
    <t xml:space="preserve">Casablanca-Settat (prov. El Jadida)</t>
  </si>
  <si>
    <t xml:space="preserve">PPP – Acciona 50 % / Green of Africa 45 % / Afriquia Gaz 5 %</t>
  </si>
  <si>
    <t xml:space="preserve">Phase 1 : fin 2026 / févr. 2027 ; phase 2 : mi-2028</t>
  </si>
  <si>
    <t xml:space="preserve">Éolien – parc 360 MW de Bir Anzarane (Green of Africa Dakhla) – 100 % EnR</t>
  </si>
  <si>
    <t xml:space="preserve">S3; S5; S6; S7; S8; S9</t>
  </si>
  <si>
    <t xml:space="preserve">Phase 1 = 200 Mm³/an ; capacité à terme 300 Mm³/an (250 potable + 50 irrigation – répartition à terme). CAPEX 6 500 MDH pour l'usine (deux tranches) ; investissement privé total 11 000 MDH (S6). Contrat de 27 ans (S8) / 30 ans dont 3 de construction (S29). Réduction d'émissions de CO₂ : 3 200 t/j (ONEE 2025). Policy Center : 300 Mm³ répartis 270 potable / 30 irrigation (écart). Mise en service : fin 2026 (ONEE) ou févr. 2027 (ministre).</t>
  </si>
  <si>
    <t xml:space="preserve">D19</t>
  </si>
  <si>
    <t xml:space="preserve">Dakhla – DAWEC (Engie-Nareva)</t>
  </si>
  <si>
    <t xml:space="preserve">En service (à confirmer)</t>
  </si>
  <si>
    <t xml:space="preserve">PPP – DAWEC (Engie / Nareva), exploitation 20 ans</t>
  </si>
  <si>
    <t xml:space="preserve">2025</t>
  </si>
  <si>
    <t xml:space="preserve">Éolien – parc dédié 60 MW (100 % EnR)</t>
  </si>
  <si>
    <t xml:space="preserve">S14; S15; S16; S1; S4</t>
  </si>
  <si>
    <t xml:space="preserve">≈ 37 Mm³/an (100 000 m³/j = 36,5 Mm³/an). Irrigation de 5 000 ha. Investissement annoncé ≈ 2 000 MDH (S15), réalisé ≈ 2 500 MDH (S14). Parc éolien : 40 MW (S16) puis 60 MW (S14). Policy Center le classe 'en cours' avec répartition 18,5/18,5 Mm³ (données 2023). Hespress (2025) range Dakhla parmi les projets en cours.</t>
  </si>
  <si>
    <t xml:space="preserve">D20</t>
  </si>
  <si>
    <t xml:space="preserve">Jorf Lasfar – OCP (existante)</t>
  </si>
  <si>
    <t xml:space="preserve">OCP / OCP Green Water</t>
  </si>
  <si>
    <t xml:space="preserve">n.d. (récupération d'énergie : 40–50 % des besoins du procédé)</t>
  </si>
  <si>
    <t xml:space="preserve">S17; S1; S19; S26</t>
  </si>
  <si>
    <t xml:space="preserve">Faible</t>
  </si>
  <si>
    <t xml:space="preserve">Valeurs contradictoires : 25 Mm³/an (ONEE 2021, S26) ; 40 Mm³/an (S17, S1) ; 200 Mm³/an pour le site (MAP, juillet 2025, probablement avec extensions). Prix de l'eau fixé par l'OCP : 5,88 DH/m³ (Le360, S9). Autonomie du site en eau non conventionnelle.</t>
  </si>
  <si>
    <t xml:space="preserve">D21</t>
  </si>
  <si>
    <t xml:space="preserve">Jorf Lasfar – OCP (extension)</t>
  </si>
  <si>
    <t xml:space="preserve">2026 (plan d'urgence)</t>
  </si>
  <si>
    <t xml:space="preserve">S1; S18; S20</t>
  </si>
  <si>
    <t xml:space="preserve">Plan d'urgence OCP-Etat : 85 Mm³/an (2023-2025) puis 110 Mm³/an dès 2026 (75 potable pour les régies de Safi et El Jadida + 35 industriel) via 4 unités (2 à Jorf Lasfar, 2 à Safi). BERD : prêt de 200 M€ pour 2 usines (≈ 35 Mm³).</t>
  </si>
  <si>
    <t xml:space="preserve">D22</t>
  </si>
  <si>
    <t xml:space="preserve">Safi – OCP (existante)</t>
  </si>
  <si>
    <t xml:space="preserve">Marrakech-Safi</t>
  </si>
  <si>
    <t xml:space="preserve">S1</t>
  </si>
  <si>
    <t xml:space="preserve">D23</t>
  </si>
  <si>
    <t xml:space="preserve">Safi – OCP (extension)</t>
  </si>
  <si>
    <t xml:space="preserve">S1; S18</t>
  </si>
  <si>
    <t xml:space="preserve">Voir D21 pour le plan d'urgence. ONEE 2021 mentionnait aussi un projet de 26 000 m³/j à Safi.</t>
  </si>
  <si>
    <t xml:space="preserve">D24</t>
  </si>
  <si>
    <t xml:space="preserve">El Mhirriz</t>
  </si>
  <si>
    <t xml:space="preserve">Village de pêche.</t>
  </si>
  <si>
    <t xml:space="preserve">D25</t>
  </si>
  <si>
    <t xml:space="preserve">Amegrew</t>
  </si>
  <si>
    <t xml:space="preserve">D26</t>
  </si>
  <si>
    <t xml:space="preserve">Sidi Ifni</t>
  </si>
  <si>
    <t xml:space="preserve">S2; S1; S29</t>
  </si>
  <si>
    <t xml:space="preserve">FNH annonce 15 Mm³/an (écart avec 3,15 Mm³/an). Extension de 8 600 m³/j prévue (ONEE 2021). Le programme 'Tiznit – Sidi Ifni' (154,6 Mm³) est une autre station (D30).</t>
  </si>
  <si>
    <t xml:space="preserve">D27</t>
  </si>
  <si>
    <t xml:space="preserve">Nador (programmée)</t>
  </si>
  <si>
    <t xml:space="preserve">Oriental</t>
  </si>
  <si>
    <t xml:space="preserve">Programmée</t>
  </si>
  <si>
    <t xml:space="preserve">PPP (envisagé)</t>
  </si>
  <si>
    <t xml:space="preserve">2026 / 2035</t>
  </si>
  <si>
    <t xml:space="preserve">S1; S25</t>
  </si>
  <si>
    <t xml:space="preserve">Policy Center : 250 Mm³/an ; Le360 : 100 Mm³/an extensibles à 200 Mm³/an.</t>
  </si>
  <si>
    <t xml:space="preserve">D28</t>
  </si>
  <si>
    <t xml:space="preserve">Essaouira (programmée)</t>
  </si>
  <si>
    <t xml:space="preserve">2027 / 2035</t>
  </si>
  <si>
    <t xml:space="preserve">S1; S27</t>
  </si>
  <si>
    <t xml:space="preserve">Études lancées par l'ONEE (23 MDH d'études).</t>
  </si>
  <si>
    <t xml:space="preserve">D29</t>
  </si>
  <si>
    <t xml:space="preserve">Agadir – extension (programmée)</t>
  </si>
  <si>
    <t xml:space="preserve">2028</t>
  </si>
  <si>
    <t xml:space="preserve">À rapprocher de l'extension Cox de Chtouka (D17) : possible recouvrement.</t>
  </si>
  <si>
    <t xml:space="preserve">D30</t>
  </si>
  <si>
    <t xml:space="preserve">Tiznit – Sidi Ifni (Aglou, programmée)</t>
  </si>
  <si>
    <t xml:space="preserve">Souss-Massa / Guelmim-Oued Noun</t>
  </si>
  <si>
    <t xml:space="preserve">2028 / 2030 / 2035</t>
  </si>
  <si>
    <t xml:space="preserve">S1; S30</t>
  </si>
  <si>
    <t xml:space="preserve">Coût global de 2 700 MDH cité pour la station d'Aglou (Tiznit) – périmètre non précisé, donc CAPEX non rattaché à une capacité.</t>
  </si>
  <si>
    <t xml:space="preserve">D31</t>
  </si>
  <si>
    <t xml:space="preserve">Guelmim (programmée)</t>
  </si>
  <si>
    <t xml:space="preserve">2027 / 2030 / 2035</t>
  </si>
  <si>
    <t xml:space="preserve">D32</t>
  </si>
  <si>
    <t xml:space="preserve">Tan-Tan – mer (programmée)</t>
  </si>
  <si>
    <t xml:space="preserve">2027 – 2040</t>
  </si>
  <si>
    <t xml:space="preserve">Inclut 9 Mm³/an pour l'hydrogène vert : lien direct avec le projet.</t>
  </si>
  <si>
    <t xml:space="preserve">D33</t>
  </si>
  <si>
    <t xml:space="preserve">Boujdour (programmée)</t>
  </si>
  <si>
    <t xml:space="preserve">2030 / 2035</t>
  </si>
  <si>
    <t xml:space="preserve">Total – eau de mer, en service (Mm³/an)</t>
  </si>
  <si>
    <t xml:space="preserve">Total – eau saumâtre, en service (Mm³/an)</t>
  </si>
  <si>
    <t xml:space="preserve">Total – eau de mer, en construction (Mm³/an)</t>
  </si>
  <si>
    <t xml:space="preserve">Total – programmées (Mm³/an)</t>
  </si>
  <si>
    <t xml:space="preserve">Note : ces totaux n'incluent que les stations de cette feuille (non exhaustif) et ne sont pas comparables aux chiffres nationaux officiels – voir feuille Ecarts_Sources.</t>
  </si>
  <si>
    <t xml:space="preserve">Programme national – capacités de dessalement (Policy Center, mai 2025, données 2023 du Min. Équipement et Eau) – source S1</t>
  </si>
  <si>
    <t xml:space="preserve">Tableau 1 – 17 stations en service ou en cours de réalisation</t>
  </si>
  <si>
    <t xml:space="preserve">Station / localisation</t>
  </si>
  <si>
    <t xml:space="preserve">Capacité (Mm³)</t>
  </si>
  <si>
    <t xml:space="preserve">Eau potable (Mm³)</t>
  </si>
  <si>
    <t xml:space="preserve">Irrigation (Mm³)</t>
  </si>
  <si>
    <t xml:space="preserve">Industrie (Mm³)</t>
  </si>
  <si>
    <t xml:space="preserve">Contrôle (cap. – somme usages)</t>
  </si>
  <si>
    <t xml:space="preserve">Jorf Lasfar</t>
  </si>
  <si>
    <t xml:space="preserve">En cours</t>
  </si>
  <si>
    <t xml:space="preserve">Safi</t>
  </si>
  <si>
    <t xml:space="preserve">Agadir</t>
  </si>
  <si>
    <t xml:space="preserve">Tarfaya</t>
  </si>
  <si>
    <t xml:space="preserve">Laâyoune</t>
  </si>
  <si>
    <t xml:space="preserve">Sidi El Ghazi</t>
  </si>
  <si>
    <t xml:space="preserve">Boujdour</t>
  </si>
  <si>
    <t xml:space="preserve">Dakhla</t>
  </si>
  <si>
    <t xml:space="preserve">Total calculé</t>
  </si>
  <si>
    <t xml:space="preserve">Total publié (S1)</t>
  </si>
  <si>
    <t xml:space="preserve">Écart (calculé – publié)</t>
  </si>
  <si>
    <t xml:space="preserve">Tableau 2 – 9 stations programmées (horizon 2026–2040)</t>
  </si>
  <si>
    <t xml:space="preserve">Région / ville</t>
  </si>
  <si>
    <t xml:space="preserve">Mise en service</t>
  </si>
  <si>
    <t xml:space="preserve">Industrie – H₂ vert (Mm³)</t>
  </si>
  <si>
    <t xml:space="preserve">Nador</t>
  </si>
  <si>
    <t xml:space="preserve">Casablanca</t>
  </si>
  <si>
    <t xml:space="preserve">2026 / 2030</t>
  </si>
  <si>
    <t xml:space="preserve">Essaouira</t>
  </si>
  <si>
    <t xml:space="preserve">Tiznit – Sidi Ifni</t>
  </si>
  <si>
    <t xml:space="preserve">Guelmim</t>
  </si>
  <si>
    <t xml:space="preserve">Tan-Tan</t>
  </si>
  <si>
    <t xml:space="preserve">2027 / 2030 / 2035 / 2040</t>
  </si>
  <si>
    <t xml:space="preserve">Total publié (S1, tableau 4)</t>
  </si>
  <si>
    <t xml:space="preserve">Total général 26 stations (calculé)</t>
  </si>
  <si>
    <t xml:space="preserve">Remarques : (1) le texte de S1 donne tantôt 935,74 / 1 257,85 Mm³, tantôt 935,27 / 1 257,38 Mm³ ; la somme des lignes (935,27) confirme la seconde version. (2) Le tableau 3 de S1 publie 452,20 Mm³ d'irrigation et 751,65 Mm³ d'eau potable pour l'ensemble : c'est incohérent avec les lignes (69,90 + 352,30 = 422,20 ; 177,21 + 573,97 = 751,18). Les totaux calculés ci-dessus sont à utiliser.</t>
  </si>
  <si>
    <t xml:space="preserve">Paramètres technico-économiques du dessalement au Maroc (pour le modèle systémique)</t>
  </si>
  <si>
    <t xml:space="preserve">Paramètre</t>
  </si>
  <si>
    <t xml:space="preserve">Valeur</t>
  </si>
  <si>
    <t xml:space="preserve">Unité</t>
  </si>
  <si>
    <t xml:space="preserve">Contexte / site</t>
  </si>
  <si>
    <t xml:space="preserve">Année</t>
  </si>
  <si>
    <t xml:space="preserve">Source(s)</t>
  </si>
  <si>
    <t xml:space="preserve">Remarque</t>
  </si>
  <si>
    <t xml:space="preserve">Procédé dominant</t>
  </si>
  <si>
    <t xml:space="preserve">Osmose inverse (SWRO)</t>
  </si>
  <si>
    <t xml:space="preserve">–</t>
  </si>
  <si>
    <t xml:space="preserve">Toutes les stations d'eau de mer existantes et en construction</t>
  </si>
  <si>
    <t xml:space="preserve">2024-2025</t>
  </si>
  <si>
    <t xml:space="preserve">S23; S2</t>
  </si>
  <si>
    <t xml:space="preserve">Choix ONEE : coût compétitif, faible consommation spécifique, adaptée au mix énergétique marocain. Technologie 'éprouvée'.</t>
  </si>
  <si>
    <t xml:space="preserve">Consommation électrique spécifique – avec récupération d'énergie</t>
  </si>
  <si>
    <t xml:space="preserve">kWh/m³</t>
  </si>
  <si>
    <t xml:space="preserve">2021</t>
  </si>
  <si>
    <t xml:space="preserve">Avec membranes basse énergie, échangeurs de pression, démarreurs à variateur MT.</t>
  </si>
  <si>
    <t xml:space="preserve">Consommation électrique – après prise d'eau directe</t>
  </si>
  <si>
    <t xml:space="preserve">Augmentation due au pompage de la prise directe.</t>
  </si>
  <si>
    <t xml:space="preserve">Consommation électrique – sans récupération d'énergie</t>
  </si>
  <si>
    <t xml:space="preserve">Gain de 1,9 kWh/m³ grâce à la récupération d'énergie.</t>
  </si>
  <si>
    <t xml:space="preserve">Plage de consommation citée par l'ONEE</t>
  </si>
  <si>
    <t xml:space="preserve">3 à 5</t>
  </si>
  <si>
    <t xml:space="preserve">National</t>
  </si>
  <si>
    <t xml:space="preserve">S3</t>
  </si>
  <si>
    <t xml:space="preserve">L'énergie représente jusqu'à 50 % des coûts totaux.</t>
  </si>
  <si>
    <t xml:space="preserve">Plage citée par un expert</t>
  </si>
  <si>
    <t xml:space="preserve">3 à 3,5</t>
  </si>
  <si>
    <t xml:space="preserve">Technologie actuelle</t>
  </si>
  <si>
    <t xml:space="preserve">S24</t>
  </si>
  <si>
    <t xml:space="preserve">Part de l'énergie récupérée par ERD (OCP)</t>
  </si>
  <si>
    <t xml:space="preserve">40 à 50</t>
  </si>
  <si>
    <t xml:space="preserve">% des besoins énergétiques</t>
  </si>
  <si>
    <t xml:space="preserve">Jorf Lasfar (OCP)</t>
  </si>
  <si>
    <t xml:space="preserve">S19</t>
  </si>
  <si>
    <t xml:space="preserve">Part de l'énergie dans le coût total</t>
  </si>
  <si>
    <t xml:space="preserve">jusqu'à 50</t>
  </si>
  <si>
    <t xml:space="preserve">%</t>
  </si>
  <si>
    <t xml:space="preserve">Coût de l'eau dessalée – national (ordre de grandeur)</t>
  </si>
  <si>
    <t xml:space="preserve">DH/m³</t>
  </si>
  <si>
    <t xml:space="preserve">Stations existantes (petites)</t>
  </si>
  <si>
    <t xml:space="preserve">S28</t>
  </si>
  <si>
    <t xml:space="preserve">Dépend de la salinité, de la taille de la station et du coût de l'énergie.</t>
  </si>
  <si>
    <t xml:space="preserve">Fourchette de coût de production</t>
  </si>
  <si>
    <t xml:space="preserve">5 à 12</t>
  </si>
  <si>
    <t xml:space="preserve">Coût de l'eau – Laâyoune</t>
  </si>
  <si>
    <t xml:space="preserve">6 DH investissement + 5 DH exploitation.</t>
  </si>
  <si>
    <t xml:space="preserve">Coût de l'eau – Agadir (Chtouka)</t>
  </si>
  <si>
    <t xml:space="preserve">Chtouka-Aït Baha</t>
  </si>
  <si>
    <t xml:space="preserve">2024</t>
  </si>
  <si>
    <t xml:space="preserve">S9</t>
  </si>
  <si>
    <t xml:space="preserve">Chiffre ministère cité par la presse.</t>
  </si>
  <si>
    <t xml:space="preserve">Prix de l'eau dessalée fixé par l'OCP</t>
  </si>
  <si>
    <t xml:space="preserve">Coût de l'eau – Casablanca (prix PPP)</t>
  </si>
  <si>
    <t xml:space="preserve">S7; S9</t>
  </si>
  <si>
    <t xml:space="preserve">Prix moyen inférieur à 4,50 DH/m³, 100 % renouvelable.</t>
  </si>
  <si>
    <t xml:space="preserve">Coût international (grandes usines → petites)</t>
  </si>
  <si>
    <t xml:space="preserve">0,5 à 1,25</t>
  </si>
  <si>
    <t xml:space="preserve">USD/m³</t>
  </si>
  <si>
    <t xml:space="preserve">International</t>
  </si>
  <si>
    <t xml:space="preserve">CAPEX – Laâyoune</t>
  </si>
  <si>
    <t xml:space="preserve">DH par m³/j</t>
  </si>
  <si>
    <t xml:space="preserve">CAPEX – référence internationale</t>
  </si>
  <si>
    <t xml:space="preserve">1300 à 1400</t>
  </si>
  <si>
    <t xml:space="preserve">USD par m³/j</t>
  </si>
  <si>
    <t xml:space="preserve">International (GWI DesalData, août 2020)</t>
  </si>
  <si>
    <t xml:space="preserve">CAPEX – Casablanca (calcul)</t>
  </si>
  <si>
    <t xml:space="preserve">Casablanca (6 500 MDH / capacité à terme)</t>
  </si>
  <si>
    <t xml:space="preserve">S5; S6</t>
  </si>
  <si>
    <t xml:space="preserve">Calcul à partir de la feuille Stations.</t>
  </si>
  <si>
    <t xml:space="preserve">CAPEX – Chtouka (calcul, usine seule)</t>
  </si>
  <si>
    <t xml:space="preserve">Chtouka (3 000 MDH / 275 000 m³/j)</t>
  </si>
  <si>
    <t xml:space="preserve">2019</t>
  </si>
  <si>
    <t xml:space="preserve">S12</t>
  </si>
  <si>
    <t xml:space="preserve">CAPEX – Dakhla (calcul)</t>
  </si>
  <si>
    <t xml:space="preserve">Dakhla (2 500 MDH / 100 000 m³/j)</t>
  </si>
  <si>
    <t xml:space="preserve">S14</t>
  </si>
  <si>
    <t xml:space="preserve">Inclut le parc éolien dédié 60 MW (périmètre PPP complet).</t>
  </si>
  <si>
    <t xml:space="preserve">Durée du contrat PPP – Casablanca</t>
  </si>
  <si>
    <t xml:space="preserve">ans</t>
  </si>
  <si>
    <t xml:space="preserve">S8</t>
  </si>
  <si>
    <t xml:space="preserve">30 ans dont 3 ans de construction selon S29.</t>
  </si>
  <si>
    <t xml:space="preserve">Durée d'exploitation PPP – Dakhla</t>
  </si>
  <si>
    <t xml:space="preserve">S15</t>
  </si>
  <si>
    <t xml:space="preserve">Salinité de l'eau de mer</t>
  </si>
  <si>
    <t xml:space="preserve">36 à 39</t>
  </si>
  <si>
    <t xml:space="preserve">g/L</t>
  </si>
  <si>
    <t xml:space="preserve">Al Hoceima 36 ; Laâyoune 39</t>
  </si>
  <si>
    <t xml:space="preserve">Salinité des eaux saumâtres</t>
  </si>
  <si>
    <t xml:space="preserve">2,5 à 20</t>
  </si>
  <si>
    <t xml:space="preserve">Dakhla/Zagora 2,5 ; Tarfaya 3 ; Tan-Tan 15–20</t>
  </si>
  <si>
    <t xml:space="preserve">Réduction d'émissions de CO₂ (Casablanca, vs alimentation fossile)</t>
  </si>
  <si>
    <t xml:space="preserve">t CO₂/jour</t>
  </si>
  <si>
    <t xml:space="preserve">Valeur ONEE non recoupée – base de calcul non précisée.</t>
  </si>
  <si>
    <t xml:space="preserve">Part du dessalement dans le mix d'eau potable ONEE</t>
  </si>
  <si>
    <t xml:space="preserve">Fin 2024</t>
  </si>
  <si>
    <t xml:space="preserve">Cible : 63 % des besoins en eau potable en 2030 (13 % en 2025), 65 % en 2035.</t>
  </si>
  <si>
    <t xml:space="preserve">Objectif de capacité de dessalement d'eau potable</t>
  </si>
  <si>
    <t xml:space="preserve">milliard m³/an</t>
  </si>
  <si>
    <t xml:space="preserve">2030</t>
  </si>
  <si>
    <t xml:space="preserve">1,0 à 1,4 milliard selon les sources (S22, S23, S26).</t>
  </si>
  <si>
    <t xml:space="preserve">Capacité du dessalement mobile (programme)</t>
  </si>
  <si>
    <t xml:space="preserve">L/s</t>
  </si>
  <si>
    <t xml:space="preserve">244 stations (89 livrées au 31/07/2025)</t>
  </si>
  <si>
    <t xml:space="preserve">S4</t>
  </si>
  <si>
    <t xml:space="preserve">Unités de 360 à 3 600 m³/j (S1).</t>
  </si>
  <si>
    <t xml:space="preserve">Couplage énergies renouvelables – dessalement (ratios calculés)</t>
  </si>
  <si>
    <t xml:space="preserve">Site</t>
  </si>
  <si>
    <t xml:space="preserve">Puissance EnR dédiée (MW)</t>
  </si>
  <si>
    <t xml:space="preserve">Capacité de dessalement (m³/j)</t>
  </si>
  <si>
    <t xml:space="preserve">MW par 1 000 m³/j</t>
  </si>
  <si>
    <t xml:space="preserve">Dakhla (DAWEC)</t>
  </si>
  <si>
    <t xml:space="preserve">Éolien</t>
  </si>
  <si>
    <t xml:space="preserve">Parc éolien dédié 100 % EnR.</t>
  </si>
  <si>
    <t xml:space="preserve">Casablanca (phase 2)</t>
  </si>
  <si>
    <t xml:space="preserve">Éolien (Bir Anzarane)</t>
  </si>
  <si>
    <t xml:space="preserve">S5</t>
  </si>
  <si>
    <t xml:space="preserve">Capacité à terme ; 100 % EnR via parc déporté.</t>
  </si>
  <si>
    <t xml:space="preserve">Chtouka – extension (Cox)</t>
  </si>
  <si>
    <t xml:space="preserve">S13</t>
  </si>
  <si>
    <t xml:space="preserve">Capacité à terme (400 000 m³/j) ; le parc vise à couvrir l'alimentation énergétique.</t>
  </si>
  <si>
    <t xml:space="preserve">Données demandées par Sherpa NON trouvées dans les sources marocaines (à compléter par la littérature)</t>
  </si>
  <si>
    <t xml:space="preserve">Donnée manquante</t>
  </si>
  <si>
    <t xml:space="preserve">Pistes pour la compléter</t>
  </si>
  <si>
    <t xml:space="preserve">Durée de vie technique (membranes, pompes, usine)</t>
  </si>
  <si>
    <t xml:space="preserve">Littérature scientifique, IDA, rapports Banque mondiale 2019 – seules des durées de contrat PPP (20–30 ans) ont été trouvées</t>
  </si>
  <si>
    <t xml:space="preserve">Taux de récupération (recovery) et prélèvement d'eau de mer par m³ produit</t>
  </si>
  <si>
    <t xml:space="preserve">Fiches techniques des PPP (Acciona, Abengoa, Cox) ; littérature</t>
  </si>
  <si>
    <t xml:space="preserve">OPEX détaillé (énergie, produits chimiques, membranes, personnel)</t>
  </si>
  <si>
    <t xml:space="preserve">Seule la répartition globale de Laâyoune (6 DH invest. / 5 DH exploit.) est disponible</t>
  </si>
  <si>
    <t xml:space="preserve">Émissions spécifiques (kg CO₂/m³) selon le mix électrique</t>
  </si>
  <si>
    <t xml:space="preserve">Calculer à partir des kWh/m³ et du facteur d'émission du réseau marocain ; ACV de la littérature</t>
  </si>
  <si>
    <t xml:space="preserve">Maturité (TRL) par procédé</t>
  </si>
  <si>
    <t xml:space="preserve">OI = mature (ONEE) ; MED/MSF/électrodialyse : littérature</t>
  </si>
  <si>
    <t xml:space="preserve">Rejets de saumure (volume, salinité, impact)</t>
  </si>
  <si>
    <t xml:space="preserve">Études d'impact environnemental (loi 12/03), littérature</t>
  </si>
  <si>
    <t xml:space="preserve">Flexibilité / charge minimale de l'unité d'osmose inverse</t>
  </si>
  <si>
    <t xml:space="preserve">Littérature sur le dessalement flexible couplé aux EnR – critère clé de votre sujet</t>
  </si>
  <si>
    <t xml:space="preserve">Chiffres nationaux et écarts entre sources (à ne pas mélanger sans préciser la date et le périmètre)</t>
  </si>
  <si>
    <t xml:space="preserve">Indicateur</t>
  </si>
  <si>
    <t xml:space="preserve">Date</t>
  </si>
  <si>
    <t xml:space="preserve">Source</t>
  </si>
  <si>
    <t xml:space="preserve">Explication probable</t>
  </si>
  <si>
    <t xml:space="preserve">Stations d'eau de mer en service – ministre</t>
  </si>
  <si>
    <t xml:space="preserve">stations</t>
  </si>
  <si>
    <t xml:space="preserve">31 oct. 2022</t>
  </si>
  <si>
    <t xml:space="preserve">S21</t>
  </si>
  <si>
    <t xml:space="preserve">Périmètre : stations d'eau de mer uniquement.</t>
  </si>
  <si>
    <t xml:space="preserve">Capacité correspondante</t>
  </si>
  <si>
    <t xml:space="preserve">Mm³/an</t>
  </si>
  <si>
    <t xml:space="preserve">Stations d'eau de mer existantes – ministre</t>
  </si>
  <si>
    <t xml:space="preserve">n.d. (≈ 2023)</t>
  </si>
  <si>
    <t xml:space="preserve">S22</t>
  </si>
  <si>
    <t xml:space="preserve">Plus récent que 9 stations.</t>
  </si>
  <si>
    <t xml:space="preserve">Capacité correspondante (eau de mer)</t>
  </si>
  <si>
    <t xml:space="preserve">S'y ajoutent ≈ 37 Mm³/an d'eaux saumâtres.</t>
  </si>
  <si>
    <t xml:space="preserve">Capacité des 12 stations – CESE</t>
  </si>
  <si>
    <t xml:space="preserve">juin 2024</t>
  </si>
  <si>
    <t xml:space="preserve">S23</t>
  </si>
  <si>
    <t xml:space="preserve">Environ 20 stations prévues d'ici 2030 ; 1,4 milliard de m³ visés.</t>
  </si>
  <si>
    <t xml:space="preserve">Stations d'eau de mer exploitées – DGIE</t>
  </si>
  <si>
    <t xml:space="preserve">Inclut probablement les unités OCP et les extensions.</t>
  </si>
  <si>
    <t xml:space="preserve">Capacité correspondante – DGIE</t>
  </si>
  <si>
    <t xml:space="preserve">13 projets côtiers programmés ; 244 unités mobiles en acquisition.</t>
  </si>
  <si>
    <t xml:space="preserve">Stations de dessalement à fin 2024 – ONEE</t>
  </si>
  <si>
    <t xml:space="preserve">4 déc. 2025</t>
  </si>
  <si>
    <t xml:space="preserve">Périmètre ONEE.</t>
  </si>
  <si>
    <t xml:space="preserve">Capacité visée en 2030 (eau potable)</t>
  </si>
  <si>
    <t xml:space="preserve">63 % des besoins en eau potable en 2030 contre 13 % en 2025.</t>
  </si>
  <si>
    <t xml:space="preserve">Stations du PNAEPI (en service + en cours + programmées)</t>
  </si>
  <si>
    <t xml:space="preserve">2025 (données 2023)</t>
  </si>
  <si>
    <t xml:space="preserve">Voir feuille PNAEPI_PolicyCenter.</t>
  </si>
  <si>
    <t xml:space="preserve">Capacité des 26 stations (somme des lignes)</t>
  </si>
  <si>
    <t xml:space="preserve">Recalculé ; le texte source donne 1 257,38 ou 1 257,85.</t>
  </si>
  <si>
    <t xml:space="preserve">Jorf Lasfar OCP – ONEE 2021 / FNH</t>
  </si>
  <si>
    <t xml:space="preserve">2021 / 2025</t>
  </si>
  <si>
    <t xml:space="preserve">S2; S26</t>
  </si>
  <si>
    <t xml:space="preserve">Capacité avant extension.</t>
  </si>
  <si>
    <t xml:space="preserve">Jorf Lasfar OCP – EcoActu / Policy Center</t>
  </si>
  <si>
    <t xml:space="preserve">2023-2025</t>
  </si>
  <si>
    <t xml:space="preserve">S17; S1</t>
  </si>
  <si>
    <t xml:space="preserve">Après extension.</t>
  </si>
  <si>
    <t xml:space="preserve">Jorf Lasfar OCP – MAP juillet 2025</t>
  </si>
  <si>
    <t xml:space="preserve">16 juil. 2025</t>
  </si>
  <si>
    <t xml:space="preserve">Probablement capacité totale du site avec unités en construction ; à vérifier auprès de l'OCP.</t>
  </si>
  <si>
    <t xml:space="preserve">Parc ONEE – capacité installée toutes eaux</t>
  </si>
  <si>
    <t xml:space="preserve">m³/j</t>
  </si>
  <si>
    <t xml:space="preserve">3 juin 2021</t>
  </si>
  <si>
    <t xml:space="preserve">Dont ≈ 55 000 m³/j de dessalement (eau de mer) ; le reste = déminéralisation d'eaux saumâtres.</t>
  </si>
  <si>
    <t xml:space="preserve">Parc ONEE – somme des lignes (feuille Stations, ONEE)</t>
  </si>
  <si>
    <t xml:space="preserve">calcul</t>
  </si>
  <si>
    <t xml:space="preserve">Somme des stations ONEE en service de la feuille Stations (Laâyoune compté à 52 000 m³/j, chiffre 2025). L'écart avec 160 000 m³/j (2021) vient de cette mise à jour et des stations non reprises.</t>
  </si>
  <si>
    <t xml:space="preserve">Titre</t>
  </si>
  <si>
    <t xml:space="preserve">Organisme / média</t>
  </si>
  <si>
    <t xml:space="preserve">URL</t>
  </si>
  <si>
    <t xml:space="preserve">Nature</t>
  </si>
  <si>
    <t xml:space="preserve">Désalinisation, barrages et autoroutes de l'eau (Policy Paper 19/25), H.-L. Védie</t>
  </si>
  <si>
    <t xml:space="preserve">Policy Center for the New South (données 2023 du Min. Équipement et Eau)</t>
  </si>
  <si>
    <t xml:space="preserve">Mai 2025</t>
  </si>
  <si>
    <t xml:space="preserve">https://www.policycenter.ma/sites/default/files/2025-05/PP_19-25%20%28Vedie%29.pdf</t>
  </si>
  <si>
    <t xml:space="preserve">Think tank / données ministère</t>
  </si>
  <si>
    <t xml:space="preserve">Expérience de l'ONEE en matière de dessalement d'eau, M. Kharif</t>
  </si>
  <si>
    <t xml:space="preserve">ONEE – Direction technique et ingénierie</t>
  </si>
  <si>
    <t xml:space="preserve">https://remoc.org/events/20210603-ime-webinar/Desalination_Morocco_ONEE.pdf</t>
  </si>
  <si>
    <t xml:space="preserve">Officiel (ONEE)</t>
  </si>
  <si>
    <t xml:space="preserve">Situation actuelle du dessalement au Maroc, perspectives et défis, F. Essannouni</t>
  </si>
  <si>
    <t xml:space="preserve">ONEE – Branche Eau, Direction Planification</t>
  </si>
  <si>
    <t xml:space="preserve">https://www.eia.nl/fr/wp-content/uploads/sites/2/2026/01/1-Mme.-Fedwa-Essannouni-Dessalement-au-Maroc.pdf</t>
  </si>
  <si>
    <t xml:space="preserve">Dakhla, Casablanca, El Jadida… le Maroc accélère ses projets de dessalement (données DGIE)</t>
  </si>
  <si>
    <t xml:space="preserve">Hespress</t>
  </si>
  <si>
    <t xml:space="preserve">https://fr.hespress.com/437711-dakhla-casablanca-el-jadida-le-maroc-accelere-ses-projets-de-dessalement.html</t>
  </si>
  <si>
    <t xml:space="preserve">Presse (données ministère)</t>
  </si>
  <si>
    <t xml:space="preserve">Station de dessalement du Grand Casablanca : le financement bouclé</t>
  </si>
  <si>
    <t xml:space="preserve">Aujourd'hui le Maroc</t>
  </si>
  <si>
    <t xml:space="preserve">https://aujourdhui.ma/actualite/station-de-dessalement-du-grand-casablanca-le-financement-boucle</t>
  </si>
  <si>
    <t xml:space="preserve">Presse</t>
  </si>
  <si>
    <t xml:space="preserve">S6</t>
  </si>
  <si>
    <t xml:space="preserve">Ce qu'il y a à savoir sur le projet de dessalement de Casablanca</t>
  </si>
  <si>
    <t xml:space="preserve">Médias24</t>
  </si>
  <si>
    <t xml:space="preserve">10 juin 2024</t>
  </si>
  <si>
    <t xml:space="preserve">https://medias24.com/2024/06/10/ce-quil-y-a-a-savoir-sur-le-projet-de-dessalement-de-casablanca/</t>
  </si>
  <si>
    <t xml:space="preserve">S7</t>
  </si>
  <si>
    <t xml:space="preserve">Moulay El Hassan lance la construction de la station de dessalement de Casablanca</t>
  </si>
  <si>
    <t xml:space="preserve">Le Desk</t>
  </si>
  <si>
    <t xml:space="preserve">https://ledesk.ma/encontinu/moulay-el-hassan-lance-la-construction-de-la-station-de-dessalement-de-casablanca/</t>
  </si>
  <si>
    <t xml:space="preserve">Morocco tackling severe water scarcity with innovative solutions</t>
  </si>
  <si>
    <t xml:space="preserve">Société Générale</t>
  </si>
  <si>
    <t xml:space="preserve">https://wholesale.banking.societegenerale.com/en/news-insights/clients-successes/clients-successes-details/news/morocco-tackling-severe-water-scarcity-with-innovative-solutions/</t>
  </si>
  <si>
    <t xml:space="preserve">Financeur</t>
  </si>
  <si>
    <t xml:space="preserve">Station de dessalement de Casablanca : le premier coup de pioche</t>
  </si>
  <si>
    <t xml:space="preserve">Le360</t>
  </si>
  <si>
    <t xml:space="preserve">22 janv. 2024</t>
  </si>
  <si>
    <t xml:space="preserve">https://fr.le360.ma/societe/station-de-dessalement-de-casablanca-le-premier-coup-de-pioche-ce-mardi-23-janvier_CPAGPOJTDZG4BGFOYO74QQYDVQ/</t>
  </si>
  <si>
    <t xml:space="preserve">S10</t>
  </si>
  <si>
    <t xml:space="preserve">Station de dessalement Chtouka-Aït Baha : 275.000 m3 d'eau/jour</t>
  </si>
  <si>
    <t xml:space="preserve">1 sept. 2024</t>
  </si>
  <si>
    <t xml:space="preserve">https://fr.hespress.com/384157-384157.html</t>
  </si>
  <si>
    <t xml:space="preserve">S11</t>
  </si>
  <si>
    <t xml:space="preserve">La station de dessalement de Chtouka mise en exploitation début 2022</t>
  </si>
  <si>
    <t xml:space="preserve">https://aujourdhui.ma/?p=391128</t>
  </si>
  <si>
    <t xml:space="preserve">Station de dessalement d'eau de mer d'Agadir : le chantier va bon train</t>
  </si>
  <si>
    <t xml:space="preserve">17 juin 2019</t>
  </si>
  <si>
    <t xml:space="preserve">https://medias24.com/2019/06/17/station-de-dessalement-deau-de-mer-dagadir-le-chantier-va-bon-train/</t>
  </si>
  <si>
    <t xml:space="preserve">Agadir : l'extension de la station de dessalement actée (Cox)</t>
  </si>
  <si>
    <t xml:space="preserve">La Vie éco</t>
  </si>
  <si>
    <t xml:space="preserve">https://www.lavieeco.com/affaires/agadir-lextension-de-la-station-de-dessalement-actee/</t>
  </si>
  <si>
    <t xml:space="preserve">La station de dessalement de l'eau de mer à Dakhla : un modèle de durabilité</t>
  </si>
  <si>
    <t xml:space="preserve">https://fr.le360.ma/economie/sahara-un-regne-une-oeuvre-ep4-la-station-de-dessalement-de-leau-de-mer-a-dakhla-un-modele-de_2SXNDIYZYRB7NLJXZAZBZA62I4/</t>
  </si>
  <si>
    <t xml:space="preserve">Engie and Nareva join forces for wind-powered desalination in Dakhla</t>
  </si>
  <si>
    <t xml:space="preserve">Afrik21</t>
  </si>
  <si>
    <t xml:space="preserve">https://afrik21.africa/en/morocco-engie-and-navera-join-forces-for-wind-powered-desalination-in-dakhla/</t>
  </si>
  <si>
    <t xml:space="preserve">S16</t>
  </si>
  <si>
    <t xml:space="preserve">Parc éolien de Dakhla : Envision Energy remporte le marché des turbines</t>
  </si>
  <si>
    <t xml:space="preserve">https://fr.le360.ma/economie/parc-eolien-de-dakhla-le-chinois-envision-energy-remporte-le-marche-des-turbines_Y44LGSFKGFDNHN47OX4TEUYR7Q/</t>
  </si>
  <si>
    <t xml:space="preserve">S17</t>
  </si>
  <si>
    <t xml:space="preserve">Dessalement d'eau de mer : le groupe OCP met les bouchées doubles</t>
  </si>
  <si>
    <t xml:space="preserve">EcoActu</t>
  </si>
  <si>
    <t xml:space="preserve">2023-2024</t>
  </si>
  <si>
    <t xml:space="preserve">https://ecoactu.ma/?p=179887</t>
  </si>
  <si>
    <t xml:space="preserve">S18</t>
  </si>
  <si>
    <t xml:space="preserve">Plan d'urgence entre le gouvernement et OCP pour approvisionner en eau Safi et El Jadida</t>
  </si>
  <si>
    <t xml:space="preserve">5 juil. 2023</t>
  </si>
  <si>
    <t xml:space="preserve">https://fr.hespress.com/321525-321525.html</t>
  </si>
  <si>
    <t xml:space="preserve">Maroc : le dessalement au service de la souveraineté hydrique (OCP Green Water)</t>
  </si>
  <si>
    <t xml:space="preserve">MAP / maroc.ma</t>
  </si>
  <si>
    <t xml:space="preserve">https://maroc.ma/fr/actualites/le-dessalement-au-service-de-la-souverainete-hydrique</t>
  </si>
  <si>
    <t xml:space="preserve">Agence officielle</t>
  </si>
  <si>
    <t xml:space="preserve">S20</t>
  </si>
  <si>
    <t xml:space="preserve">EBRD boosts water desalination for industrial use in Morocco</t>
  </si>
  <si>
    <t xml:space="preserve">BERD (EBRD)</t>
  </si>
  <si>
    <t xml:space="preserve">https://www.ebrd.com/news/2024/ebrd-boosts-water-desalination-for-industrial-use-in-morocco.html</t>
  </si>
  <si>
    <t xml:space="preserve">Le Maroc dispose de neuf stations de dessalement de l'eau de mer, selon N. Baraka</t>
  </si>
  <si>
    <t xml:space="preserve">https://fr.le360.ma/politique/le-maroc-dispose-de-neuf-stations-de-dessalement-de-leau-de-mer-selon-nizar-baraka-269583/</t>
  </si>
  <si>
    <t xml:space="preserve">Presse (ministre)</t>
  </si>
  <si>
    <t xml:space="preserve">Dessalement : la capacité globale installée de 12 stations s'élève à 179 millions m3/an</t>
  </si>
  <si>
    <t xml:space="preserve">https://ecoactu.ma/?p=178370</t>
  </si>
  <si>
    <t xml:space="preserve">Dessalement de l'eau de mer : une technologie nécessaire, mais à parfaire (CESE)</t>
  </si>
  <si>
    <t xml:space="preserve">TelQuel</t>
  </si>
  <si>
    <t xml:space="preserve">7 juin 2024</t>
  </si>
  <si>
    <t xml:space="preserve">https://telquel.ma/2024/06/07/dessalement-de-leau-de-mer-une-technologie-necessaire-mais-a-parfaire_1877888</t>
  </si>
  <si>
    <t xml:space="preserve">Presse (CESE)</t>
  </si>
  <si>
    <t xml:space="preserve">Dessalement : le Maroc dispose d'un énorme potentiel vert à coût compétitif</t>
  </si>
  <si>
    <t xml:space="preserve">https://fr.le360.ma/economie/dessalement-de-leau-de-mer-le-maroc-dispose-dun-enorme-potentiel-vert-a-cout-competitif-selon-les_BA3VHRDM3BAVRK6PZTOFXXAW3I/</t>
  </si>
  <si>
    <t xml:space="preserve">Presse (expert)</t>
  </si>
  <si>
    <t xml:space="preserve">S25</t>
  </si>
  <si>
    <t xml:space="preserve">Dessalement : les cinq projets phares qui vont transformer la gestion de l'eau</t>
  </si>
  <si>
    <t xml:space="preserve">https://fr.le360.ma/economie/dessalement-les-cinq-projets-phares-qui-vont-transformer-la-gestion-de-leau-au-maroc-264965/</t>
  </si>
  <si>
    <t xml:space="preserve">S26</t>
  </si>
  <si>
    <t xml:space="preserve">Dessalement et énergie verte : la double révolution marocaine</t>
  </si>
  <si>
    <t xml:space="preserve">Finances News Hebdo</t>
  </si>
  <si>
    <t xml:space="preserve">https://www.fnh.ma/article/developpement-durable/dessalement-energie-verte-maroc</t>
  </si>
  <si>
    <t xml:space="preserve">S27</t>
  </si>
  <si>
    <t xml:space="preserve">Essaouira et Guelmim auront leur station de dessalement</t>
  </si>
  <si>
    <t xml:space="preserve">https://fnh.ma/articles/eau-potable-essaouira-guelmim</t>
  </si>
  <si>
    <t xml:space="preserve">Vidéo. Dessalement de l'eau de mer, voici où en est le Maroc</t>
  </si>
  <si>
    <t xml:space="preserve">https://fr.le360.ma/economie/video-dessalement-de-leau-de-mer-voici-ou-en-est-le-maroc-227945/</t>
  </si>
  <si>
    <t xml:space="preserve">S29</t>
  </si>
  <si>
    <t xml:space="preserve">Ressources hydriques alternatives : le Maroc accélère la cadence</t>
  </si>
  <si>
    <t xml:space="preserve">https://www.fnh.ma/article/actualite-economique/ressources-hydriques-alternatives-maroc</t>
  </si>
  <si>
    <t xml:space="preserve">S30</t>
  </si>
  <si>
    <t xml:space="preserve">Station de dessalement Chtouka-Aït Baha (Aglou/Tiznit : 2,7 Md DH)</t>
  </si>
  <si>
    <t xml:space="preserve">https://ecoactu.ma/?p=227209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</si>
</sst>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"/>
    <numFmt numFmtId="168" formatCode="#,##0.0"/>
    <numFmt numFmtId="169" formatCode="#,##0.00;\-#,##0.00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23.8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4" min="12" style="0" width="12"/>
    <col collapsed="false" customWidth="true" hidden="false" outlineLevel="0" max="15" min="15" style="0" width="34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20" min="19" style="0" width="14"/>
    <col collapsed="false" customWidth="true" hidden="false" outlineLevel="0" max="21" min="21" style="0" width="10"/>
    <col collapsed="false" customWidth="true" hidden="false" outlineLevel="0" max="22" min="22" style="0" width="18"/>
    <col collapsed="false" customWidth="true" hidden="false" outlineLevel="0" max="23" min="23" style="0" width="11"/>
    <col collapsed="false" customWidth="true" hidden="false" outlineLevel="0" max="24" min="24" style="0" width="70"/>
  </cols>
  <sheetData>
    <row r="1" customFormat="false" ht="48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</row>
    <row r="2" customFormat="false" ht="46.25" hidden="false" customHeight="false" outlineLevel="0" collapsed="false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6" t="n">
        <v>52000</v>
      </c>
      <c r="J2" s="7" t="n">
        <f aca="false">I2*365/1000000</f>
        <v>18.98</v>
      </c>
      <c r="K2" s="8"/>
      <c r="L2" s="9" t="n">
        <v>19</v>
      </c>
      <c r="M2" s="10"/>
      <c r="N2" s="10"/>
      <c r="O2" s="5" t="s">
        <v>52</v>
      </c>
      <c r="P2" s="11" t="n">
        <v>2.64</v>
      </c>
      <c r="Q2" s="11" t="n">
        <v>11</v>
      </c>
      <c r="R2" s="8"/>
      <c r="S2" s="8"/>
      <c r="T2" s="6" t="n">
        <v>14000</v>
      </c>
      <c r="U2" s="11" t="n">
        <v>39</v>
      </c>
      <c r="V2" s="5" t="s">
        <v>53</v>
      </c>
      <c r="W2" s="5" t="s">
        <v>54</v>
      </c>
      <c r="X2" s="5" t="s">
        <v>55</v>
      </c>
    </row>
    <row r="3" customFormat="false" ht="35.05" hidden="false" customHeight="false" outlineLevel="0" collapsed="false">
      <c r="A3" s="5" t="s">
        <v>56</v>
      </c>
      <c r="B3" s="5" t="s">
        <v>57</v>
      </c>
      <c r="C3" s="5" t="s">
        <v>46</v>
      </c>
      <c r="D3" s="5" t="s">
        <v>47</v>
      </c>
      <c r="E3" s="5" t="s">
        <v>48</v>
      </c>
      <c r="F3" s="5" t="s">
        <v>52</v>
      </c>
      <c r="G3" s="5" t="s">
        <v>58</v>
      </c>
      <c r="H3" s="5" t="s">
        <v>52</v>
      </c>
      <c r="I3" s="12" t="n">
        <f aca="false">J3*1000000/365</f>
        <v>3287.67123287671</v>
      </c>
      <c r="J3" s="9" t="n">
        <v>1.2</v>
      </c>
      <c r="K3" s="8"/>
      <c r="L3" s="10"/>
      <c r="M3" s="10"/>
      <c r="N3" s="9" t="n">
        <v>1.2</v>
      </c>
      <c r="O3" s="5" t="s">
        <v>52</v>
      </c>
      <c r="P3" s="13"/>
      <c r="Q3" s="13"/>
      <c r="R3" s="8"/>
      <c r="S3" s="8"/>
      <c r="T3" s="12" t="str">
        <f aca="false">IF(AND(ISNUMBER(R3),ISNUMBER(S3)),R3*1000000/S3,"")</f>
        <v/>
      </c>
      <c r="U3" s="13"/>
      <c r="V3" s="5" t="s">
        <v>59</v>
      </c>
      <c r="W3" s="5" t="s">
        <v>60</v>
      </c>
      <c r="X3" s="5" t="s">
        <v>61</v>
      </c>
    </row>
    <row r="4" customFormat="false" ht="23.85" hidden="false" customHeight="false" outlineLevel="0" collapsed="false">
      <c r="A4" s="5" t="s">
        <v>62</v>
      </c>
      <c r="B4" s="5" t="s">
        <v>63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64</v>
      </c>
      <c r="H4" s="5" t="s">
        <v>65</v>
      </c>
      <c r="I4" s="6" t="n">
        <v>10800</v>
      </c>
      <c r="J4" s="7" t="n">
        <f aca="false">I4*365/1000000</f>
        <v>3.942</v>
      </c>
      <c r="K4" s="8"/>
      <c r="L4" s="9" t="n">
        <v>3.9</v>
      </c>
      <c r="M4" s="10"/>
      <c r="N4" s="10"/>
      <c r="O4" s="5" t="s">
        <v>52</v>
      </c>
      <c r="P4" s="13"/>
      <c r="Q4" s="13"/>
      <c r="R4" s="8"/>
      <c r="S4" s="8"/>
      <c r="T4" s="12" t="str">
        <f aca="false">IF(AND(ISNUMBER(R4),ISNUMBER(S4)),R4*1000000/S4,"")</f>
        <v/>
      </c>
      <c r="U4" s="13"/>
      <c r="V4" s="5" t="s">
        <v>66</v>
      </c>
      <c r="W4" s="5" t="s">
        <v>54</v>
      </c>
      <c r="X4" s="5" t="s">
        <v>67</v>
      </c>
    </row>
    <row r="5" customFormat="false" ht="23.85" hidden="false" customHeight="false" outlineLevel="0" collapsed="false">
      <c r="A5" s="5" t="s">
        <v>68</v>
      </c>
      <c r="B5" s="5" t="s">
        <v>69</v>
      </c>
      <c r="C5" s="5" t="s">
        <v>46</v>
      </c>
      <c r="D5" s="5" t="s">
        <v>70</v>
      </c>
      <c r="E5" s="5" t="s">
        <v>48</v>
      </c>
      <c r="F5" s="5" t="s">
        <v>71</v>
      </c>
      <c r="G5" s="5" t="s">
        <v>64</v>
      </c>
      <c r="H5" s="5" t="s">
        <v>72</v>
      </c>
      <c r="I5" s="6" t="n">
        <v>860</v>
      </c>
      <c r="J5" s="7" t="n">
        <f aca="false">I5*365/1000000</f>
        <v>0.3139</v>
      </c>
      <c r="K5" s="8"/>
      <c r="L5" s="10"/>
      <c r="M5" s="10"/>
      <c r="N5" s="10"/>
      <c r="O5" s="5" t="s">
        <v>52</v>
      </c>
      <c r="P5" s="13"/>
      <c r="Q5" s="13"/>
      <c r="R5" s="8"/>
      <c r="S5" s="8"/>
      <c r="T5" s="12" t="str">
        <f aca="false">IF(AND(ISNUMBER(R5),ISNUMBER(S5)),R5*1000000/S5,"")</f>
        <v/>
      </c>
      <c r="U5" s="11" t="n">
        <v>3</v>
      </c>
      <c r="V5" s="5" t="s">
        <v>73</v>
      </c>
      <c r="W5" s="5" t="s">
        <v>54</v>
      </c>
      <c r="X5" s="5" t="s">
        <v>74</v>
      </c>
    </row>
    <row r="6" customFormat="false" ht="23.85" hidden="false" customHeight="false" outlineLevel="0" collapsed="false">
      <c r="A6" s="5" t="s">
        <v>75</v>
      </c>
      <c r="B6" s="5" t="s">
        <v>76</v>
      </c>
      <c r="C6" s="5" t="s">
        <v>46</v>
      </c>
      <c r="D6" s="5" t="s">
        <v>47</v>
      </c>
      <c r="E6" s="5" t="s">
        <v>77</v>
      </c>
      <c r="F6" s="5" t="s">
        <v>49</v>
      </c>
      <c r="G6" s="5" t="s">
        <v>64</v>
      </c>
      <c r="H6" s="5" t="s">
        <v>52</v>
      </c>
      <c r="I6" s="6" t="n">
        <v>1300</v>
      </c>
      <c r="J6" s="7" t="n">
        <f aca="false">I6*365/1000000</f>
        <v>0.4745</v>
      </c>
      <c r="K6" s="8"/>
      <c r="L6" s="9" t="n">
        <v>0.47</v>
      </c>
      <c r="M6" s="10"/>
      <c r="N6" s="10"/>
      <c r="O6" s="5" t="s">
        <v>52</v>
      </c>
      <c r="P6" s="13"/>
      <c r="Q6" s="13"/>
      <c r="R6" s="8"/>
      <c r="S6" s="8"/>
      <c r="T6" s="12" t="str">
        <f aca="false">IF(AND(ISNUMBER(R6),ISNUMBER(S6)),R6*1000000/S6,"")</f>
        <v/>
      </c>
      <c r="U6" s="13"/>
      <c r="V6" s="5" t="s">
        <v>66</v>
      </c>
      <c r="W6" s="5" t="s">
        <v>60</v>
      </c>
      <c r="X6" s="5" t="s">
        <v>78</v>
      </c>
    </row>
    <row r="7" customFormat="false" ht="23.85" hidden="false" customHeight="false" outlineLevel="0" collapsed="false">
      <c r="A7" s="5" t="s">
        <v>79</v>
      </c>
      <c r="B7" s="5" t="s">
        <v>80</v>
      </c>
      <c r="C7" s="5" t="s">
        <v>81</v>
      </c>
      <c r="D7" s="5" t="s">
        <v>70</v>
      </c>
      <c r="E7" s="5" t="s">
        <v>48</v>
      </c>
      <c r="F7" s="5" t="s">
        <v>49</v>
      </c>
      <c r="G7" s="5" t="s">
        <v>64</v>
      </c>
      <c r="H7" s="5" t="s">
        <v>82</v>
      </c>
      <c r="I7" s="6" t="n">
        <v>12100</v>
      </c>
      <c r="J7" s="7" t="n">
        <f aca="false">I7*365/1000000</f>
        <v>4.4165</v>
      </c>
      <c r="K7" s="8"/>
      <c r="L7" s="10"/>
      <c r="M7" s="10"/>
      <c r="N7" s="10"/>
      <c r="O7" s="5" t="s">
        <v>83</v>
      </c>
      <c r="P7" s="13"/>
      <c r="Q7" s="13"/>
      <c r="R7" s="8"/>
      <c r="S7" s="8"/>
      <c r="T7" s="12" t="str">
        <f aca="false">IF(AND(ISNUMBER(R7),ISNUMBER(S7)),R7*1000000/S7,"")</f>
        <v/>
      </c>
      <c r="U7" s="11" t="s">
        <v>84</v>
      </c>
      <c r="V7" s="5" t="s">
        <v>73</v>
      </c>
      <c r="W7" s="5" t="s">
        <v>54</v>
      </c>
      <c r="X7" s="5" t="s">
        <v>85</v>
      </c>
    </row>
    <row r="8" customFormat="false" ht="15" hidden="false" customHeight="false" outlineLevel="0" collapsed="false">
      <c r="A8" s="5" t="s">
        <v>86</v>
      </c>
      <c r="B8" s="5" t="s">
        <v>87</v>
      </c>
      <c r="C8" s="5" t="s">
        <v>81</v>
      </c>
      <c r="D8" s="5" t="s">
        <v>47</v>
      </c>
      <c r="E8" s="5" t="s">
        <v>48</v>
      </c>
      <c r="F8" s="5" t="s">
        <v>49</v>
      </c>
      <c r="G8" s="5" t="s">
        <v>64</v>
      </c>
      <c r="H8" s="5" t="s">
        <v>88</v>
      </c>
      <c r="I8" s="6" t="n">
        <v>120</v>
      </c>
      <c r="J8" s="7" t="n">
        <f aca="false">I8*365/1000000</f>
        <v>0.0438</v>
      </c>
      <c r="K8" s="8"/>
      <c r="L8" s="9" t="n">
        <v>0.03</v>
      </c>
      <c r="M8" s="10"/>
      <c r="N8" s="10"/>
      <c r="O8" s="5" t="s">
        <v>52</v>
      </c>
      <c r="P8" s="13"/>
      <c r="Q8" s="13"/>
      <c r="R8" s="8"/>
      <c r="S8" s="8"/>
      <c r="T8" s="12" t="str">
        <f aca="false">IF(AND(ISNUMBER(R8),ISNUMBER(S8)),R8*1000000/S8,"")</f>
        <v/>
      </c>
      <c r="U8" s="13"/>
      <c r="V8" s="5" t="s">
        <v>66</v>
      </c>
      <c r="W8" s="5" t="s">
        <v>60</v>
      </c>
      <c r="X8" s="5" t="s">
        <v>89</v>
      </c>
    </row>
    <row r="9" customFormat="false" ht="23.85" hidden="false" customHeight="false" outlineLevel="0" collapsed="false">
      <c r="A9" s="5" t="s">
        <v>90</v>
      </c>
      <c r="B9" s="5" t="s">
        <v>91</v>
      </c>
      <c r="C9" s="5" t="s">
        <v>92</v>
      </c>
      <c r="D9" s="5" t="s">
        <v>70</v>
      </c>
      <c r="E9" s="5" t="s">
        <v>48</v>
      </c>
      <c r="F9" s="5" t="s">
        <v>71</v>
      </c>
      <c r="G9" s="5" t="s">
        <v>64</v>
      </c>
      <c r="H9" s="5" t="s">
        <v>93</v>
      </c>
      <c r="I9" s="6" t="n">
        <v>240</v>
      </c>
      <c r="J9" s="7" t="n">
        <f aca="false">I9*365/1000000</f>
        <v>0.0876</v>
      </c>
      <c r="K9" s="8"/>
      <c r="L9" s="10"/>
      <c r="M9" s="10"/>
      <c r="N9" s="10"/>
      <c r="O9" s="5" t="s">
        <v>52</v>
      </c>
      <c r="P9" s="13"/>
      <c r="Q9" s="13"/>
      <c r="R9" s="8"/>
      <c r="S9" s="8"/>
      <c r="T9" s="12" t="str">
        <f aca="false">IF(AND(ISNUMBER(R9),ISNUMBER(S9)),R9*1000000/S9,"")</f>
        <v/>
      </c>
      <c r="U9" s="13"/>
      <c r="V9" s="5" t="s">
        <v>73</v>
      </c>
      <c r="W9" s="5" t="s">
        <v>54</v>
      </c>
      <c r="X9" s="5"/>
    </row>
    <row r="10" customFormat="false" ht="23.85" hidden="false" customHeight="false" outlineLevel="0" collapsed="false">
      <c r="A10" s="5" t="s">
        <v>94</v>
      </c>
      <c r="B10" s="5" t="s">
        <v>95</v>
      </c>
      <c r="C10" s="5" t="s">
        <v>92</v>
      </c>
      <c r="D10" s="5" t="s">
        <v>70</v>
      </c>
      <c r="E10" s="5" t="s">
        <v>48</v>
      </c>
      <c r="F10" s="5" t="s">
        <v>71</v>
      </c>
      <c r="G10" s="5" t="s">
        <v>64</v>
      </c>
      <c r="H10" s="5" t="s">
        <v>93</v>
      </c>
      <c r="I10" s="6" t="n">
        <v>430</v>
      </c>
      <c r="J10" s="7" t="n">
        <f aca="false">I10*365/1000000</f>
        <v>0.15695</v>
      </c>
      <c r="K10" s="8"/>
      <c r="L10" s="10"/>
      <c r="M10" s="10"/>
      <c r="N10" s="10"/>
      <c r="O10" s="5" t="s">
        <v>52</v>
      </c>
      <c r="P10" s="13"/>
      <c r="Q10" s="13"/>
      <c r="R10" s="8"/>
      <c r="S10" s="8"/>
      <c r="T10" s="12" t="str">
        <f aca="false">IF(AND(ISNUMBER(R10),ISNUMBER(S10)),R10*1000000/S10,"")</f>
        <v/>
      </c>
      <c r="U10" s="13"/>
      <c r="V10" s="5" t="s">
        <v>73</v>
      </c>
      <c r="W10" s="5" t="s">
        <v>60</v>
      </c>
      <c r="X10" s="5" t="s">
        <v>96</v>
      </c>
    </row>
    <row r="11" customFormat="false" ht="15" hidden="false" customHeight="false" outlineLevel="0" collapsed="false">
      <c r="A11" s="5" t="s">
        <v>97</v>
      </c>
      <c r="B11" s="5" t="s">
        <v>98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64</v>
      </c>
      <c r="H11" s="5" t="s">
        <v>99</v>
      </c>
      <c r="I11" s="6" t="n">
        <v>860</v>
      </c>
      <c r="J11" s="7" t="n">
        <f aca="false">I11*365/1000000</f>
        <v>0.3139</v>
      </c>
      <c r="K11" s="8"/>
      <c r="L11" s="9" t="n">
        <v>0.3</v>
      </c>
      <c r="M11" s="10"/>
      <c r="N11" s="10"/>
      <c r="O11" s="5" t="s">
        <v>52</v>
      </c>
      <c r="P11" s="13"/>
      <c r="Q11" s="13"/>
      <c r="R11" s="8"/>
      <c r="S11" s="8"/>
      <c r="T11" s="12" t="str">
        <f aca="false">IF(AND(ISNUMBER(R11),ISNUMBER(S11)),R11*1000000/S11,"")</f>
        <v/>
      </c>
      <c r="U11" s="13"/>
      <c r="V11" s="5" t="s">
        <v>66</v>
      </c>
      <c r="W11" s="5" t="s">
        <v>54</v>
      </c>
      <c r="X11" s="5"/>
    </row>
    <row r="12" customFormat="false" ht="23.85" hidden="false" customHeight="false" outlineLevel="0" collapsed="false">
      <c r="A12" s="5" t="s">
        <v>100</v>
      </c>
      <c r="B12" s="5" t="s">
        <v>101</v>
      </c>
      <c r="C12" s="5" t="s">
        <v>102</v>
      </c>
      <c r="D12" s="5" t="s">
        <v>70</v>
      </c>
      <c r="E12" s="5" t="s">
        <v>48</v>
      </c>
      <c r="F12" s="5" t="s">
        <v>71</v>
      </c>
      <c r="G12" s="5" t="s">
        <v>64</v>
      </c>
      <c r="H12" s="5" t="s">
        <v>103</v>
      </c>
      <c r="I12" s="6" t="n">
        <v>27650</v>
      </c>
      <c r="J12" s="7" t="n">
        <f aca="false">I12*365/1000000</f>
        <v>10.09225</v>
      </c>
      <c r="K12" s="8"/>
      <c r="L12" s="10"/>
      <c r="M12" s="10"/>
      <c r="N12" s="10"/>
      <c r="O12" s="5" t="s">
        <v>52</v>
      </c>
      <c r="P12" s="13"/>
      <c r="Q12" s="13"/>
      <c r="R12" s="8"/>
      <c r="S12" s="8"/>
      <c r="T12" s="12" t="str">
        <f aca="false">IF(AND(ISNUMBER(R12),ISNUMBER(S12)),R12*1000000/S12,"")</f>
        <v/>
      </c>
      <c r="U12" s="13"/>
      <c r="V12" s="5" t="s">
        <v>73</v>
      </c>
      <c r="W12" s="5" t="s">
        <v>54</v>
      </c>
      <c r="X12" s="5" t="s">
        <v>104</v>
      </c>
    </row>
    <row r="13" customFormat="false" ht="23.85" hidden="false" customHeight="false" outlineLevel="0" collapsed="false">
      <c r="A13" s="5" t="s">
        <v>105</v>
      </c>
      <c r="B13" s="5" t="s">
        <v>106</v>
      </c>
      <c r="C13" s="5" t="s">
        <v>107</v>
      </c>
      <c r="D13" s="5" t="s">
        <v>70</v>
      </c>
      <c r="E13" s="5" t="s">
        <v>48</v>
      </c>
      <c r="F13" s="5" t="s">
        <v>49</v>
      </c>
      <c r="G13" s="5" t="s">
        <v>64</v>
      </c>
      <c r="H13" s="5" t="s">
        <v>108</v>
      </c>
      <c r="I13" s="6" t="n">
        <v>17280</v>
      </c>
      <c r="J13" s="7" t="n">
        <f aca="false">I13*365/1000000</f>
        <v>6.3072</v>
      </c>
      <c r="K13" s="8"/>
      <c r="L13" s="10"/>
      <c r="M13" s="10"/>
      <c r="N13" s="10"/>
      <c r="O13" s="5" t="s">
        <v>52</v>
      </c>
      <c r="P13" s="13"/>
      <c r="Q13" s="13"/>
      <c r="R13" s="8"/>
      <c r="S13" s="8"/>
      <c r="T13" s="12" t="str">
        <f aca="false">IF(AND(ISNUMBER(R13),ISNUMBER(S13)),R13*1000000/S13,"")</f>
        <v/>
      </c>
      <c r="U13" s="11" t="n">
        <v>2.5</v>
      </c>
      <c r="V13" s="5" t="s">
        <v>73</v>
      </c>
      <c r="W13" s="5" t="s">
        <v>54</v>
      </c>
      <c r="X13" s="5" t="s">
        <v>109</v>
      </c>
    </row>
    <row r="14" customFormat="false" ht="15" hidden="false" customHeight="false" outlineLevel="0" collapsed="false">
      <c r="A14" s="5" t="s">
        <v>110</v>
      </c>
      <c r="B14" s="5" t="s">
        <v>111</v>
      </c>
      <c r="C14" s="5" t="s">
        <v>107</v>
      </c>
      <c r="D14" s="5" t="s">
        <v>70</v>
      </c>
      <c r="E14" s="5" t="s">
        <v>48</v>
      </c>
      <c r="F14" s="5" t="s">
        <v>49</v>
      </c>
      <c r="G14" s="5" t="s">
        <v>64</v>
      </c>
      <c r="H14" s="5" t="s">
        <v>112</v>
      </c>
      <c r="I14" s="6" t="n">
        <v>8300</v>
      </c>
      <c r="J14" s="7" t="n">
        <f aca="false">I14*365/1000000</f>
        <v>3.0295</v>
      </c>
      <c r="K14" s="8"/>
      <c r="L14" s="10"/>
      <c r="M14" s="10"/>
      <c r="N14" s="10"/>
      <c r="O14" s="5" t="s">
        <v>52</v>
      </c>
      <c r="P14" s="13"/>
      <c r="Q14" s="13"/>
      <c r="R14" s="8"/>
      <c r="S14" s="8"/>
      <c r="T14" s="12" t="str">
        <f aca="false">IF(AND(ISNUMBER(R14),ISNUMBER(S14)),R14*1000000/S14,"")</f>
        <v/>
      </c>
      <c r="U14" s="11" t="n">
        <v>2.5</v>
      </c>
      <c r="V14" s="5" t="s">
        <v>73</v>
      </c>
      <c r="W14" s="5" t="s">
        <v>54</v>
      </c>
      <c r="X14" s="5" t="s">
        <v>113</v>
      </c>
    </row>
    <row r="15" customFormat="false" ht="23.85" hidden="false" customHeight="false" outlineLevel="0" collapsed="false">
      <c r="A15" s="5" t="s">
        <v>114</v>
      </c>
      <c r="B15" s="5" t="s">
        <v>115</v>
      </c>
      <c r="C15" s="5" t="s">
        <v>92</v>
      </c>
      <c r="D15" s="5" t="s">
        <v>70</v>
      </c>
      <c r="E15" s="5" t="s">
        <v>48</v>
      </c>
      <c r="F15" s="5" t="s">
        <v>71</v>
      </c>
      <c r="G15" s="5" t="s">
        <v>64</v>
      </c>
      <c r="H15" s="5" t="s">
        <v>112</v>
      </c>
      <c r="I15" s="6" t="n">
        <v>5200</v>
      </c>
      <c r="J15" s="7" t="n">
        <f aca="false">I15*365/1000000</f>
        <v>1.898</v>
      </c>
      <c r="K15" s="8"/>
      <c r="L15" s="10"/>
      <c r="M15" s="10"/>
      <c r="N15" s="10"/>
      <c r="O15" s="5" t="s">
        <v>52</v>
      </c>
      <c r="P15" s="13"/>
      <c r="Q15" s="13"/>
      <c r="R15" s="8"/>
      <c r="S15" s="8"/>
      <c r="T15" s="12" t="str">
        <f aca="false">IF(AND(ISNUMBER(R15),ISNUMBER(S15)),R15*1000000/S15,"")</f>
        <v/>
      </c>
      <c r="U15" s="11" t="n">
        <v>2.5</v>
      </c>
      <c r="V15" s="5" t="s">
        <v>73</v>
      </c>
      <c r="W15" s="5" t="s">
        <v>54</v>
      </c>
      <c r="X15" s="5" t="s">
        <v>116</v>
      </c>
    </row>
    <row r="16" customFormat="false" ht="15" hidden="false" customHeight="false" outlineLevel="0" collapsed="false">
      <c r="A16" s="5" t="s">
        <v>117</v>
      </c>
      <c r="B16" s="5" t="s">
        <v>118</v>
      </c>
      <c r="C16" s="5" t="s">
        <v>119</v>
      </c>
      <c r="D16" s="5" t="s">
        <v>47</v>
      </c>
      <c r="E16" s="5" t="s">
        <v>48</v>
      </c>
      <c r="F16" s="5" t="s">
        <v>49</v>
      </c>
      <c r="G16" s="5" t="s">
        <v>50</v>
      </c>
      <c r="H16" s="5" t="s">
        <v>120</v>
      </c>
      <c r="I16" s="6" t="n">
        <v>17280</v>
      </c>
      <c r="J16" s="7" t="n">
        <f aca="false">I16*365/1000000</f>
        <v>6.3072</v>
      </c>
      <c r="K16" s="8"/>
      <c r="L16" s="9" t="n">
        <v>6.3</v>
      </c>
      <c r="M16" s="10"/>
      <c r="N16" s="10"/>
      <c r="O16" s="5" t="s">
        <v>52</v>
      </c>
      <c r="P16" s="13"/>
      <c r="Q16" s="13"/>
      <c r="R16" s="8"/>
      <c r="S16" s="8"/>
      <c r="T16" s="12" t="str">
        <f aca="false">IF(AND(ISNUMBER(R16),ISNUMBER(S16)),R16*1000000/S16,"")</f>
        <v/>
      </c>
      <c r="U16" s="11" t="n">
        <v>36</v>
      </c>
      <c r="V16" s="5" t="s">
        <v>53</v>
      </c>
      <c r="W16" s="5" t="s">
        <v>54</v>
      </c>
      <c r="X16" s="5" t="s">
        <v>121</v>
      </c>
    </row>
    <row r="17" customFormat="false" ht="23.85" hidden="false" customHeight="false" outlineLevel="0" collapsed="false">
      <c r="A17" s="5" t="s">
        <v>122</v>
      </c>
      <c r="B17" s="5" t="s">
        <v>123</v>
      </c>
      <c r="C17" s="5" t="s">
        <v>102</v>
      </c>
      <c r="D17" s="5" t="s">
        <v>70</v>
      </c>
      <c r="E17" s="5" t="s">
        <v>48</v>
      </c>
      <c r="F17" s="5" t="s">
        <v>71</v>
      </c>
      <c r="G17" s="5" t="s">
        <v>64</v>
      </c>
      <c r="H17" s="5" t="s">
        <v>120</v>
      </c>
      <c r="I17" s="6" t="n">
        <v>28500</v>
      </c>
      <c r="J17" s="7" t="n">
        <f aca="false">I17*365/1000000</f>
        <v>10.4025</v>
      </c>
      <c r="K17" s="8"/>
      <c r="L17" s="10"/>
      <c r="M17" s="10"/>
      <c r="N17" s="10"/>
      <c r="O17" s="5" t="s">
        <v>52</v>
      </c>
      <c r="P17" s="13"/>
      <c r="Q17" s="13"/>
      <c r="R17" s="8"/>
      <c r="S17" s="8"/>
      <c r="T17" s="12" t="str">
        <f aca="false">IF(AND(ISNUMBER(R17),ISNUMBER(S17)),R17*1000000/S17,"")</f>
        <v/>
      </c>
      <c r="U17" s="13"/>
      <c r="V17" s="5" t="s">
        <v>73</v>
      </c>
      <c r="W17" s="5" t="s">
        <v>54</v>
      </c>
      <c r="X17" s="5"/>
    </row>
    <row r="18" customFormat="false" ht="79.85" hidden="false" customHeight="false" outlineLevel="0" collapsed="false">
      <c r="A18" s="5" t="s">
        <v>124</v>
      </c>
      <c r="B18" s="5" t="s">
        <v>125</v>
      </c>
      <c r="C18" s="5" t="s">
        <v>126</v>
      </c>
      <c r="D18" s="5" t="s">
        <v>47</v>
      </c>
      <c r="E18" s="5" t="s">
        <v>48</v>
      </c>
      <c r="F18" s="5" t="s">
        <v>49</v>
      </c>
      <c r="G18" s="5" t="s">
        <v>127</v>
      </c>
      <c r="H18" s="5" t="s">
        <v>128</v>
      </c>
      <c r="I18" s="6" t="n">
        <v>275000</v>
      </c>
      <c r="J18" s="7" t="n">
        <f aca="false">I18*365/1000000</f>
        <v>100.375</v>
      </c>
      <c r="K18" s="6" t="n">
        <v>400000</v>
      </c>
      <c r="L18" s="9" t="n">
        <v>54.75</v>
      </c>
      <c r="M18" s="9" t="n">
        <v>45.63</v>
      </c>
      <c r="N18" s="10"/>
      <c r="O18" s="5" t="s">
        <v>129</v>
      </c>
      <c r="P18" s="13"/>
      <c r="Q18" s="11" t="n">
        <v>10</v>
      </c>
      <c r="R18" s="6" t="n">
        <v>3000</v>
      </c>
      <c r="S18" s="6" t="n">
        <v>275000</v>
      </c>
      <c r="T18" s="12" t="n">
        <f aca="false">IF(AND(ISNUMBER(R18),ISNUMBER(S18)),R18*1000000/S18,"")</f>
        <v>10909.0909090909</v>
      </c>
      <c r="U18" s="13"/>
      <c r="V18" s="5" t="s">
        <v>130</v>
      </c>
      <c r="W18" s="5" t="s">
        <v>60</v>
      </c>
      <c r="X18" s="5" t="s">
        <v>131</v>
      </c>
    </row>
    <row r="19" customFormat="false" ht="68.65" hidden="false" customHeight="false" outlineLevel="0" collapsed="false">
      <c r="A19" s="5" t="s">
        <v>132</v>
      </c>
      <c r="B19" s="5" t="s">
        <v>133</v>
      </c>
      <c r="C19" s="5" t="s">
        <v>134</v>
      </c>
      <c r="D19" s="5" t="s">
        <v>47</v>
      </c>
      <c r="E19" s="5" t="s">
        <v>77</v>
      </c>
      <c r="F19" s="5" t="s">
        <v>49</v>
      </c>
      <c r="G19" s="5" t="s">
        <v>135</v>
      </c>
      <c r="H19" s="5" t="s">
        <v>136</v>
      </c>
      <c r="I19" s="6" t="n">
        <v>548000</v>
      </c>
      <c r="J19" s="7" t="n">
        <f aca="false">I19*365/1000000</f>
        <v>200.02</v>
      </c>
      <c r="K19" s="6" t="n">
        <v>822000</v>
      </c>
      <c r="L19" s="9" t="n">
        <v>250</v>
      </c>
      <c r="M19" s="9" t="n">
        <v>50</v>
      </c>
      <c r="N19" s="10"/>
      <c r="O19" s="5" t="s">
        <v>137</v>
      </c>
      <c r="P19" s="13"/>
      <c r="Q19" s="11" t="n">
        <v>4.48</v>
      </c>
      <c r="R19" s="6" t="n">
        <v>6500</v>
      </c>
      <c r="S19" s="6" t="n">
        <v>822000</v>
      </c>
      <c r="T19" s="12" t="n">
        <f aca="false">IF(AND(ISNUMBER(R19),ISNUMBER(S19)),R19*1000000/S19,"")</f>
        <v>7907.54257907543</v>
      </c>
      <c r="U19" s="13"/>
      <c r="V19" s="5" t="s">
        <v>138</v>
      </c>
      <c r="W19" s="5" t="s">
        <v>54</v>
      </c>
      <c r="X19" s="5" t="s">
        <v>139</v>
      </c>
    </row>
    <row r="20" customFormat="false" ht="46.25" hidden="false" customHeight="false" outlineLevel="0" collapsed="false">
      <c r="A20" s="5" t="s">
        <v>140</v>
      </c>
      <c r="B20" s="5" t="s">
        <v>141</v>
      </c>
      <c r="C20" s="5" t="s">
        <v>107</v>
      </c>
      <c r="D20" s="5" t="s">
        <v>47</v>
      </c>
      <c r="E20" s="5" t="s">
        <v>142</v>
      </c>
      <c r="F20" s="5" t="s">
        <v>49</v>
      </c>
      <c r="G20" s="5" t="s">
        <v>143</v>
      </c>
      <c r="H20" s="5" t="s">
        <v>144</v>
      </c>
      <c r="I20" s="6" t="n">
        <v>100000</v>
      </c>
      <c r="J20" s="7" t="n">
        <f aca="false">I20*365/1000000</f>
        <v>36.5</v>
      </c>
      <c r="K20" s="8"/>
      <c r="L20" s="9" t="n">
        <v>7</v>
      </c>
      <c r="M20" s="9" t="n">
        <v>30</v>
      </c>
      <c r="N20" s="10"/>
      <c r="O20" s="5" t="s">
        <v>145</v>
      </c>
      <c r="P20" s="13"/>
      <c r="Q20" s="13"/>
      <c r="R20" s="6" t="n">
        <v>2500</v>
      </c>
      <c r="S20" s="6" t="n">
        <v>100000</v>
      </c>
      <c r="T20" s="12" t="n">
        <f aca="false">IF(AND(ISNUMBER(R20),ISNUMBER(S20)),R20*1000000/S20,"")</f>
        <v>25000</v>
      </c>
      <c r="U20" s="13"/>
      <c r="V20" s="5" t="s">
        <v>146</v>
      </c>
      <c r="W20" s="5" t="s">
        <v>60</v>
      </c>
      <c r="X20" s="5" t="s">
        <v>147</v>
      </c>
    </row>
    <row r="21" customFormat="false" ht="46.25" hidden="false" customHeight="false" outlineLevel="0" collapsed="false">
      <c r="A21" s="5" t="s">
        <v>148</v>
      </c>
      <c r="B21" s="5" t="s">
        <v>149</v>
      </c>
      <c r="C21" s="5" t="s">
        <v>134</v>
      </c>
      <c r="D21" s="5" t="s">
        <v>47</v>
      </c>
      <c r="E21" s="5" t="s">
        <v>48</v>
      </c>
      <c r="F21" s="5" t="s">
        <v>49</v>
      </c>
      <c r="G21" s="5" t="s">
        <v>150</v>
      </c>
      <c r="H21" s="5" t="s">
        <v>52</v>
      </c>
      <c r="I21" s="12" t="n">
        <f aca="false">J21*1000000/365</f>
        <v>109589.04109589</v>
      </c>
      <c r="J21" s="9" t="n">
        <v>40</v>
      </c>
      <c r="K21" s="8"/>
      <c r="L21" s="10"/>
      <c r="M21" s="10"/>
      <c r="N21" s="9" t="n">
        <v>40</v>
      </c>
      <c r="O21" s="5" t="s">
        <v>151</v>
      </c>
      <c r="P21" s="13"/>
      <c r="Q21" s="13"/>
      <c r="R21" s="8"/>
      <c r="S21" s="8"/>
      <c r="T21" s="12" t="str">
        <f aca="false">IF(AND(ISNUMBER(R21),ISNUMBER(S21)),R21*1000000/S21,"")</f>
        <v/>
      </c>
      <c r="U21" s="13"/>
      <c r="V21" s="5" t="s">
        <v>152</v>
      </c>
      <c r="W21" s="5" t="s">
        <v>153</v>
      </c>
      <c r="X21" s="5" t="s">
        <v>154</v>
      </c>
    </row>
    <row r="22" customFormat="false" ht="35.05" hidden="false" customHeight="false" outlineLevel="0" collapsed="false">
      <c r="A22" s="5" t="s">
        <v>155</v>
      </c>
      <c r="B22" s="5" t="s">
        <v>156</v>
      </c>
      <c r="C22" s="5" t="s">
        <v>134</v>
      </c>
      <c r="D22" s="5" t="s">
        <v>47</v>
      </c>
      <c r="E22" s="5" t="s">
        <v>77</v>
      </c>
      <c r="F22" s="5" t="s">
        <v>49</v>
      </c>
      <c r="G22" s="5" t="s">
        <v>150</v>
      </c>
      <c r="H22" s="5" t="s">
        <v>157</v>
      </c>
      <c r="I22" s="12" t="n">
        <f aca="false">J22*1000000/365</f>
        <v>164383.561643836</v>
      </c>
      <c r="J22" s="9" t="n">
        <v>60</v>
      </c>
      <c r="K22" s="8"/>
      <c r="L22" s="9" t="n">
        <v>45</v>
      </c>
      <c r="M22" s="10"/>
      <c r="N22" s="9" t="n">
        <v>15</v>
      </c>
      <c r="O22" s="5" t="s">
        <v>52</v>
      </c>
      <c r="P22" s="13"/>
      <c r="Q22" s="13"/>
      <c r="R22" s="8"/>
      <c r="S22" s="8"/>
      <c r="T22" s="12" t="str">
        <f aca="false">IF(AND(ISNUMBER(R22),ISNUMBER(S22)),R22*1000000/S22,"")</f>
        <v/>
      </c>
      <c r="U22" s="13"/>
      <c r="V22" s="5" t="s">
        <v>158</v>
      </c>
      <c r="W22" s="5" t="s">
        <v>60</v>
      </c>
      <c r="X22" s="5" t="s">
        <v>159</v>
      </c>
    </row>
    <row r="23" customFormat="false" ht="15" hidden="false" customHeight="false" outlineLevel="0" collapsed="false">
      <c r="A23" s="5" t="s">
        <v>160</v>
      </c>
      <c r="B23" s="5" t="s">
        <v>161</v>
      </c>
      <c r="C23" s="5" t="s">
        <v>162</v>
      </c>
      <c r="D23" s="5" t="s">
        <v>47</v>
      </c>
      <c r="E23" s="5" t="s">
        <v>48</v>
      </c>
      <c r="F23" s="5" t="s">
        <v>49</v>
      </c>
      <c r="G23" s="5" t="s">
        <v>58</v>
      </c>
      <c r="H23" s="5" t="s">
        <v>52</v>
      </c>
      <c r="I23" s="12" t="n">
        <f aca="false">J23*1000000/365</f>
        <v>21917.8082191781</v>
      </c>
      <c r="J23" s="9" t="n">
        <v>8</v>
      </c>
      <c r="K23" s="8"/>
      <c r="L23" s="10"/>
      <c r="M23" s="10"/>
      <c r="N23" s="9" t="n">
        <v>8</v>
      </c>
      <c r="O23" s="5" t="s">
        <v>52</v>
      </c>
      <c r="P23" s="13"/>
      <c r="Q23" s="13"/>
      <c r="R23" s="8"/>
      <c r="S23" s="8"/>
      <c r="T23" s="12" t="str">
        <f aca="false">IF(AND(ISNUMBER(R23),ISNUMBER(S23)),R23*1000000/S23,"")</f>
        <v/>
      </c>
      <c r="U23" s="13"/>
      <c r="V23" s="5" t="s">
        <v>163</v>
      </c>
      <c r="W23" s="5" t="s">
        <v>60</v>
      </c>
      <c r="X23" s="5"/>
    </row>
    <row r="24" customFormat="false" ht="23.85" hidden="false" customHeight="false" outlineLevel="0" collapsed="false">
      <c r="A24" s="5" t="s">
        <v>164</v>
      </c>
      <c r="B24" s="5" t="s">
        <v>165</v>
      </c>
      <c r="C24" s="5" t="s">
        <v>162</v>
      </c>
      <c r="D24" s="5" t="s">
        <v>47</v>
      </c>
      <c r="E24" s="5" t="s">
        <v>77</v>
      </c>
      <c r="F24" s="5" t="s">
        <v>49</v>
      </c>
      <c r="G24" s="5" t="s">
        <v>150</v>
      </c>
      <c r="H24" s="5" t="s">
        <v>157</v>
      </c>
      <c r="I24" s="12" t="n">
        <f aca="false">J24*1000000/365</f>
        <v>115068.493150685</v>
      </c>
      <c r="J24" s="9" t="n">
        <v>42</v>
      </c>
      <c r="K24" s="8"/>
      <c r="L24" s="9" t="n">
        <v>30</v>
      </c>
      <c r="M24" s="10"/>
      <c r="N24" s="9" t="n">
        <v>12</v>
      </c>
      <c r="O24" s="5" t="s">
        <v>52</v>
      </c>
      <c r="P24" s="13"/>
      <c r="Q24" s="13"/>
      <c r="R24" s="8"/>
      <c r="S24" s="8"/>
      <c r="T24" s="12" t="str">
        <f aca="false">IF(AND(ISNUMBER(R24),ISNUMBER(S24)),R24*1000000/S24,"")</f>
        <v/>
      </c>
      <c r="U24" s="13"/>
      <c r="V24" s="5" t="s">
        <v>166</v>
      </c>
      <c r="W24" s="5" t="s">
        <v>60</v>
      </c>
      <c r="X24" s="5" t="s">
        <v>167</v>
      </c>
    </row>
    <row r="25" customFormat="false" ht="15" hidden="false" customHeight="false" outlineLevel="0" collapsed="false">
      <c r="A25" s="5" t="s">
        <v>168</v>
      </c>
      <c r="B25" s="5" t="s">
        <v>169</v>
      </c>
      <c r="C25" s="5" t="s">
        <v>52</v>
      </c>
      <c r="D25" s="5" t="s">
        <v>47</v>
      </c>
      <c r="E25" s="5" t="s">
        <v>48</v>
      </c>
      <c r="F25" s="5" t="s">
        <v>52</v>
      </c>
      <c r="G25" s="5" t="s">
        <v>52</v>
      </c>
      <c r="H25" s="5" t="s">
        <v>52</v>
      </c>
      <c r="I25" s="12" t="n">
        <f aca="false">J25*1000000/365</f>
        <v>27.3972602739726</v>
      </c>
      <c r="J25" s="9" t="n">
        <v>0.01</v>
      </c>
      <c r="K25" s="8"/>
      <c r="L25" s="9" t="n">
        <v>0.01</v>
      </c>
      <c r="M25" s="10"/>
      <c r="N25" s="10"/>
      <c r="O25" s="5" t="s">
        <v>52</v>
      </c>
      <c r="P25" s="13"/>
      <c r="Q25" s="13"/>
      <c r="R25" s="8"/>
      <c r="S25" s="8"/>
      <c r="T25" s="12" t="str">
        <f aca="false">IF(AND(ISNUMBER(R25),ISNUMBER(S25)),R25*1000000/S25,"")</f>
        <v/>
      </c>
      <c r="U25" s="13"/>
      <c r="V25" s="5" t="s">
        <v>163</v>
      </c>
      <c r="W25" s="5" t="s">
        <v>60</v>
      </c>
      <c r="X25" s="5" t="s">
        <v>170</v>
      </c>
    </row>
    <row r="26" customFormat="false" ht="15" hidden="false" customHeight="false" outlineLevel="0" collapsed="false">
      <c r="A26" s="5" t="s">
        <v>171</v>
      </c>
      <c r="B26" s="5" t="s">
        <v>172</v>
      </c>
      <c r="C26" s="5" t="s">
        <v>52</v>
      </c>
      <c r="D26" s="5" t="s">
        <v>47</v>
      </c>
      <c r="E26" s="5" t="s">
        <v>77</v>
      </c>
      <c r="F26" s="5" t="s">
        <v>52</v>
      </c>
      <c r="G26" s="5" t="s">
        <v>52</v>
      </c>
      <c r="H26" s="5" t="s">
        <v>52</v>
      </c>
      <c r="I26" s="12" t="n">
        <f aca="false">J26*1000000/365</f>
        <v>438.356164383562</v>
      </c>
      <c r="J26" s="9" t="n">
        <v>0.16</v>
      </c>
      <c r="K26" s="8"/>
      <c r="L26" s="9" t="n">
        <v>0.16</v>
      </c>
      <c r="M26" s="10"/>
      <c r="N26" s="10"/>
      <c r="O26" s="5" t="s">
        <v>52</v>
      </c>
      <c r="P26" s="13"/>
      <c r="Q26" s="13"/>
      <c r="R26" s="8"/>
      <c r="S26" s="8"/>
      <c r="T26" s="12" t="str">
        <f aca="false">IF(AND(ISNUMBER(R26),ISNUMBER(S26)),R26*1000000/S26,"")</f>
        <v/>
      </c>
      <c r="U26" s="13"/>
      <c r="V26" s="5" t="s">
        <v>163</v>
      </c>
      <c r="W26" s="5" t="s">
        <v>60</v>
      </c>
      <c r="X26" s="5" t="s">
        <v>170</v>
      </c>
    </row>
    <row r="27" customFormat="false" ht="35.05" hidden="false" customHeight="false" outlineLevel="0" collapsed="false">
      <c r="A27" s="5" t="s">
        <v>173</v>
      </c>
      <c r="B27" s="5" t="s">
        <v>174</v>
      </c>
      <c r="C27" s="5" t="s">
        <v>81</v>
      </c>
      <c r="D27" s="5" t="s">
        <v>47</v>
      </c>
      <c r="E27" s="5" t="s">
        <v>77</v>
      </c>
      <c r="F27" s="5" t="s">
        <v>49</v>
      </c>
      <c r="G27" s="5" t="s">
        <v>64</v>
      </c>
      <c r="H27" s="5" t="s">
        <v>52</v>
      </c>
      <c r="I27" s="6" t="n">
        <v>8640</v>
      </c>
      <c r="J27" s="7" t="n">
        <f aca="false">I27*365/1000000</f>
        <v>3.1536</v>
      </c>
      <c r="K27" s="8"/>
      <c r="L27" s="9" t="n">
        <v>3.15</v>
      </c>
      <c r="M27" s="10"/>
      <c r="N27" s="10"/>
      <c r="O27" s="5" t="s">
        <v>52</v>
      </c>
      <c r="P27" s="13"/>
      <c r="Q27" s="13"/>
      <c r="R27" s="8"/>
      <c r="S27" s="8"/>
      <c r="T27" s="12" t="str">
        <f aca="false">IF(AND(ISNUMBER(R27),ISNUMBER(S27)),R27*1000000/S27,"")</f>
        <v/>
      </c>
      <c r="U27" s="13"/>
      <c r="V27" s="5" t="s">
        <v>175</v>
      </c>
      <c r="W27" s="5" t="s">
        <v>60</v>
      </c>
      <c r="X27" s="5" t="s">
        <v>176</v>
      </c>
    </row>
    <row r="28" customFormat="false" ht="15" hidden="false" customHeight="false" outlineLevel="0" collapsed="false">
      <c r="A28" s="5" t="s">
        <v>177</v>
      </c>
      <c r="B28" s="5" t="s">
        <v>178</v>
      </c>
      <c r="C28" s="5" t="s">
        <v>179</v>
      </c>
      <c r="D28" s="5" t="s">
        <v>47</v>
      </c>
      <c r="E28" s="5" t="s">
        <v>180</v>
      </c>
      <c r="F28" s="5" t="s">
        <v>49</v>
      </c>
      <c r="G28" s="5" t="s">
        <v>181</v>
      </c>
      <c r="H28" s="5" t="s">
        <v>182</v>
      </c>
      <c r="I28" s="12" t="n">
        <f aca="false">J28*1000000/365</f>
        <v>684931.506849315</v>
      </c>
      <c r="J28" s="9" t="n">
        <v>250</v>
      </c>
      <c r="K28" s="8"/>
      <c r="L28" s="9" t="n">
        <v>140</v>
      </c>
      <c r="M28" s="9" t="n">
        <v>110</v>
      </c>
      <c r="N28" s="10"/>
      <c r="O28" s="5" t="s">
        <v>52</v>
      </c>
      <c r="P28" s="13"/>
      <c r="Q28" s="13"/>
      <c r="R28" s="8"/>
      <c r="S28" s="8"/>
      <c r="T28" s="12" t="str">
        <f aca="false">IF(AND(ISNUMBER(R28),ISNUMBER(S28)),R28*1000000/S28,"")</f>
        <v/>
      </c>
      <c r="U28" s="13"/>
      <c r="V28" s="5" t="s">
        <v>183</v>
      </c>
      <c r="W28" s="5" t="s">
        <v>153</v>
      </c>
      <c r="X28" s="5" t="s">
        <v>184</v>
      </c>
    </row>
    <row r="29" customFormat="false" ht="15" hidden="false" customHeight="false" outlineLevel="0" collapsed="false">
      <c r="A29" s="5" t="s">
        <v>185</v>
      </c>
      <c r="B29" s="5" t="s">
        <v>186</v>
      </c>
      <c r="C29" s="5" t="s">
        <v>162</v>
      </c>
      <c r="D29" s="5" t="s">
        <v>47</v>
      </c>
      <c r="E29" s="5" t="s">
        <v>180</v>
      </c>
      <c r="F29" s="5" t="s">
        <v>49</v>
      </c>
      <c r="G29" s="5" t="s">
        <v>64</v>
      </c>
      <c r="H29" s="5" t="s">
        <v>187</v>
      </c>
      <c r="I29" s="12" t="n">
        <f aca="false">J29*1000000/365</f>
        <v>117260.273972603</v>
      </c>
      <c r="J29" s="9" t="n">
        <v>42.8</v>
      </c>
      <c r="K29" s="8"/>
      <c r="L29" s="9" t="n">
        <v>12.8</v>
      </c>
      <c r="M29" s="9" t="n">
        <v>30</v>
      </c>
      <c r="N29" s="10"/>
      <c r="O29" s="5" t="s">
        <v>52</v>
      </c>
      <c r="P29" s="13"/>
      <c r="Q29" s="13"/>
      <c r="R29" s="8"/>
      <c r="S29" s="8"/>
      <c r="T29" s="12" t="str">
        <f aca="false">IF(AND(ISNUMBER(R29),ISNUMBER(S29)),R29*1000000/S29,"")</f>
        <v/>
      </c>
      <c r="U29" s="13"/>
      <c r="V29" s="5" t="s">
        <v>188</v>
      </c>
      <c r="W29" s="5" t="s">
        <v>60</v>
      </c>
      <c r="X29" s="5" t="s">
        <v>189</v>
      </c>
    </row>
    <row r="30" customFormat="false" ht="15" hidden="false" customHeight="false" outlineLevel="0" collapsed="false">
      <c r="A30" s="5" t="s">
        <v>190</v>
      </c>
      <c r="B30" s="5" t="s">
        <v>191</v>
      </c>
      <c r="C30" s="5" t="s">
        <v>126</v>
      </c>
      <c r="D30" s="5" t="s">
        <v>47</v>
      </c>
      <c r="E30" s="5" t="s">
        <v>180</v>
      </c>
      <c r="F30" s="5" t="s">
        <v>49</v>
      </c>
      <c r="G30" s="5" t="s">
        <v>52</v>
      </c>
      <c r="H30" s="5" t="s">
        <v>192</v>
      </c>
      <c r="I30" s="12" t="n">
        <f aca="false">J30*1000000/365</f>
        <v>124931.506849315</v>
      </c>
      <c r="J30" s="9" t="n">
        <v>45.6</v>
      </c>
      <c r="K30" s="8"/>
      <c r="L30" s="9" t="n">
        <v>18.3</v>
      </c>
      <c r="M30" s="9" t="n">
        <v>27.3</v>
      </c>
      <c r="N30" s="10"/>
      <c r="O30" s="5" t="s">
        <v>52</v>
      </c>
      <c r="P30" s="13"/>
      <c r="Q30" s="13"/>
      <c r="R30" s="8"/>
      <c r="S30" s="8"/>
      <c r="T30" s="12" t="str">
        <f aca="false">IF(AND(ISNUMBER(R30),ISNUMBER(S30)),R30*1000000/S30,"")</f>
        <v/>
      </c>
      <c r="U30" s="13"/>
      <c r="V30" s="5" t="s">
        <v>163</v>
      </c>
      <c r="W30" s="5" t="s">
        <v>60</v>
      </c>
      <c r="X30" s="5" t="s">
        <v>193</v>
      </c>
    </row>
    <row r="31" customFormat="false" ht="23.85" hidden="false" customHeight="false" outlineLevel="0" collapsed="false">
      <c r="A31" s="5" t="s">
        <v>194</v>
      </c>
      <c r="B31" s="5" t="s">
        <v>195</v>
      </c>
      <c r="C31" s="5" t="s">
        <v>196</v>
      </c>
      <c r="D31" s="5" t="s">
        <v>47</v>
      </c>
      <c r="E31" s="5" t="s">
        <v>180</v>
      </c>
      <c r="F31" s="5" t="s">
        <v>49</v>
      </c>
      <c r="G31" s="5" t="s">
        <v>64</v>
      </c>
      <c r="H31" s="5" t="s">
        <v>197</v>
      </c>
      <c r="I31" s="12" t="n">
        <f aca="false">J31*1000000/365</f>
        <v>423561.643835616</v>
      </c>
      <c r="J31" s="9" t="n">
        <v>154.6</v>
      </c>
      <c r="K31" s="8"/>
      <c r="L31" s="9" t="n">
        <v>114.6</v>
      </c>
      <c r="M31" s="9" t="n">
        <v>40</v>
      </c>
      <c r="N31" s="10"/>
      <c r="O31" s="5" t="s">
        <v>52</v>
      </c>
      <c r="P31" s="13"/>
      <c r="Q31" s="13"/>
      <c r="R31" s="6" t="n">
        <v>2700</v>
      </c>
      <c r="S31" s="8"/>
      <c r="T31" s="12" t="str">
        <f aca="false">IF(AND(ISNUMBER(R31),ISNUMBER(S31)),R31*1000000/S31,"")</f>
        <v/>
      </c>
      <c r="U31" s="13"/>
      <c r="V31" s="5" t="s">
        <v>198</v>
      </c>
      <c r="W31" s="5" t="s">
        <v>60</v>
      </c>
      <c r="X31" s="5" t="s">
        <v>199</v>
      </c>
    </row>
    <row r="32" customFormat="false" ht="15" hidden="false" customHeight="false" outlineLevel="0" collapsed="false">
      <c r="A32" s="5" t="s">
        <v>200</v>
      </c>
      <c r="B32" s="5" t="s">
        <v>201</v>
      </c>
      <c r="C32" s="5" t="s">
        <v>81</v>
      </c>
      <c r="D32" s="5" t="s">
        <v>47</v>
      </c>
      <c r="E32" s="5" t="s">
        <v>180</v>
      </c>
      <c r="F32" s="5" t="s">
        <v>49</v>
      </c>
      <c r="G32" s="5" t="s">
        <v>64</v>
      </c>
      <c r="H32" s="5" t="s">
        <v>202</v>
      </c>
      <c r="I32" s="12" t="n">
        <f aca="false">J32*1000000/365</f>
        <v>94794.5205479452</v>
      </c>
      <c r="J32" s="9" t="n">
        <v>34.6</v>
      </c>
      <c r="K32" s="8"/>
      <c r="L32" s="9" t="n">
        <v>14.6</v>
      </c>
      <c r="M32" s="9" t="n">
        <v>20</v>
      </c>
      <c r="N32" s="10"/>
      <c r="O32" s="5" t="s">
        <v>52</v>
      </c>
      <c r="P32" s="13"/>
      <c r="Q32" s="13"/>
      <c r="R32" s="8"/>
      <c r="S32" s="8"/>
      <c r="T32" s="12" t="str">
        <f aca="false">IF(AND(ISNUMBER(R32),ISNUMBER(S32)),R32*1000000/S32,"")</f>
        <v/>
      </c>
      <c r="U32" s="13"/>
      <c r="V32" s="5" t="s">
        <v>188</v>
      </c>
      <c r="W32" s="5" t="s">
        <v>60</v>
      </c>
      <c r="X32" s="5"/>
    </row>
    <row r="33" customFormat="false" ht="15" hidden="false" customHeight="false" outlineLevel="0" collapsed="false">
      <c r="A33" s="5" t="s">
        <v>203</v>
      </c>
      <c r="B33" s="5" t="s">
        <v>204</v>
      </c>
      <c r="C33" s="5" t="s">
        <v>81</v>
      </c>
      <c r="D33" s="5" t="s">
        <v>47</v>
      </c>
      <c r="E33" s="5" t="s">
        <v>180</v>
      </c>
      <c r="F33" s="5" t="s">
        <v>49</v>
      </c>
      <c r="G33" s="5" t="s">
        <v>52</v>
      </c>
      <c r="H33" s="5" t="s">
        <v>205</v>
      </c>
      <c r="I33" s="12" t="n">
        <f aca="false">J33*1000000/365</f>
        <v>129315.068493151</v>
      </c>
      <c r="J33" s="9" t="n">
        <v>47.2</v>
      </c>
      <c r="K33" s="8"/>
      <c r="L33" s="9" t="n">
        <v>3.2</v>
      </c>
      <c r="M33" s="9" t="n">
        <v>35</v>
      </c>
      <c r="N33" s="9" t="n">
        <v>9</v>
      </c>
      <c r="O33" s="5" t="s">
        <v>52</v>
      </c>
      <c r="P33" s="13"/>
      <c r="Q33" s="13"/>
      <c r="R33" s="8"/>
      <c r="S33" s="8"/>
      <c r="T33" s="12" t="str">
        <f aca="false">IF(AND(ISNUMBER(R33),ISNUMBER(S33)),R33*1000000/S33,"")</f>
        <v/>
      </c>
      <c r="U33" s="13"/>
      <c r="V33" s="5" t="s">
        <v>163</v>
      </c>
      <c r="W33" s="5" t="s">
        <v>60</v>
      </c>
      <c r="X33" s="5" t="s">
        <v>206</v>
      </c>
    </row>
    <row r="34" customFormat="false" ht="15" hidden="false" customHeight="false" outlineLevel="0" collapsed="false">
      <c r="A34" s="5" t="s">
        <v>207</v>
      </c>
      <c r="B34" s="5" t="s">
        <v>208</v>
      </c>
      <c r="C34" s="5" t="s">
        <v>46</v>
      </c>
      <c r="D34" s="5" t="s">
        <v>47</v>
      </c>
      <c r="E34" s="5" t="s">
        <v>180</v>
      </c>
      <c r="F34" s="5" t="s">
        <v>49</v>
      </c>
      <c r="G34" s="5" t="s">
        <v>52</v>
      </c>
      <c r="H34" s="5" t="s">
        <v>209</v>
      </c>
      <c r="I34" s="12" t="n">
        <f aca="false">J34*1000000/365</f>
        <v>164383.561643836</v>
      </c>
      <c r="J34" s="9" t="n">
        <v>60</v>
      </c>
      <c r="K34" s="8"/>
      <c r="L34" s="10"/>
      <c r="M34" s="9" t="n">
        <v>60</v>
      </c>
      <c r="N34" s="10"/>
      <c r="O34" s="5" t="s">
        <v>52</v>
      </c>
      <c r="P34" s="13"/>
      <c r="Q34" s="13"/>
      <c r="R34" s="8"/>
      <c r="S34" s="8"/>
      <c r="T34" s="12" t="str">
        <f aca="false">IF(AND(ISNUMBER(R34),ISNUMBER(S34)),R34*1000000/S34,"")</f>
        <v/>
      </c>
      <c r="U34" s="13"/>
      <c r="V34" s="5" t="s">
        <v>163</v>
      </c>
      <c r="W34" s="5" t="s">
        <v>60</v>
      </c>
      <c r="X34" s="5"/>
    </row>
    <row r="36" customFormat="false" ht="15" hidden="false" customHeight="false" outlineLevel="0" collapsed="false">
      <c r="B36" s="14" t="s">
        <v>210</v>
      </c>
      <c r="J36" s="15" t="n">
        <f aca="false">SUMIFS(J2:J34,D2:D34,"Mer",E2:E34,"En service")</f>
        <v>179.1719</v>
      </c>
    </row>
    <row r="37" customFormat="false" ht="15" hidden="false" customHeight="false" outlineLevel="0" collapsed="false">
      <c r="B37" s="14" t="s">
        <v>211</v>
      </c>
      <c r="J37" s="15" t="n">
        <f aca="false">SUMIFS(J2:J34,D2:D34,"Saumâtre",E2:E34,"En service")</f>
        <v>36.7044</v>
      </c>
    </row>
    <row r="38" customFormat="false" ht="15" hidden="false" customHeight="false" outlineLevel="0" collapsed="false">
      <c r="B38" s="14" t="s">
        <v>212</v>
      </c>
      <c r="J38" s="15" t="n">
        <f aca="false">SUMIFS(J2:J34,D2:D34,"Mer",E2:E34,"En construction")</f>
        <v>305.8081</v>
      </c>
    </row>
    <row r="39" customFormat="false" ht="15" hidden="false" customHeight="false" outlineLevel="0" collapsed="false">
      <c r="B39" s="14" t="s">
        <v>213</v>
      </c>
      <c r="J39" s="15" t="n">
        <f aca="false">SUMIFS(J2:J34,E2:E34,"Programmée")</f>
        <v>634.8</v>
      </c>
    </row>
    <row r="40" customFormat="false" ht="15" hidden="false" customHeight="false" outlineLevel="0" collapsed="false">
      <c r="B40" s="16" t="s">
        <v>214</v>
      </c>
    </row>
  </sheetData>
  <autoFilter ref="A1:X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7" t="s">
        <v>215</v>
      </c>
    </row>
    <row r="3" customFormat="false" ht="15" hidden="false" customHeight="false" outlineLevel="0" collapsed="false">
      <c r="A3" s="14" t="s">
        <v>216</v>
      </c>
    </row>
    <row r="4" customFormat="false" ht="23.85" hidden="false" customHeight="false" outlineLevel="0" collapsed="false">
      <c r="A4" s="4" t="s">
        <v>217</v>
      </c>
      <c r="B4" s="4" t="s">
        <v>24</v>
      </c>
      <c r="C4" s="4" t="s">
        <v>218</v>
      </c>
      <c r="D4" s="4" t="s">
        <v>219</v>
      </c>
      <c r="E4" s="4" t="s">
        <v>220</v>
      </c>
      <c r="F4" s="4" t="s">
        <v>221</v>
      </c>
      <c r="G4" s="4" t="s">
        <v>222</v>
      </c>
    </row>
    <row r="5" customFormat="false" ht="15" hidden="false" customHeight="false" outlineLevel="0" collapsed="false">
      <c r="A5" s="18" t="s">
        <v>118</v>
      </c>
      <c r="B5" s="18" t="s">
        <v>48</v>
      </c>
      <c r="C5" s="19" t="n">
        <v>6.3</v>
      </c>
      <c r="D5" s="19" t="n">
        <v>6.3</v>
      </c>
      <c r="E5" s="19" t="n">
        <v>0</v>
      </c>
      <c r="F5" s="19" t="n">
        <v>0</v>
      </c>
      <c r="G5" s="20" t="n">
        <f aca="false">ROUND(C5-D5-E5-F5,2)</f>
        <v>0</v>
      </c>
    </row>
    <row r="6" customFormat="false" ht="15" hidden="false" customHeight="false" outlineLevel="0" collapsed="false">
      <c r="A6" s="18" t="s">
        <v>223</v>
      </c>
      <c r="B6" s="18" t="s">
        <v>48</v>
      </c>
      <c r="C6" s="19" t="n">
        <v>40</v>
      </c>
      <c r="D6" s="19" t="n">
        <v>0</v>
      </c>
      <c r="E6" s="19" t="n">
        <v>0</v>
      </c>
      <c r="F6" s="19" t="n">
        <v>40</v>
      </c>
      <c r="G6" s="20" t="n">
        <f aca="false">ROUND(C6-D6-E6-F6,2)</f>
        <v>0</v>
      </c>
    </row>
    <row r="7" customFormat="false" ht="15" hidden="false" customHeight="false" outlineLevel="0" collapsed="false">
      <c r="A7" s="18" t="s">
        <v>223</v>
      </c>
      <c r="B7" s="18" t="s">
        <v>224</v>
      </c>
      <c r="C7" s="19" t="n">
        <v>60</v>
      </c>
      <c r="D7" s="19" t="n">
        <v>45</v>
      </c>
      <c r="E7" s="19" t="n">
        <v>0</v>
      </c>
      <c r="F7" s="19" t="n">
        <v>15</v>
      </c>
      <c r="G7" s="20" t="n">
        <f aca="false">ROUND(C7-D7-E7-F7,2)</f>
        <v>0</v>
      </c>
    </row>
    <row r="8" customFormat="false" ht="15" hidden="false" customHeight="false" outlineLevel="0" collapsed="false">
      <c r="A8" s="18" t="s">
        <v>225</v>
      </c>
      <c r="B8" s="18" t="s">
        <v>48</v>
      </c>
      <c r="C8" s="19" t="n">
        <v>8</v>
      </c>
      <c r="D8" s="19" t="n">
        <v>0</v>
      </c>
      <c r="E8" s="19" t="n">
        <v>0</v>
      </c>
      <c r="F8" s="19" t="n">
        <v>8</v>
      </c>
      <c r="G8" s="20" t="n">
        <f aca="false">ROUND(C8-D8-E8-F8,2)</f>
        <v>0</v>
      </c>
    </row>
    <row r="9" customFormat="false" ht="15" hidden="false" customHeight="false" outlineLevel="0" collapsed="false">
      <c r="A9" s="18" t="s">
        <v>225</v>
      </c>
      <c r="B9" s="18" t="s">
        <v>224</v>
      </c>
      <c r="C9" s="19" t="n">
        <v>42</v>
      </c>
      <c r="D9" s="19" t="n">
        <v>30</v>
      </c>
      <c r="E9" s="19" t="n">
        <v>0</v>
      </c>
      <c r="F9" s="19" t="n">
        <v>12</v>
      </c>
      <c r="G9" s="20" t="n">
        <f aca="false">ROUND(C9-D9-E9-F9,2)</f>
        <v>0</v>
      </c>
    </row>
    <row r="10" customFormat="false" ht="15" hidden="false" customHeight="false" outlineLevel="0" collapsed="false">
      <c r="A10" s="18" t="s">
        <v>226</v>
      </c>
      <c r="B10" s="18" t="s">
        <v>48</v>
      </c>
      <c r="C10" s="19" t="n">
        <v>100.4</v>
      </c>
      <c r="D10" s="19" t="n">
        <v>50.2</v>
      </c>
      <c r="E10" s="19" t="n">
        <v>50.2</v>
      </c>
      <c r="F10" s="19" t="n">
        <v>0</v>
      </c>
      <c r="G10" s="20" t="n">
        <f aca="false">ROUND(C10-D10-E10-F10,2)</f>
        <v>0</v>
      </c>
    </row>
    <row r="11" customFormat="false" ht="15" hidden="false" customHeight="false" outlineLevel="0" collapsed="false">
      <c r="A11" s="18" t="s">
        <v>174</v>
      </c>
      <c r="B11" s="18" t="s">
        <v>224</v>
      </c>
      <c r="C11" s="19" t="n">
        <v>3.15</v>
      </c>
      <c r="D11" s="19" t="n">
        <v>3.15</v>
      </c>
      <c r="E11" s="19" t="n">
        <v>0</v>
      </c>
      <c r="F11" s="19" t="n">
        <v>0</v>
      </c>
      <c r="G11" s="20" t="n">
        <f aca="false">ROUND(C11-D11-E11-F11,2)</f>
        <v>0</v>
      </c>
    </row>
    <row r="12" customFormat="false" ht="15" hidden="false" customHeight="false" outlineLevel="0" collapsed="false">
      <c r="A12" s="18" t="s">
        <v>98</v>
      </c>
      <c r="B12" s="18" t="s">
        <v>48</v>
      </c>
      <c r="C12" s="19" t="n">
        <v>0.3</v>
      </c>
      <c r="D12" s="19" t="n">
        <v>0.3</v>
      </c>
      <c r="E12" s="19" t="n">
        <v>0</v>
      </c>
      <c r="F12" s="19" t="n">
        <v>0</v>
      </c>
      <c r="G12" s="20" t="n">
        <f aca="false">ROUND(C12-D12-E12-F12,2)</f>
        <v>0</v>
      </c>
    </row>
    <row r="13" customFormat="false" ht="15" hidden="false" customHeight="false" outlineLevel="0" collapsed="false">
      <c r="A13" s="18" t="s">
        <v>227</v>
      </c>
      <c r="B13" s="18" t="s">
        <v>48</v>
      </c>
      <c r="C13" s="19" t="n">
        <v>0.16</v>
      </c>
      <c r="D13" s="19" t="n">
        <v>0.16</v>
      </c>
      <c r="E13" s="19" t="n">
        <v>0</v>
      </c>
      <c r="F13" s="19" t="n">
        <v>0</v>
      </c>
      <c r="G13" s="20" t="n">
        <f aca="false">ROUND(C13-D13-E13-F13,2)</f>
        <v>0</v>
      </c>
    </row>
    <row r="14" customFormat="false" ht="15" hidden="false" customHeight="false" outlineLevel="0" collapsed="false">
      <c r="A14" s="18" t="s">
        <v>227</v>
      </c>
      <c r="B14" s="18" t="s">
        <v>224</v>
      </c>
      <c r="C14" s="19" t="n">
        <v>0.47</v>
      </c>
      <c r="D14" s="19" t="n">
        <v>0.47</v>
      </c>
      <c r="E14" s="19" t="n">
        <v>0</v>
      </c>
      <c r="F14" s="19" t="n">
        <v>0</v>
      </c>
      <c r="G14" s="20" t="n">
        <f aca="false">ROUND(C14-D14-E14-F14,2)</f>
        <v>0</v>
      </c>
    </row>
    <row r="15" customFormat="false" ht="15" hidden="false" customHeight="false" outlineLevel="0" collapsed="false">
      <c r="A15" s="18" t="s">
        <v>172</v>
      </c>
      <c r="B15" s="18" t="s">
        <v>224</v>
      </c>
      <c r="C15" s="19" t="n">
        <v>0.16</v>
      </c>
      <c r="D15" s="19" t="n">
        <v>0.16</v>
      </c>
      <c r="E15" s="19" t="n">
        <v>0</v>
      </c>
      <c r="F15" s="19" t="n">
        <v>0</v>
      </c>
      <c r="G15" s="20" t="n">
        <f aca="false">ROUND(C15-D15-E15-F15,2)</f>
        <v>0</v>
      </c>
    </row>
    <row r="16" customFormat="false" ht="15" hidden="false" customHeight="false" outlineLevel="0" collapsed="false">
      <c r="A16" s="18" t="s">
        <v>228</v>
      </c>
      <c r="B16" s="18" t="s">
        <v>48</v>
      </c>
      <c r="C16" s="19" t="n">
        <v>20.2</v>
      </c>
      <c r="D16" s="19" t="n">
        <v>19</v>
      </c>
      <c r="E16" s="19" t="n">
        <v>1.2</v>
      </c>
      <c r="F16" s="19" t="n">
        <v>0</v>
      </c>
      <c r="G16" s="20" t="n">
        <f aca="false">ROUND(C16-D16-E16-F16,2)</f>
        <v>0</v>
      </c>
    </row>
    <row r="17" customFormat="false" ht="15" hidden="false" customHeight="false" outlineLevel="0" collapsed="false">
      <c r="A17" s="18" t="s">
        <v>229</v>
      </c>
      <c r="B17" s="18" t="s">
        <v>48</v>
      </c>
      <c r="C17" s="19" t="n">
        <v>0.03</v>
      </c>
      <c r="D17" s="19" t="n">
        <v>0.03</v>
      </c>
      <c r="E17" s="19" t="n">
        <v>0</v>
      </c>
      <c r="F17" s="19" t="n">
        <v>0</v>
      </c>
      <c r="G17" s="20" t="n">
        <f aca="false">ROUND(C17-D17-E17-F17,2)</f>
        <v>0</v>
      </c>
    </row>
    <row r="18" customFormat="false" ht="15" hidden="false" customHeight="false" outlineLevel="0" collapsed="false">
      <c r="A18" s="18" t="s">
        <v>229</v>
      </c>
      <c r="B18" s="18" t="s">
        <v>224</v>
      </c>
      <c r="C18" s="19" t="n">
        <v>0.03</v>
      </c>
      <c r="D18" s="19" t="n">
        <v>0.03</v>
      </c>
      <c r="E18" s="19" t="n">
        <v>0</v>
      </c>
      <c r="F18" s="19" t="n">
        <v>0</v>
      </c>
      <c r="G18" s="20" t="n">
        <f aca="false">ROUND(C18-D18-E18-F18,2)</f>
        <v>0</v>
      </c>
    </row>
    <row r="19" customFormat="false" ht="15" hidden="false" customHeight="false" outlineLevel="0" collapsed="false">
      <c r="A19" s="18" t="s">
        <v>230</v>
      </c>
      <c r="B19" s="18" t="s">
        <v>48</v>
      </c>
      <c r="C19" s="19" t="n">
        <v>3.9</v>
      </c>
      <c r="D19" s="19" t="n">
        <v>3.9</v>
      </c>
      <c r="E19" s="19" t="n">
        <v>0</v>
      </c>
      <c r="F19" s="19" t="n">
        <v>0</v>
      </c>
      <c r="G19" s="20" t="n">
        <f aca="false">ROUND(C19-D19-E19-F19,2)</f>
        <v>0</v>
      </c>
    </row>
    <row r="20" customFormat="false" ht="15" hidden="false" customHeight="false" outlineLevel="0" collapsed="false">
      <c r="A20" s="18" t="s">
        <v>231</v>
      </c>
      <c r="B20" s="18" t="s">
        <v>224</v>
      </c>
      <c r="C20" s="19" t="n">
        <v>37</v>
      </c>
      <c r="D20" s="19" t="n">
        <v>18.5</v>
      </c>
      <c r="E20" s="19" t="n">
        <v>18.5</v>
      </c>
      <c r="F20" s="19" t="n">
        <v>0</v>
      </c>
      <c r="G20" s="20" t="n">
        <f aca="false">ROUND(C20-D20-E20-F20,2)</f>
        <v>0</v>
      </c>
    </row>
    <row r="21" customFormat="false" ht="15" hidden="false" customHeight="false" outlineLevel="0" collapsed="false">
      <c r="A21" s="18" t="s">
        <v>169</v>
      </c>
      <c r="B21" s="18" t="s">
        <v>48</v>
      </c>
      <c r="C21" s="19" t="n">
        <v>0.01</v>
      </c>
      <c r="D21" s="19" t="n">
        <v>0.01</v>
      </c>
      <c r="E21" s="19" t="n">
        <v>0</v>
      </c>
      <c r="F21" s="19" t="n">
        <v>0</v>
      </c>
      <c r="G21" s="20" t="n">
        <f aca="false">ROUND(C21-D21-E21-F21,2)</f>
        <v>0</v>
      </c>
    </row>
    <row r="22" customFormat="false" ht="15" hidden="false" customHeight="false" outlineLevel="0" collapsed="false">
      <c r="A22" s="14" t="s">
        <v>232</v>
      </c>
      <c r="C22" s="21" t="n">
        <f aca="false">SUM(C5:C21)</f>
        <v>322.11</v>
      </c>
      <c r="D22" s="21" t="n">
        <f aca="false">SUM(D5:D21)</f>
        <v>177.21</v>
      </c>
      <c r="E22" s="21" t="n">
        <f aca="false">SUM(E5:E21)</f>
        <v>69.9</v>
      </c>
      <c r="F22" s="21" t="n">
        <f aca="false">SUM(F5:F21)</f>
        <v>75</v>
      </c>
    </row>
    <row r="23" customFormat="false" ht="15" hidden="false" customHeight="false" outlineLevel="0" collapsed="false">
      <c r="A23" s="22" t="s">
        <v>233</v>
      </c>
      <c r="C23" s="23" t="n">
        <v>322.11</v>
      </c>
      <c r="D23" s="23" t="n">
        <v>177.21</v>
      </c>
      <c r="E23" s="23" t="n">
        <v>69.9</v>
      </c>
      <c r="F23" s="23" t="n">
        <v>75</v>
      </c>
    </row>
    <row r="24" customFormat="false" ht="15" hidden="false" customHeight="false" outlineLevel="0" collapsed="false">
      <c r="A24" s="22" t="s">
        <v>234</v>
      </c>
      <c r="C24" s="24" t="n">
        <f aca="false">ROUND(C22-C23,2)</f>
        <v>0</v>
      </c>
      <c r="D24" s="24" t="n">
        <f aca="false">ROUND(D22-D23,2)</f>
        <v>0</v>
      </c>
      <c r="E24" s="24" t="n">
        <f aca="false">ROUND(E22-E23,2)</f>
        <v>0</v>
      </c>
      <c r="F24" s="24" t="n">
        <f aca="false">ROUND(F22-F23,2)</f>
        <v>0</v>
      </c>
    </row>
    <row r="26" customFormat="false" ht="15" hidden="false" customHeight="false" outlineLevel="0" collapsed="false">
      <c r="A26" s="14" t="s">
        <v>235</v>
      </c>
    </row>
    <row r="27" customFormat="false" ht="23.85" hidden="false" customHeight="false" outlineLevel="0" collapsed="false">
      <c r="A27" s="4" t="s">
        <v>236</v>
      </c>
      <c r="B27" s="4" t="s">
        <v>237</v>
      </c>
      <c r="C27" s="4" t="s">
        <v>218</v>
      </c>
      <c r="D27" s="4" t="s">
        <v>219</v>
      </c>
      <c r="E27" s="4" t="s">
        <v>220</v>
      </c>
      <c r="F27" s="4" t="s">
        <v>238</v>
      </c>
      <c r="G27" s="4" t="s">
        <v>222</v>
      </c>
    </row>
    <row r="28" customFormat="false" ht="15" hidden="false" customHeight="false" outlineLevel="0" collapsed="false">
      <c r="A28" s="18" t="s">
        <v>239</v>
      </c>
      <c r="B28" s="18" t="s">
        <v>182</v>
      </c>
      <c r="C28" s="19" t="n">
        <v>250</v>
      </c>
      <c r="D28" s="19" t="n">
        <v>140</v>
      </c>
      <c r="E28" s="19" t="n">
        <v>110</v>
      </c>
      <c r="F28" s="19" t="n">
        <v>0</v>
      </c>
      <c r="G28" s="20" t="n">
        <f aca="false">ROUND(C28-D28-E28-F28,2)</f>
        <v>0</v>
      </c>
    </row>
    <row r="29" customFormat="false" ht="15" hidden="false" customHeight="false" outlineLevel="0" collapsed="false">
      <c r="A29" s="18" t="s">
        <v>240</v>
      </c>
      <c r="B29" s="18" t="s">
        <v>241</v>
      </c>
      <c r="C29" s="19" t="n">
        <v>300</v>
      </c>
      <c r="D29" s="19" t="n">
        <v>270</v>
      </c>
      <c r="E29" s="19" t="n">
        <v>30</v>
      </c>
      <c r="F29" s="19" t="n">
        <v>0</v>
      </c>
      <c r="G29" s="20" t="n">
        <f aca="false">ROUND(C29-D29-E29-F29,2)</f>
        <v>0</v>
      </c>
    </row>
    <row r="30" customFormat="false" ht="15" hidden="false" customHeight="false" outlineLevel="0" collapsed="false">
      <c r="A30" s="18" t="s">
        <v>242</v>
      </c>
      <c r="B30" s="18" t="s">
        <v>187</v>
      </c>
      <c r="C30" s="19" t="n">
        <v>42.8</v>
      </c>
      <c r="D30" s="19" t="n">
        <v>12.8</v>
      </c>
      <c r="E30" s="19" t="n">
        <v>30</v>
      </c>
      <c r="F30" s="19" t="n">
        <v>0</v>
      </c>
      <c r="G30" s="20" t="n">
        <f aca="false">ROUND(C30-D30-E30-F30,2)</f>
        <v>0</v>
      </c>
    </row>
    <row r="31" customFormat="false" ht="15" hidden="false" customHeight="false" outlineLevel="0" collapsed="false">
      <c r="A31" s="18" t="s">
        <v>226</v>
      </c>
      <c r="B31" s="18" t="s">
        <v>192</v>
      </c>
      <c r="C31" s="19" t="n">
        <v>45.6</v>
      </c>
      <c r="D31" s="19" t="n">
        <v>18.3</v>
      </c>
      <c r="E31" s="19" t="n">
        <v>27.3</v>
      </c>
      <c r="F31" s="19" t="n">
        <v>0</v>
      </c>
      <c r="G31" s="20" t="n">
        <f aca="false">ROUND(C31-D31-E31-F31,2)</f>
        <v>0</v>
      </c>
    </row>
    <row r="32" customFormat="false" ht="15" hidden="false" customHeight="false" outlineLevel="0" collapsed="false">
      <c r="A32" s="18" t="s">
        <v>243</v>
      </c>
      <c r="B32" s="18" t="s">
        <v>197</v>
      </c>
      <c r="C32" s="19" t="n">
        <v>154.6</v>
      </c>
      <c r="D32" s="19" t="n">
        <v>114.6</v>
      </c>
      <c r="E32" s="19" t="n">
        <v>40</v>
      </c>
      <c r="F32" s="19" t="n">
        <v>0</v>
      </c>
      <c r="G32" s="20" t="n">
        <f aca="false">ROUND(C32-D32-E32-F32,2)</f>
        <v>0</v>
      </c>
    </row>
    <row r="33" customFormat="false" ht="15" hidden="false" customHeight="false" outlineLevel="0" collapsed="false">
      <c r="A33" s="18" t="s">
        <v>244</v>
      </c>
      <c r="B33" s="18" t="s">
        <v>202</v>
      </c>
      <c r="C33" s="19" t="n">
        <v>34.6</v>
      </c>
      <c r="D33" s="19" t="n">
        <v>14.6</v>
      </c>
      <c r="E33" s="19" t="n">
        <v>20</v>
      </c>
      <c r="F33" s="19" t="n">
        <v>0</v>
      </c>
      <c r="G33" s="20" t="n">
        <f aca="false">ROUND(C33-D33-E33-F33,2)</f>
        <v>0</v>
      </c>
    </row>
    <row r="34" customFormat="false" ht="15" hidden="false" customHeight="false" outlineLevel="0" collapsed="false">
      <c r="A34" s="18" t="s">
        <v>245</v>
      </c>
      <c r="B34" s="18" t="s">
        <v>246</v>
      </c>
      <c r="C34" s="19" t="n">
        <v>47.2</v>
      </c>
      <c r="D34" s="19" t="n">
        <v>3.2</v>
      </c>
      <c r="E34" s="19" t="n">
        <v>35</v>
      </c>
      <c r="F34" s="19" t="n">
        <v>9</v>
      </c>
      <c r="G34" s="20" t="n">
        <f aca="false">ROUND(C34-D34-E34-F34,2)</f>
        <v>0</v>
      </c>
    </row>
    <row r="35" customFormat="false" ht="15" hidden="false" customHeight="false" outlineLevel="0" collapsed="false">
      <c r="A35" s="18" t="s">
        <v>230</v>
      </c>
      <c r="B35" s="18" t="s">
        <v>209</v>
      </c>
      <c r="C35" s="19" t="n">
        <v>60</v>
      </c>
      <c r="D35" s="19" t="n">
        <v>0</v>
      </c>
      <c r="E35" s="19" t="n">
        <v>60</v>
      </c>
      <c r="F35" s="19" t="n">
        <v>0</v>
      </c>
      <c r="G35" s="20" t="n">
        <f aca="false">ROUND(C35-D35-E35-F35,2)</f>
        <v>0</v>
      </c>
    </row>
    <row r="36" customFormat="false" ht="15" hidden="false" customHeight="false" outlineLevel="0" collapsed="false">
      <c r="A36" s="18" t="s">
        <v>227</v>
      </c>
      <c r="B36" s="18" t="s">
        <v>202</v>
      </c>
      <c r="C36" s="19" t="n">
        <v>0.47</v>
      </c>
      <c r="D36" s="19" t="n">
        <v>0.47</v>
      </c>
      <c r="E36" s="19" t="n">
        <v>0</v>
      </c>
      <c r="F36" s="19" t="n">
        <v>0</v>
      </c>
      <c r="G36" s="20" t="n">
        <f aca="false">ROUND(C36-D36-E36-F36,2)</f>
        <v>0</v>
      </c>
    </row>
    <row r="37" customFormat="false" ht="15" hidden="false" customHeight="false" outlineLevel="0" collapsed="false">
      <c r="A37" s="14" t="s">
        <v>232</v>
      </c>
      <c r="C37" s="21" t="n">
        <f aca="false">SUM(C28:C36)</f>
        <v>935.27</v>
      </c>
      <c r="D37" s="21" t="n">
        <f aca="false">SUM(D28:D36)</f>
        <v>573.97</v>
      </c>
      <c r="E37" s="21" t="n">
        <f aca="false">SUM(E28:E36)</f>
        <v>352.3</v>
      </c>
      <c r="F37" s="21" t="n">
        <f aca="false">SUM(F28:F36)</f>
        <v>9</v>
      </c>
    </row>
    <row r="38" customFormat="false" ht="15" hidden="false" customHeight="false" outlineLevel="0" collapsed="false">
      <c r="A38" s="22" t="s">
        <v>247</v>
      </c>
      <c r="C38" s="23" t="n">
        <v>935.27</v>
      </c>
      <c r="D38" s="23" t="n">
        <v>573.97</v>
      </c>
      <c r="E38" s="23" t="n">
        <v>352.3</v>
      </c>
      <c r="F38" s="23" t="n">
        <v>9</v>
      </c>
    </row>
    <row r="39" customFormat="false" ht="15" hidden="false" customHeight="false" outlineLevel="0" collapsed="false">
      <c r="A39" s="22" t="s">
        <v>234</v>
      </c>
      <c r="C39" s="24" t="n">
        <f aca="false">ROUND(C37-C38,2)</f>
        <v>0</v>
      </c>
      <c r="D39" s="24" t="n">
        <f aca="false">ROUND(D37-D38,2)</f>
        <v>0</v>
      </c>
      <c r="E39" s="24" t="n">
        <f aca="false">ROUND(E37-E38,2)</f>
        <v>0</v>
      </c>
      <c r="F39" s="24" t="n">
        <f aca="false">ROUND(F37-F38,2)</f>
        <v>0</v>
      </c>
    </row>
    <row r="41" customFormat="false" ht="15" hidden="false" customHeight="false" outlineLevel="0" collapsed="false">
      <c r="A41" s="14" t="s">
        <v>248</v>
      </c>
      <c r="C41" s="21" t="n">
        <f aca="false">C22+C37</f>
        <v>1257.38</v>
      </c>
      <c r="D41" s="21" t="n">
        <f aca="false">D22+D37</f>
        <v>751.18</v>
      </c>
      <c r="E41" s="21" t="n">
        <f aca="false">E22+E37</f>
        <v>422.2</v>
      </c>
      <c r="F41" s="21" t="n">
        <f aca="false">F22+F37</f>
        <v>84</v>
      </c>
    </row>
    <row r="42" customFormat="false" ht="15" hidden="false" customHeight="false" outlineLevel="0" collapsed="false">
      <c r="A42" s="16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7" t="s">
        <v>250</v>
      </c>
    </row>
    <row r="3" customFormat="false" ht="15" hidden="false" customHeight="false" outlineLevel="0" collapsed="false">
      <c r="A3" s="4" t="s">
        <v>251</v>
      </c>
      <c r="B3" s="4" t="s">
        <v>252</v>
      </c>
      <c r="C3" s="4" t="s">
        <v>253</v>
      </c>
      <c r="D3" s="4" t="s">
        <v>254</v>
      </c>
      <c r="E3" s="4" t="s">
        <v>255</v>
      </c>
      <c r="F3" s="4" t="s">
        <v>256</v>
      </c>
      <c r="G3" s="4" t="s">
        <v>42</v>
      </c>
      <c r="H3" s="4" t="s">
        <v>257</v>
      </c>
    </row>
    <row r="4" customFormat="false" ht="23.85" hidden="false" customHeight="false" outlineLevel="0" collapsed="false">
      <c r="A4" s="5" t="s">
        <v>258</v>
      </c>
      <c r="B4" s="5" t="s">
        <v>259</v>
      </c>
      <c r="C4" s="5" t="s">
        <v>260</v>
      </c>
      <c r="D4" s="5" t="s">
        <v>261</v>
      </c>
      <c r="E4" s="5" t="s">
        <v>262</v>
      </c>
      <c r="F4" s="5" t="s">
        <v>263</v>
      </c>
      <c r="G4" s="5" t="s">
        <v>54</v>
      </c>
      <c r="H4" s="5" t="s">
        <v>264</v>
      </c>
    </row>
    <row r="5" customFormat="false" ht="23.85" hidden="false" customHeight="false" outlineLevel="0" collapsed="false">
      <c r="A5" s="5" t="s">
        <v>265</v>
      </c>
      <c r="B5" s="9" t="n">
        <v>2.64</v>
      </c>
      <c r="C5" s="5" t="s">
        <v>266</v>
      </c>
      <c r="D5" s="5" t="s">
        <v>45</v>
      </c>
      <c r="E5" s="5" t="s">
        <v>267</v>
      </c>
      <c r="F5" s="5" t="s">
        <v>73</v>
      </c>
      <c r="G5" s="5" t="s">
        <v>54</v>
      </c>
      <c r="H5" s="5" t="s">
        <v>268</v>
      </c>
    </row>
    <row r="6" customFormat="false" ht="15" hidden="false" customHeight="false" outlineLevel="0" collapsed="false">
      <c r="A6" s="5" t="s">
        <v>269</v>
      </c>
      <c r="B6" s="9" t="n">
        <v>3.5</v>
      </c>
      <c r="C6" s="5" t="s">
        <v>266</v>
      </c>
      <c r="D6" s="5" t="s">
        <v>45</v>
      </c>
      <c r="E6" s="5" t="s">
        <v>267</v>
      </c>
      <c r="F6" s="5" t="s">
        <v>73</v>
      </c>
      <c r="G6" s="5" t="s">
        <v>54</v>
      </c>
      <c r="H6" s="5" t="s">
        <v>270</v>
      </c>
    </row>
    <row r="7" customFormat="false" ht="15" hidden="false" customHeight="false" outlineLevel="0" collapsed="false">
      <c r="A7" s="5" t="s">
        <v>271</v>
      </c>
      <c r="B7" s="9" t="n">
        <v>4.54</v>
      </c>
      <c r="C7" s="5" t="s">
        <v>266</v>
      </c>
      <c r="D7" s="5" t="s">
        <v>45</v>
      </c>
      <c r="E7" s="5" t="s">
        <v>267</v>
      </c>
      <c r="F7" s="5" t="s">
        <v>73</v>
      </c>
      <c r="G7" s="5" t="s">
        <v>54</v>
      </c>
      <c r="H7" s="5" t="s">
        <v>272</v>
      </c>
    </row>
    <row r="8" customFormat="false" ht="15" hidden="false" customHeight="false" outlineLevel="0" collapsed="false">
      <c r="A8" s="5" t="s">
        <v>273</v>
      </c>
      <c r="B8" s="5" t="s">
        <v>274</v>
      </c>
      <c r="C8" s="5" t="s">
        <v>266</v>
      </c>
      <c r="D8" s="5" t="s">
        <v>275</v>
      </c>
      <c r="E8" s="5" t="s">
        <v>144</v>
      </c>
      <c r="F8" s="5" t="s">
        <v>276</v>
      </c>
      <c r="G8" s="5" t="s">
        <v>54</v>
      </c>
      <c r="H8" s="5" t="s">
        <v>277</v>
      </c>
    </row>
    <row r="9" customFormat="false" ht="15" hidden="false" customHeight="false" outlineLevel="0" collapsed="false">
      <c r="A9" s="5" t="s">
        <v>278</v>
      </c>
      <c r="B9" s="5" t="s">
        <v>279</v>
      </c>
      <c r="C9" s="5" t="s">
        <v>266</v>
      </c>
      <c r="D9" s="5" t="s">
        <v>280</v>
      </c>
      <c r="E9" s="5" t="s">
        <v>52</v>
      </c>
      <c r="F9" s="5" t="s">
        <v>281</v>
      </c>
      <c r="G9" s="5" t="s">
        <v>60</v>
      </c>
      <c r="H9" s="5"/>
    </row>
    <row r="10" customFormat="false" ht="15" hidden="false" customHeight="false" outlineLevel="0" collapsed="false">
      <c r="A10" s="5" t="s">
        <v>282</v>
      </c>
      <c r="B10" s="5" t="s">
        <v>283</v>
      </c>
      <c r="C10" s="5" t="s">
        <v>284</v>
      </c>
      <c r="D10" s="5" t="s">
        <v>285</v>
      </c>
      <c r="E10" s="5" t="s">
        <v>144</v>
      </c>
      <c r="F10" s="5" t="s">
        <v>286</v>
      </c>
      <c r="G10" s="5" t="s">
        <v>60</v>
      </c>
      <c r="H10" s="5"/>
    </row>
    <row r="11" customFormat="false" ht="15" hidden="false" customHeight="false" outlineLevel="0" collapsed="false">
      <c r="A11" s="5" t="s">
        <v>287</v>
      </c>
      <c r="B11" s="5" t="s">
        <v>288</v>
      </c>
      <c r="C11" s="5" t="s">
        <v>289</v>
      </c>
      <c r="D11" s="5" t="s">
        <v>275</v>
      </c>
      <c r="E11" s="5" t="s">
        <v>144</v>
      </c>
      <c r="F11" s="5" t="s">
        <v>276</v>
      </c>
      <c r="G11" s="5" t="s">
        <v>60</v>
      </c>
      <c r="H11" s="5"/>
    </row>
    <row r="12" customFormat="false" ht="15" hidden="false" customHeight="false" outlineLevel="0" collapsed="false">
      <c r="A12" s="5" t="s">
        <v>290</v>
      </c>
      <c r="B12" s="9" t="n">
        <v>10</v>
      </c>
      <c r="C12" s="5" t="s">
        <v>291</v>
      </c>
      <c r="D12" s="5" t="s">
        <v>292</v>
      </c>
      <c r="E12" s="5" t="s">
        <v>52</v>
      </c>
      <c r="F12" s="5" t="s">
        <v>293</v>
      </c>
      <c r="G12" s="5" t="s">
        <v>60</v>
      </c>
      <c r="H12" s="5" t="s">
        <v>294</v>
      </c>
    </row>
    <row r="13" customFormat="false" ht="15" hidden="false" customHeight="false" outlineLevel="0" collapsed="false">
      <c r="A13" s="5" t="s">
        <v>295</v>
      </c>
      <c r="B13" s="5" t="s">
        <v>296</v>
      </c>
      <c r="C13" s="5" t="s">
        <v>291</v>
      </c>
      <c r="D13" s="5" t="s">
        <v>275</v>
      </c>
      <c r="E13" s="5" t="s">
        <v>144</v>
      </c>
      <c r="F13" s="5" t="s">
        <v>276</v>
      </c>
      <c r="G13" s="5" t="s">
        <v>54</v>
      </c>
      <c r="H13" s="5"/>
    </row>
    <row r="14" customFormat="false" ht="15" hidden="false" customHeight="false" outlineLevel="0" collapsed="false">
      <c r="A14" s="5" t="s">
        <v>297</v>
      </c>
      <c r="B14" s="9" t="n">
        <v>11</v>
      </c>
      <c r="C14" s="5" t="s">
        <v>291</v>
      </c>
      <c r="D14" s="5" t="s">
        <v>228</v>
      </c>
      <c r="E14" s="5" t="s">
        <v>267</v>
      </c>
      <c r="F14" s="5" t="s">
        <v>73</v>
      </c>
      <c r="G14" s="5" t="s">
        <v>54</v>
      </c>
      <c r="H14" s="5" t="s">
        <v>298</v>
      </c>
    </row>
    <row r="15" customFormat="false" ht="15" hidden="false" customHeight="false" outlineLevel="0" collapsed="false">
      <c r="A15" s="5" t="s">
        <v>299</v>
      </c>
      <c r="B15" s="9" t="n">
        <v>10</v>
      </c>
      <c r="C15" s="5" t="s">
        <v>291</v>
      </c>
      <c r="D15" s="5" t="s">
        <v>300</v>
      </c>
      <c r="E15" s="5" t="s">
        <v>301</v>
      </c>
      <c r="F15" s="5" t="s">
        <v>302</v>
      </c>
      <c r="G15" s="5" t="s">
        <v>60</v>
      </c>
      <c r="H15" s="5" t="s">
        <v>303</v>
      </c>
    </row>
    <row r="16" customFormat="false" ht="15" hidden="false" customHeight="false" outlineLevel="0" collapsed="false">
      <c r="A16" s="5" t="s">
        <v>304</v>
      </c>
      <c r="B16" s="9" t="n">
        <v>5.88</v>
      </c>
      <c r="C16" s="5" t="s">
        <v>291</v>
      </c>
      <c r="D16" s="5" t="s">
        <v>58</v>
      </c>
      <c r="E16" s="5" t="s">
        <v>301</v>
      </c>
      <c r="F16" s="5" t="s">
        <v>302</v>
      </c>
      <c r="G16" s="5" t="s">
        <v>60</v>
      </c>
      <c r="H16" s="5"/>
    </row>
    <row r="17" customFormat="false" ht="15" hidden="false" customHeight="false" outlineLevel="0" collapsed="false">
      <c r="A17" s="5" t="s">
        <v>305</v>
      </c>
      <c r="B17" s="9" t="n">
        <v>4.48</v>
      </c>
      <c r="C17" s="5" t="s">
        <v>291</v>
      </c>
      <c r="D17" s="5" t="s">
        <v>240</v>
      </c>
      <c r="E17" s="5" t="s">
        <v>301</v>
      </c>
      <c r="F17" s="5" t="s">
        <v>306</v>
      </c>
      <c r="G17" s="5" t="s">
        <v>54</v>
      </c>
      <c r="H17" s="5" t="s">
        <v>307</v>
      </c>
    </row>
    <row r="18" customFormat="false" ht="15" hidden="false" customHeight="false" outlineLevel="0" collapsed="false">
      <c r="A18" s="5" t="s">
        <v>308</v>
      </c>
      <c r="B18" s="5" t="s">
        <v>309</v>
      </c>
      <c r="C18" s="5" t="s">
        <v>310</v>
      </c>
      <c r="D18" s="5" t="s">
        <v>311</v>
      </c>
      <c r="E18" s="5" t="s">
        <v>52</v>
      </c>
      <c r="F18" s="5" t="s">
        <v>281</v>
      </c>
      <c r="G18" s="5" t="s">
        <v>60</v>
      </c>
      <c r="H18" s="5"/>
    </row>
    <row r="19" customFormat="false" ht="15" hidden="false" customHeight="false" outlineLevel="0" collapsed="false">
      <c r="A19" s="5" t="s">
        <v>312</v>
      </c>
      <c r="B19" s="6" t="n">
        <v>14000</v>
      </c>
      <c r="C19" s="5" t="s">
        <v>313</v>
      </c>
      <c r="D19" s="5" t="s">
        <v>228</v>
      </c>
      <c r="E19" s="5" t="s">
        <v>267</v>
      </c>
      <c r="F19" s="5" t="s">
        <v>73</v>
      </c>
      <c r="G19" s="5" t="s">
        <v>54</v>
      </c>
      <c r="H19" s="5"/>
    </row>
    <row r="20" customFormat="false" ht="15" hidden="false" customHeight="false" outlineLevel="0" collapsed="false">
      <c r="A20" s="5" t="s">
        <v>314</v>
      </c>
      <c r="B20" s="5" t="s">
        <v>315</v>
      </c>
      <c r="C20" s="5" t="s">
        <v>316</v>
      </c>
      <c r="D20" s="5" t="s">
        <v>317</v>
      </c>
      <c r="E20" s="5" t="s">
        <v>120</v>
      </c>
      <c r="F20" s="5" t="s">
        <v>73</v>
      </c>
      <c r="G20" s="5" t="s">
        <v>60</v>
      </c>
      <c r="H20" s="5"/>
    </row>
    <row r="21" customFormat="false" ht="15" hidden="false" customHeight="false" outlineLevel="0" collapsed="false">
      <c r="A21" s="5" t="s">
        <v>318</v>
      </c>
      <c r="B21" s="25" t="n">
        <f aca="false">Stations_Dessalement!T19</f>
        <v>7907.54257907543</v>
      </c>
      <c r="C21" s="5" t="s">
        <v>313</v>
      </c>
      <c r="D21" s="5" t="s">
        <v>319</v>
      </c>
      <c r="E21" s="5" t="s">
        <v>301</v>
      </c>
      <c r="F21" s="5" t="s">
        <v>320</v>
      </c>
      <c r="G21" s="5" t="s">
        <v>60</v>
      </c>
      <c r="H21" s="5" t="s">
        <v>321</v>
      </c>
    </row>
    <row r="22" customFormat="false" ht="15" hidden="false" customHeight="false" outlineLevel="0" collapsed="false">
      <c r="A22" s="5" t="s">
        <v>322</v>
      </c>
      <c r="B22" s="25" t="n">
        <f aca="false">Stations_Dessalement!T18</f>
        <v>10909.0909090909</v>
      </c>
      <c r="C22" s="5" t="s">
        <v>313</v>
      </c>
      <c r="D22" s="5" t="s">
        <v>323</v>
      </c>
      <c r="E22" s="5" t="s">
        <v>324</v>
      </c>
      <c r="F22" s="5" t="s">
        <v>325</v>
      </c>
      <c r="G22" s="5" t="s">
        <v>60</v>
      </c>
      <c r="H22" s="5"/>
    </row>
    <row r="23" customFormat="false" ht="15" hidden="false" customHeight="false" outlineLevel="0" collapsed="false">
      <c r="A23" s="5" t="s">
        <v>326</v>
      </c>
      <c r="B23" s="25" t="n">
        <f aca="false">Stations_Dessalement!T20</f>
        <v>25000</v>
      </c>
      <c r="C23" s="5" t="s">
        <v>313</v>
      </c>
      <c r="D23" s="5" t="s">
        <v>327</v>
      </c>
      <c r="E23" s="5" t="s">
        <v>144</v>
      </c>
      <c r="F23" s="5" t="s">
        <v>328</v>
      </c>
      <c r="G23" s="5" t="s">
        <v>60</v>
      </c>
      <c r="H23" s="5" t="s">
        <v>329</v>
      </c>
    </row>
    <row r="24" customFormat="false" ht="15" hidden="false" customHeight="false" outlineLevel="0" collapsed="false">
      <c r="A24" s="5" t="s">
        <v>330</v>
      </c>
      <c r="B24" s="9" t="n">
        <v>27</v>
      </c>
      <c r="C24" s="5" t="s">
        <v>331</v>
      </c>
      <c r="D24" s="5" t="s">
        <v>240</v>
      </c>
      <c r="E24" s="5" t="s">
        <v>301</v>
      </c>
      <c r="F24" s="5" t="s">
        <v>332</v>
      </c>
      <c r="G24" s="5" t="s">
        <v>54</v>
      </c>
      <c r="H24" s="5" t="s">
        <v>333</v>
      </c>
    </row>
    <row r="25" customFormat="false" ht="15" hidden="false" customHeight="false" outlineLevel="0" collapsed="false">
      <c r="A25" s="5" t="s">
        <v>334</v>
      </c>
      <c r="B25" s="9" t="n">
        <v>20</v>
      </c>
      <c r="C25" s="5" t="s">
        <v>331</v>
      </c>
      <c r="D25" s="5" t="s">
        <v>231</v>
      </c>
      <c r="E25" s="5" t="s">
        <v>52</v>
      </c>
      <c r="F25" s="5" t="s">
        <v>335</v>
      </c>
      <c r="G25" s="5" t="s">
        <v>54</v>
      </c>
      <c r="H25" s="5"/>
    </row>
    <row r="26" customFormat="false" ht="15" hidden="false" customHeight="false" outlineLevel="0" collapsed="false">
      <c r="A26" s="5" t="s">
        <v>336</v>
      </c>
      <c r="B26" s="5" t="s">
        <v>337</v>
      </c>
      <c r="C26" s="5" t="s">
        <v>338</v>
      </c>
      <c r="D26" s="5" t="s">
        <v>339</v>
      </c>
      <c r="E26" s="5" t="s">
        <v>267</v>
      </c>
      <c r="F26" s="5" t="s">
        <v>73</v>
      </c>
      <c r="G26" s="5" t="s">
        <v>54</v>
      </c>
      <c r="H26" s="5"/>
    </row>
    <row r="27" customFormat="false" ht="23.85" hidden="false" customHeight="false" outlineLevel="0" collapsed="false">
      <c r="A27" s="5" t="s">
        <v>340</v>
      </c>
      <c r="B27" s="5" t="s">
        <v>341</v>
      </c>
      <c r="C27" s="5" t="s">
        <v>338</v>
      </c>
      <c r="D27" s="5" t="s">
        <v>342</v>
      </c>
      <c r="E27" s="5" t="s">
        <v>267</v>
      </c>
      <c r="F27" s="5" t="s">
        <v>73</v>
      </c>
      <c r="G27" s="5" t="s">
        <v>54</v>
      </c>
      <c r="H27" s="5"/>
    </row>
    <row r="28" customFormat="false" ht="23.85" hidden="false" customHeight="false" outlineLevel="0" collapsed="false">
      <c r="A28" s="5" t="s">
        <v>343</v>
      </c>
      <c r="B28" s="6" t="n">
        <v>3200</v>
      </c>
      <c r="C28" s="5" t="s">
        <v>344</v>
      </c>
      <c r="D28" s="5" t="s">
        <v>240</v>
      </c>
      <c r="E28" s="5" t="s">
        <v>144</v>
      </c>
      <c r="F28" s="5" t="s">
        <v>276</v>
      </c>
      <c r="G28" s="5" t="s">
        <v>153</v>
      </c>
      <c r="H28" s="5" t="s">
        <v>345</v>
      </c>
    </row>
    <row r="29" customFormat="false" ht="23.85" hidden="false" customHeight="false" outlineLevel="0" collapsed="false">
      <c r="A29" s="5" t="s">
        <v>346</v>
      </c>
      <c r="B29" s="9" t="n">
        <v>5</v>
      </c>
      <c r="C29" s="5" t="s">
        <v>289</v>
      </c>
      <c r="D29" s="5" t="s">
        <v>347</v>
      </c>
      <c r="E29" s="5" t="s">
        <v>301</v>
      </c>
      <c r="F29" s="5" t="s">
        <v>276</v>
      </c>
      <c r="G29" s="5" t="s">
        <v>54</v>
      </c>
      <c r="H29" s="5" t="s">
        <v>348</v>
      </c>
    </row>
    <row r="30" customFormat="false" ht="15" hidden="false" customHeight="false" outlineLevel="0" collapsed="false">
      <c r="A30" s="5" t="s">
        <v>349</v>
      </c>
      <c r="B30" s="9" t="n">
        <v>1.3</v>
      </c>
      <c r="C30" s="5" t="s">
        <v>350</v>
      </c>
      <c r="D30" s="5" t="s">
        <v>351</v>
      </c>
      <c r="E30" s="5" t="s">
        <v>144</v>
      </c>
      <c r="F30" s="5" t="s">
        <v>276</v>
      </c>
      <c r="G30" s="5" t="s">
        <v>54</v>
      </c>
      <c r="H30" s="5" t="s">
        <v>352</v>
      </c>
    </row>
    <row r="31" customFormat="false" ht="15" hidden="false" customHeight="false" outlineLevel="0" collapsed="false">
      <c r="A31" s="5" t="s">
        <v>353</v>
      </c>
      <c r="B31" s="6" t="n">
        <v>1563</v>
      </c>
      <c r="C31" s="5" t="s">
        <v>354</v>
      </c>
      <c r="D31" s="5" t="s">
        <v>355</v>
      </c>
      <c r="E31" s="5" t="s">
        <v>144</v>
      </c>
      <c r="F31" s="5" t="s">
        <v>356</v>
      </c>
      <c r="G31" s="5" t="s">
        <v>60</v>
      </c>
      <c r="H31" s="5" t="s">
        <v>357</v>
      </c>
    </row>
    <row r="33" customFormat="false" ht="15" hidden="false" customHeight="false" outlineLevel="0" collapsed="false">
      <c r="A33" s="14" t="s">
        <v>358</v>
      </c>
    </row>
    <row r="34" customFormat="false" ht="23.85" hidden="false" customHeight="false" outlineLevel="0" collapsed="false">
      <c r="A34" s="4" t="s">
        <v>359</v>
      </c>
      <c r="B34" s="4" t="s">
        <v>360</v>
      </c>
      <c r="C34" s="4" t="s">
        <v>361</v>
      </c>
      <c r="D34" s="4" t="s">
        <v>362</v>
      </c>
      <c r="E34" s="4" t="s">
        <v>34</v>
      </c>
      <c r="F34" s="4" t="s">
        <v>256</v>
      </c>
      <c r="G34" s="4" t="s">
        <v>42</v>
      </c>
      <c r="H34" s="4" t="s">
        <v>257</v>
      </c>
    </row>
    <row r="35" customFormat="false" ht="15" hidden="false" customHeight="false" outlineLevel="0" collapsed="false">
      <c r="A35" s="5" t="s">
        <v>363</v>
      </c>
      <c r="B35" s="26" t="n">
        <v>60</v>
      </c>
      <c r="C35" s="25" t="n">
        <f aca="false">Stations_Dessalement!I20</f>
        <v>100000</v>
      </c>
      <c r="D35" s="27" t="n">
        <f aca="false">B35/(C35/1000)</f>
        <v>0.6</v>
      </c>
      <c r="E35" s="5" t="s">
        <v>364</v>
      </c>
      <c r="F35" s="5" t="s">
        <v>328</v>
      </c>
      <c r="G35" s="5" t="s">
        <v>60</v>
      </c>
      <c r="H35" s="5" t="s">
        <v>365</v>
      </c>
    </row>
    <row r="36" customFormat="false" ht="23.85" hidden="false" customHeight="false" outlineLevel="0" collapsed="false">
      <c r="A36" s="5" t="s">
        <v>366</v>
      </c>
      <c r="B36" s="26" t="n">
        <v>360</v>
      </c>
      <c r="C36" s="25" t="n">
        <f aca="false">Stations_Dessalement!K19</f>
        <v>822000</v>
      </c>
      <c r="D36" s="27" t="n">
        <f aca="false">B36/(C36/1000)</f>
        <v>0.437956204379562</v>
      </c>
      <c r="E36" s="5" t="s">
        <v>367</v>
      </c>
      <c r="F36" s="5" t="s">
        <v>368</v>
      </c>
      <c r="G36" s="5" t="s">
        <v>54</v>
      </c>
      <c r="H36" s="5" t="s">
        <v>369</v>
      </c>
    </row>
    <row r="37" customFormat="false" ht="23.85" hidden="false" customHeight="false" outlineLevel="0" collapsed="false">
      <c r="A37" s="5" t="s">
        <v>370</v>
      </c>
      <c r="B37" s="26" t="n">
        <v>150</v>
      </c>
      <c r="C37" s="25" t="n">
        <f aca="false">Stations_Dessalement!K18</f>
        <v>400000</v>
      </c>
      <c r="D37" s="27" t="n">
        <f aca="false">B37/(C37/1000)</f>
        <v>0.375</v>
      </c>
      <c r="E37" s="5" t="s">
        <v>364</v>
      </c>
      <c r="F37" s="5" t="s">
        <v>371</v>
      </c>
      <c r="G37" s="5" t="s">
        <v>60</v>
      </c>
      <c r="H37" s="5" t="s">
        <v>372</v>
      </c>
    </row>
    <row r="39" customFormat="false" ht="15" hidden="false" customHeight="false" outlineLevel="0" collapsed="false">
      <c r="A39" s="14" t="s">
        <v>373</v>
      </c>
    </row>
    <row r="40" customFormat="false" ht="23.85" hidden="false" customHeight="false" outlineLevel="0" collapsed="false">
      <c r="A40" s="4" t="s">
        <v>374</v>
      </c>
      <c r="B40" s="4" t="s">
        <v>375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A41" s="28" t="s">
        <v>376</v>
      </c>
      <c r="B41" s="28" t="s">
        <v>377</v>
      </c>
      <c r="C41" s="28"/>
      <c r="D41" s="28"/>
      <c r="E41" s="28"/>
      <c r="F41" s="28"/>
      <c r="G41" s="28"/>
      <c r="H41" s="28"/>
    </row>
    <row r="42" customFormat="false" ht="23.85" hidden="false" customHeight="true" outlineLevel="0" collapsed="false">
      <c r="A42" s="28" t="s">
        <v>378</v>
      </c>
      <c r="B42" s="28" t="s">
        <v>379</v>
      </c>
      <c r="C42" s="28"/>
      <c r="D42" s="28"/>
      <c r="E42" s="28"/>
      <c r="F42" s="28"/>
      <c r="G42" s="28"/>
      <c r="H42" s="28"/>
    </row>
    <row r="43" customFormat="false" ht="23.85" hidden="false" customHeight="true" outlineLevel="0" collapsed="false">
      <c r="A43" s="28" t="s">
        <v>380</v>
      </c>
      <c r="B43" s="28" t="s">
        <v>381</v>
      </c>
      <c r="C43" s="28"/>
      <c r="D43" s="28"/>
      <c r="E43" s="28"/>
      <c r="F43" s="28"/>
      <c r="G43" s="28"/>
      <c r="H43" s="28"/>
    </row>
    <row r="44" customFormat="false" ht="15" hidden="false" customHeight="true" outlineLevel="0" collapsed="false">
      <c r="A44" s="28" t="s">
        <v>382</v>
      </c>
      <c r="B44" s="28" t="s">
        <v>383</v>
      </c>
      <c r="C44" s="28"/>
      <c r="D44" s="28"/>
      <c r="E44" s="28"/>
      <c r="F44" s="28"/>
      <c r="G44" s="28"/>
      <c r="H44" s="28"/>
    </row>
    <row r="45" customFormat="false" ht="15" hidden="false" customHeight="true" outlineLevel="0" collapsed="false">
      <c r="A45" s="28" t="s">
        <v>384</v>
      </c>
      <c r="B45" s="28" t="s">
        <v>385</v>
      </c>
      <c r="C45" s="28"/>
      <c r="D45" s="28"/>
      <c r="E45" s="28"/>
      <c r="F45" s="28"/>
      <c r="G45" s="28"/>
      <c r="H45" s="28"/>
    </row>
    <row r="46" customFormat="false" ht="15" hidden="false" customHeight="true" outlineLevel="0" collapsed="false">
      <c r="A46" s="28" t="s">
        <v>386</v>
      </c>
      <c r="B46" s="28" t="s">
        <v>387</v>
      </c>
      <c r="C46" s="28"/>
      <c r="D46" s="28"/>
      <c r="E46" s="28"/>
      <c r="F46" s="28"/>
      <c r="G46" s="28"/>
      <c r="H46" s="28"/>
    </row>
    <row r="47" customFormat="false" ht="15" hidden="false" customHeight="true" outlineLevel="0" collapsed="false">
      <c r="A47" s="28" t="s">
        <v>388</v>
      </c>
      <c r="B47" s="28" t="s">
        <v>389</v>
      </c>
      <c r="C47" s="28"/>
      <c r="D47" s="28"/>
      <c r="E47" s="28"/>
      <c r="F47" s="28"/>
      <c r="G47" s="28"/>
      <c r="H47" s="28"/>
    </row>
  </sheetData>
  <mergeCells count="7"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7" t="s">
        <v>390</v>
      </c>
    </row>
    <row r="3" customFormat="false" ht="15" hidden="false" customHeight="false" outlineLevel="0" collapsed="false">
      <c r="A3" s="4" t="s">
        <v>391</v>
      </c>
      <c r="B3" s="4" t="s">
        <v>252</v>
      </c>
      <c r="C3" s="4" t="s">
        <v>253</v>
      </c>
      <c r="D3" s="4" t="s">
        <v>392</v>
      </c>
      <c r="E3" s="4" t="s">
        <v>393</v>
      </c>
      <c r="F3" s="4" t="s">
        <v>394</v>
      </c>
    </row>
    <row r="4" customFormat="false" ht="15" hidden="false" customHeight="false" outlineLevel="0" collapsed="false">
      <c r="A4" s="5" t="s">
        <v>395</v>
      </c>
      <c r="B4" s="6" t="n">
        <v>9</v>
      </c>
      <c r="C4" s="5" t="s">
        <v>396</v>
      </c>
      <c r="D4" s="5" t="s">
        <v>397</v>
      </c>
      <c r="E4" s="5" t="s">
        <v>398</v>
      </c>
      <c r="F4" s="5" t="s">
        <v>399</v>
      </c>
    </row>
    <row r="5" customFormat="false" ht="15" hidden="false" customHeight="false" outlineLevel="0" collapsed="false">
      <c r="A5" s="5" t="s">
        <v>400</v>
      </c>
      <c r="B5" s="6" t="n">
        <v>147</v>
      </c>
      <c r="C5" s="5" t="s">
        <v>401</v>
      </c>
      <c r="D5" s="5" t="s">
        <v>397</v>
      </c>
      <c r="E5" s="5" t="s">
        <v>398</v>
      </c>
      <c r="F5" s="5"/>
    </row>
    <row r="6" customFormat="false" ht="15" hidden="false" customHeight="false" outlineLevel="0" collapsed="false">
      <c r="A6" s="5" t="s">
        <v>402</v>
      </c>
      <c r="B6" s="6" t="n">
        <v>12</v>
      </c>
      <c r="C6" s="5" t="s">
        <v>396</v>
      </c>
      <c r="D6" s="5" t="s">
        <v>403</v>
      </c>
      <c r="E6" s="5" t="s">
        <v>404</v>
      </c>
      <c r="F6" s="5" t="s">
        <v>405</v>
      </c>
    </row>
    <row r="7" customFormat="false" ht="15" hidden="false" customHeight="false" outlineLevel="0" collapsed="false">
      <c r="A7" s="5" t="s">
        <v>406</v>
      </c>
      <c r="B7" s="6" t="n">
        <v>179</v>
      </c>
      <c r="C7" s="5" t="s">
        <v>401</v>
      </c>
      <c r="D7" s="5" t="s">
        <v>403</v>
      </c>
      <c r="E7" s="5" t="s">
        <v>404</v>
      </c>
      <c r="F7" s="5" t="s">
        <v>407</v>
      </c>
    </row>
    <row r="8" customFormat="false" ht="15" hidden="false" customHeight="false" outlineLevel="0" collapsed="false">
      <c r="A8" s="5" t="s">
        <v>408</v>
      </c>
      <c r="B8" s="29" t="n">
        <v>179.3</v>
      </c>
      <c r="C8" s="5" t="s">
        <v>401</v>
      </c>
      <c r="D8" s="5" t="s">
        <v>409</v>
      </c>
      <c r="E8" s="5" t="s">
        <v>410</v>
      </c>
      <c r="F8" s="5" t="s">
        <v>411</v>
      </c>
    </row>
    <row r="9" customFormat="false" ht="15" hidden="false" customHeight="false" outlineLevel="0" collapsed="false">
      <c r="A9" s="5" t="s">
        <v>412</v>
      </c>
      <c r="B9" s="6" t="n">
        <v>17</v>
      </c>
      <c r="C9" s="5" t="s">
        <v>396</v>
      </c>
      <c r="D9" s="5" t="s">
        <v>144</v>
      </c>
      <c r="E9" s="5" t="s">
        <v>356</v>
      </c>
      <c r="F9" s="5" t="s">
        <v>413</v>
      </c>
    </row>
    <row r="10" customFormat="false" ht="15" hidden="false" customHeight="false" outlineLevel="0" collapsed="false">
      <c r="A10" s="5" t="s">
        <v>414</v>
      </c>
      <c r="B10" s="6" t="n">
        <v>320</v>
      </c>
      <c r="C10" s="5" t="s">
        <v>401</v>
      </c>
      <c r="D10" s="5" t="s">
        <v>144</v>
      </c>
      <c r="E10" s="5" t="s">
        <v>356</v>
      </c>
      <c r="F10" s="5" t="s">
        <v>415</v>
      </c>
    </row>
    <row r="11" customFormat="false" ht="15" hidden="false" customHeight="false" outlineLevel="0" collapsed="false">
      <c r="A11" s="5" t="s">
        <v>416</v>
      </c>
      <c r="B11" s="6" t="n">
        <v>12</v>
      </c>
      <c r="C11" s="5" t="s">
        <v>396</v>
      </c>
      <c r="D11" s="5" t="s">
        <v>417</v>
      </c>
      <c r="E11" s="5" t="s">
        <v>276</v>
      </c>
      <c r="F11" s="5" t="s">
        <v>418</v>
      </c>
    </row>
    <row r="12" customFormat="false" ht="15" hidden="false" customHeight="false" outlineLevel="0" collapsed="false">
      <c r="A12" s="5" t="s">
        <v>419</v>
      </c>
      <c r="B12" s="6" t="n">
        <v>1300</v>
      </c>
      <c r="C12" s="5" t="s">
        <v>401</v>
      </c>
      <c r="D12" s="5" t="s">
        <v>417</v>
      </c>
      <c r="E12" s="5" t="s">
        <v>276</v>
      </c>
      <c r="F12" s="5" t="s">
        <v>420</v>
      </c>
    </row>
    <row r="13" customFormat="false" ht="15" hidden="false" customHeight="false" outlineLevel="0" collapsed="false">
      <c r="A13" s="5" t="s">
        <v>421</v>
      </c>
      <c r="B13" s="6" t="n">
        <v>26</v>
      </c>
      <c r="C13" s="5" t="s">
        <v>396</v>
      </c>
      <c r="D13" s="5" t="s">
        <v>422</v>
      </c>
      <c r="E13" s="5" t="s">
        <v>163</v>
      </c>
      <c r="F13" s="5" t="s">
        <v>423</v>
      </c>
    </row>
    <row r="14" customFormat="false" ht="15" hidden="false" customHeight="false" outlineLevel="0" collapsed="false">
      <c r="A14" s="5" t="s">
        <v>424</v>
      </c>
      <c r="B14" s="30" t="n">
        <f aca="false">PNAEPI_PolicyCenter!C41</f>
        <v>1257.38</v>
      </c>
      <c r="C14" s="5" t="s">
        <v>401</v>
      </c>
      <c r="D14" s="5" t="s">
        <v>422</v>
      </c>
      <c r="E14" s="5" t="s">
        <v>163</v>
      </c>
      <c r="F14" s="5" t="s">
        <v>425</v>
      </c>
    </row>
    <row r="15" customFormat="false" ht="15" hidden="false" customHeight="false" outlineLevel="0" collapsed="false">
      <c r="A15" s="5" t="s">
        <v>426</v>
      </c>
      <c r="B15" s="6" t="n">
        <v>25</v>
      </c>
      <c r="C15" s="5" t="s">
        <v>401</v>
      </c>
      <c r="D15" s="5" t="s">
        <v>427</v>
      </c>
      <c r="E15" s="5" t="s">
        <v>428</v>
      </c>
      <c r="F15" s="5" t="s">
        <v>429</v>
      </c>
    </row>
    <row r="16" customFormat="false" ht="15" hidden="false" customHeight="false" outlineLevel="0" collapsed="false">
      <c r="A16" s="5" t="s">
        <v>430</v>
      </c>
      <c r="B16" s="6" t="n">
        <v>40</v>
      </c>
      <c r="C16" s="5" t="s">
        <v>401</v>
      </c>
      <c r="D16" s="5" t="s">
        <v>431</v>
      </c>
      <c r="E16" s="5" t="s">
        <v>432</v>
      </c>
      <c r="F16" s="5" t="s">
        <v>433</v>
      </c>
    </row>
    <row r="17" customFormat="false" ht="23.85" hidden="false" customHeight="false" outlineLevel="0" collapsed="false">
      <c r="A17" s="5" t="s">
        <v>434</v>
      </c>
      <c r="B17" s="6" t="n">
        <v>200</v>
      </c>
      <c r="C17" s="5" t="s">
        <v>401</v>
      </c>
      <c r="D17" s="5" t="s">
        <v>435</v>
      </c>
      <c r="E17" s="5" t="s">
        <v>286</v>
      </c>
      <c r="F17" s="5" t="s">
        <v>436</v>
      </c>
    </row>
    <row r="18" customFormat="false" ht="23.85" hidden="false" customHeight="false" outlineLevel="0" collapsed="false">
      <c r="A18" s="5" t="s">
        <v>437</v>
      </c>
      <c r="B18" s="6" t="n">
        <v>160000</v>
      </c>
      <c r="C18" s="5" t="s">
        <v>438</v>
      </c>
      <c r="D18" s="5" t="s">
        <v>439</v>
      </c>
      <c r="E18" s="5" t="s">
        <v>73</v>
      </c>
      <c r="F18" s="5" t="s">
        <v>440</v>
      </c>
    </row>
    <row r="19" customFormat="false" ht="35.05" hidden="false" customHeight="false" outlineLevel="0" collapsed="false">
      <c r="A19" s="5" t="s">
        <v>441</v>
      </c>
      <c r="B19" s="30" t="n">
        <f aca="false">SUMIFS(Stations_Dessalement!I2:I34,Stations_Dessalement!G2:G34,"ONEE*",Stations_Dessalement!E2:E34,"En service")</f>
        <v>181620</v>
      </c>
      <c r="C19" s="5" t="s">
        <v>438</v>
      </c>
      <c r="D19" s="5" t="s">
        <v>442</v>
      </c>
      <c r="E19" s="5" t="s">
        <v>73</v>
      </c>
      <c r="F19" s="5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8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" t="s">
        <v>20</v>
      </c>
      <c r="B1" s="4" t="s">
        <v>444</v>
      </c>
      <c r="C1" s="4" t="s">
        <v>445</v>
      </c>
      <c r="D1" s="4" t="s">
        <v>392</v>
      </c>
      <c r="E1" s="4" t="s">
        <v>446</v>
      </c>
      <c r="F1" s="4" t="s">
        <v>447</v>
      </c>
    </row>
    <row r="2" customFormat="false" ht="23.85" hidden="false" customHeight="false" outlineLevel="0" collapsed="false">
      <c r="A2" s="5" t="s">
        <v>163</v>
      </c>
      <c r="B2" s="5" t="s">
        <v>448</v>
      </c>
      <c r="C2" s="5" t="s">
        <v>449</v>
      </c>
      <c r="D2" s="5" t="s">
        <v>450</v>
      </c>
      <c r="E2" s="5" t="s">
        <v>451</v>
      </c>
      <c r="F2" s="5" t="s">
        <v>452</v>
      </c>
    </row>
    <row r="3" customFormat="false" ht="15" hidden="false" customHeight="false" outlineLevel="0" collapsed="false">
      <c r="A3" s="5" t="s">
        <v>73</v>
      </c>
      <c r="B3" s="5" t="s">
        <v>453</v>
      </c>
      <c r="C3" s="5" t="s">
        <v>454</v>
      </c>
      <c r="D3" s="5" t="s">
        <v>439</v>
      </c>
      <c r="E3" s="5" t="s">
        <v>455</v>
      </c>
      <c r="F3" s="5" t="s">
        <v>456</v>
      </c>
    </row>
    <row r="4" customFormat="false" ht="23.85" hidden="false" customHeight="false" outlineLevel="0" collapsed="false">
      <c r="A4" s="5" t="s">
        <v>276</v>
      </c>
      <c r="B4" s="5" t="s">
        <v>457</v>
      </c>
      <c r="C4" s="5" t="s">
        <v>458</v>
      </c>
      <c r="D4" s="5" t="s">
        <v>417</v>
      </c>
      <c r="E4" s="5" t="s">
        <v>459</v>
      </c>
      <c r="F4" s="5" t="s">
        <v>456</v>
      </c>
    </row>
    <row r="5" customFormat="false" ht="23.85" hidden="false" customHeight="false" outlineLevel="0" collapsed="false">
      <c r="A5" s="5" t="s">
        <v>356</v>
      </c>
      <c r="B5" s="5" t="s">
        <v>460</v>
      </c>
      <c r="C5" s="5" t="s">
        <v>461</v>
      </c>
      <c r="D5" s="5" t="s">
        <v>144</v>
      </c>
      <c r="E5" s="5" t="s">
        <v>462</v>
      </c>
      <c r="F5" s="5" t="s">
        <v>463</v>
      </c>
    </row>
    <row r="6" customFormat="false" ht="15" hidden="false" customHeight="false" outlineLevel="0" collapsed="false">
      <c r="A6" s="5" t="s">
        <v>368</v>
      </c>
      <c r="B6" s="5" t="s">
        <v>464</v>
      </c>
      <c r="C6" s="5" t="s">
        <v>465</v>
      </c>
      <c r="D6" s="5" t="s">
        <v>52</v>
      </c>
      <c r="E6" s="5" t="s">
        <v>466</v>
      </c>
      <c r="F6" s="5" t="s">
        <v>467</v>
      </c>
    </row>
    <row r="7" customFormat="false" ht="15" hidden="false" customHeight="false" outlineLevel="0" collapsed="false">
      <c r="A7" s="5" t="s">
        <v>468</v>
      </c>
      <c r="B7" s="5" t="s">
        <v>469</v>
      </c>
      <c r="C7" s="5" t="s">
        <v>470</v>
      </c>
      <c r="D7" s="5" t="s">
        <v>471</v>
      </c>
      <c r="E7" s="5" t="s">
        <v>472</v>
      </c>
      <c r="F7" s="5" t="s">
        <v>467</v>
      </c>
    </row>
    <row r="8" customFormat="false" ht="23.85" hidden="false" customHeight="false" outlineLevel="0" collapsed="false">
      <c r="A8" s="5" t="s">
        <v>473</v>
      </c>
      <c r="B8" s="5" t="s">
        <v>474</v>
      </c>
      <c r="C8" s="5" t="s">
        <v>475</v>
      </c>
      <c r="D8" s="5" t="s">
        <v>409</v>
      </c>
      <c r="E8" s="5" t="s">
        <v>476</v>
      </c>
      <c r="F8" s="5" t="s">
        <v>467</v>
      </c>
    </row>
    <row r="9" customFormat="false" ht="23.85" hidden="false" customHeight="false" outlineLevel="0" collapsed="false">
      <c r="A9" s="5" t="s">
        <v>332</v>
      </c>
      <c r="B9" s="5" t="s">
        <v>477</v>
      </c>
      <c r="C9" s="5" t="s">
        <v>478</v>
      </c>
      <c r="D9" s="5" t="s">
        <v>52</v>
      </c>
      <c r="E9" s="5" t="s">
        <v>479</v>
      </c>
      <c r="F9" s="5" t="s">
        <v>480</v>
      </c>
    </row>
    <row r="10" customFormat="false" ht="23.85" hidden="false" customHeight="false" outlineLevel="0" collapsed="false">
      <c r="A10" s="5" t="s">
        <v>302</v>
      </c>
      <c r="B10" s="5" t="s">
        <v>481</v>
      </c>
      <c r="C10" s="5" t="s">
        <v>482</v>
      </c>
      <c r="D10" s="5" t="s">
        <v>483</v>
      </c>
      <c r="E10" s="5" t="s">
        <v>484</v>
      </c>
      <c r="F10" s="5" t="s">
        <v>467</v>
      </c>
    </row>
    <row r="11" customFormat="false" ht="15" hidden="false" customHeight="false" outlineLevel="0" collapsed="false">
      <c r="A11" s="5" t="s">
        <v>485</v>
      </c>
      <c r="B11" s="5" t="s">
        <v>486</v>
      </c>
      <c r="C11" s="5" t="s">
        <v>461</v>
      </c>
      <c r="D11" s="5" t="s">
        <v>487</v>
      </c>
      <c r="E11" s="5" t="s">
        <v>488</v>
      </c>
      <c r="F11" s="5" t="s">
        <v>467</v>
      </c>
    </row>
    <row r="12" customFormat="false" ht="15" hidden="false" customHeight="false" outlineLevel="0" collapsed="false">
      <c r="A12" s="5" t="s">
        <v>489</v>
      </c>
      <c r="B12" s="5" t="s">
        <v>490</v>
      </c>
      <c r="C12" s="5" t="s">
        <v>465</v>
      </c>
      <c r="D12" s="5" t="s">
        <v>267</v>
      </c>
      <c r="E12" s="5" t="s">
        <v>491</v>
      </c>
      <c r="F12" s="5" t="s">
        <v>467</v>
      </c>
    </row>
    <row r="13" customFormat="false" ht="23.85" hidden="false" customHeight="false" outlineLevel="0" collapsed="false">
      <c r="A13" s="5" t="s">
        <v>325</v>
      </c>
      <c r="B13" s="5" t="s">
        <v>492</v>
      </c>
      <c r="C13" s="5" t="s">
        <v>470</v>
      </c>
      <c r="D13" s="5" t="s">
        <v>493</v>
      </c>
      <c r="E13" s="5" t="s">
        <v>494</v>
      </c>
      <c r="F13" s="5" t="s">
        <v>467</v>
      </c>
    </row>
    <row r="14" customFormat="false" ht="15" hidden="false" customHeight="false" outlineLevel="0" collapsed="false">
      <c r="A14" s="5" t="s">
        <v>371</v>
      </c>
      <c r="B14" s="5" t="s">
        <v>495</v>
      </c>
      <c r="C14" s="5" t="s">
        <v>496</v>
      </c>
      <c r="D14" s="5" t="s">
        <v>144</v>
      </c>
      <c r="E14" s="5" t="s">
        <v>497</v>
      </c>
      <c r="F14" s="5" t="s">
        <v>467</v>
      </c>
    </row>
    <row r="15" customFormat="false" ht="23.85" hidden="false" customHeight="false" outlineLevel="0" collapsed="false">
      <c r="A15" s="5" t="s">
        <v>328</v>
      </c>
      <c r="B15" s="5" t="s">
        <v>498</v>
      </c>
      <c r="C15" s="5" t="s">
        <v>482</v>
      </c>
      <c r="D15" s="5" t="s">
        <v>144</v>
      </c>
      <c r="E15" s="5" t="s">
        <v>499</v>
      </c>
      <c r="F15" s="5" t="s">
        <v>467</v>
      </c>
    </row>
    <row r="16" customFormat="false" ht="23.85" hidden="false" customHeight="false" outlineLevel="0" collapsed="false">
      <c r="A16" s="5" t="s">
        <v>335</v>
      </c>
      <c r="B16" s="5" t="s">
        <v>500</v>
      </c>
      <c r="C16" s="5" t="s">
        <v>501</v>
      </c>
      <c r="D16" s="5" t="s">
        <v>52</v>
      </c>
      <c r="E16" s="5" t="s">
        <v>502</v>
      </c>
      <c r="F16" s="5" t="s">
        <v>467</v>
      </c>
    </row>
    <row r="17" customFormat="false" ht="23.85" hidden="false" customHeight="false" outlineLevel="0" collapsed="false">
      <c r="A17" s="5" t="s">
        <v>503</v>
      </c>
      <c r="B17" s="5" t="s">
        <v>504</v>
      </c>
      <c r="C17" s="5" t="s">
        <v>482</v>
      </c>
      <c r="D17" s="5" t="s">
        <v>52</v>
      </c>
      <c r="E17" s="5" t="s">
        <v>505</v>
      </c>
      <c r="F17" s="5" t="s">
        <v>467</v>
      </c>
    </row>
    <row r="18" customFormat="false" ht="15" hidden="false" customHeight="false" outlineLevel="0" collapsed="false">
      <c r="A18" s="5" t="s">
        <v>506</v>
      </c>
      <c r="B18" s="5" t="s">
        <v>507</v>
      </c>
      <c r="C18" s="5" t="s">
        <v>508</v>
      </c>
      <c r="D18" s="5" t="s">
        <v>509</v>
      </c>
      <c r="E18" s="5" t="s">
        <v>510</v>
      </c>
      <c r="F18" s="5" t="s">
        <v>467</v>
      </c>
    </row>
    <row r="19" customFormat="false" ht="23.85" hidden="false" customHeight="false" outlineLevel="0" collapsed="false">
      <c r="A19" s="5" t="s">
        <v>511</v>
      </c>
      <c r="B19" s="5" t="s">
        <v>512</v>
      </c>
      <c r="C19" s="5" t="s">
        <v>461</v>
      </c>
      <c r="D19" s="5" t="s">
        <v>513</v>
      </c>
      <c r="E19" s="5" t="s">
        <v>514</v>
      </c>
      <c r="F19" s="5" t="s">
        <v>467</v>
      </c>
    </row>
    <row r="20" customFormat="false" ht="15" hidden="false" customHeight="false" outlineLevel="0" collapsed="false">
      <c r="A20" s="5" t="s">
        <v>286</v>
      </c>
      <c r="B20" s="5" t="s">
        <v>515</v>
      </c>
      <c r="C20" s="5" t="s">
        <v>516</v>
      </c>
      <c r="D20" s="5" t="s">
        <v>435</v>
      </c>
      <c r="E20" s="5" t="s">
        <v>517</v>
      </c>
      <c r="F20" s="5" t="s">
        <v>518</v>
      </c>
    </row>
    <row r="21" customFormat="false" ht="15" hidden="false" customHeight="false" outlineLevel="0" collapsed="false">
      <c r="A21" s="5" t="s">
        <v>519</v>
      </c>
      <c r="B21" s="5" t="s">
        <v>520</v>
      </c>
      <c r="C21" s="5" t="s">
        <v>521</v>
      </c>
      <c r="D21" s="5" t="s">
        <v>301</v>
      </c>
      <c r="E21" s="5" t="s">
        <v>522</v>
      </c>
      <c r="F21" s="5" t="s">
        <v>480</v>
      </c>
    </row>
    <row r="22" customFormat="false" ht="23.85" hidden="false" customHeight="false" outlineLevel="0" collapsed="false">
      <c r="A22" s="5" t="s">
        <v>398</v>
      </c>
      <c r="B22" s="5" t="s">
        <v>523</v>
      </c>
      <c r="C22" s="5" t="s">
        <v>482</v>
      </c>
      <c r="D22" s="5" t="s">
        <v>397</v>
      </c>
      <c r="E22" s="5" t="s">
        <v>524</v>
      </c>
      <c r="F22" s="5" t="s">
        <v>525</v>
      </c>
    </row>
    <row r="23" customFormat="false" ht="15" hidden="false" customHeight="false" outlineLevel="0" collapsed="false">
      <c r="A23" s="5" t="s">
        <v>404</v>
      </c>
      <c r="B23" s="5" t="s">
        <v>526</v>
      </c>
      <c r="C23" s="5" t="s">
        <v>508</v>
      </c>
      <c r="D23" s="5" t="s">
        <v>52</v>
      </c>
      <c r="E23" s="5" t="s">
        <v>527</v>
      </c>
      <c r="F23" s="5" t="s">
        <v>525</v>
      </c>
    </row>
    <row r="24" customFormat="false" ht="23.85" hidden="false" customHeight="false" outlineLevel="0" collapsed="false">
      <c r="A24" s="5" t="s">
        <v>410</v>
      </c>
      <c r="B24" s="5" t="s">
        <v>528</v>
      </c>
      <c r="C24" s="5" t="s">
        <v>529</v>
      </c>
      <c r="D24" s="5" t="s">
        <v>530</v>
      </c>
      <c r="E24" s="5" t="s">
        <v>531</v>
      </c>
      <c r="F24" s="5" t="s">
        <v>532</v>
      </c>
    </row>
    <row r="25" customFormat="false" ht="23.85" hidden="false" customHeight="false" outlineLevel="0" collapsed="false">
      <c r="A25" s="5" t="s">
        <v>281</v>
      </c>
      <c r="B25" s="5" t="s">
        <v>533</v>
      </c>
      <c r="C25" s="5" t="s">
        <v>482</v>
      </c>
      <c r="D25" s="5" t="s">
        <v>52</v>
      </c>
      <c r="E25" s="5" t="s">
        <v>534</v>
      </c>
      <c r="F25" s="5" t="s">
        <v>535</v>
      </c>
    </row>
    <row r="26" customFormat="false" ht="23.85" hidden="false" customHeight="false" outlineLevel="0" collapsed="false">
      <c r="A26" s="5" t="s">
        <v>536</v>
      </c>
      <c r="B26" s="5" t="s">
        <v>537</v>
      </c>
      <c r="C26" s="5" t="s">
        <v>482</v>
      </c>
      <c r="D26" s="5" t="s">
        <v>52</v>
      </c>
      <c r="E26" s="5" t="s">
        <v>538</v>
      </c>
      <c r="F26" s="5" t="s">
        <v>467</v>
      </c>
    </row>
    <row r="27" customFormat="false" ht="15" hidden="false" customHeight="false" outlineLevel="0" collapsed="false">
      <c r="A27" s="5" t="s">
        <v>539</v>
      </c>
      <c r="B27" s="5" t="s">
        <v>540</v>
      </c>
      <c r="C27" s="5" t="s">
        <v>541</v>
      </c>
      <c r="D27" s="5" t="s">
        <v>144</v>
      </c>
      <c r="E27" s="5" t="s">
        <v>542</v>
      </c>
      <c r="F27" s="5" t="s">
        <v>467</v>
      </c>
    </row>
    <row r="28" customFormat="false" ht="15" hidden="false" customHeight="false" outlineLevel="0" collapsed="false">
      <c r="A28" s="5" t="s">
        <v>543</v>
      </c>
      <c r="B28" s="5" t="s">
        <v>544</v>
      </c>
      <c r="C28" s="5" t="s">
        <v>541</v>
      </c>
      <c r="D28" s="5" t="s">
        <v>52</v>
      </c>
      <c r="E28" s="5" t="s">
        <v>545</v>
      </c>
      <c r="F28" s="5" t="s">
        <v>467</v>
      </c>
    </row>
    <row r="29" customFormat="false" ht="15" hidden="false" customHeight="false" outlineLevel="0" collapsed="false">
      <c r="A29" s="5" t="s">
        <v>293</v>
      </c>
      <c r="B29" s="5" t="s">
        <v>546</v>
      </c>
      <c r="C29" s="5" t="s">
        <v>482</v>
      </c>
      <c r="D29" s="5" t="s">
        <v>52</v>
      </c>
      <c r="E29" s="5" t="s">
        <v>547</v>
      </c>
      <c r="F29" s="5" t="s">
        <v>467</v>
      </c>
    </row>
    <row r="30" customFormat="false" ht="15" hidden="false" customHeight="false" outlineLevel="0" collapsed="false">
      <c r="A30" s="5" t="s">
        <v>548</v>
      </c>
      <c r="B30" s="5" t="s">
        <v>549</v>
      </c>
      <c r="C30" s="5" t="s">
        <v>541</v>
      </c>
      <c r="D30" s="5" t="s">
        <v>52</v>
      </c>
      <c r="E30" s="5" t="s">
        <v>550</v>
      </c>
      <c r="F30" s="5" t="s">
        <v>467</v>
      </c>
    </row>
    <row r="31" customFormat="false" ht="15" hidden="false" customHeight="false" outlineLevel="0" collapsed="false">
      <c r="A31" s="5" t="s">
        <v>551</v>
      </c>
      <c r="B31" s="5" t="s">
        <v>552</v>
      </c>
      <c r="C31" s="5" t="s">
        <v>508</v>
      </c>
      <c r="D31" s="5" t="s">
        <v>52</v>
      </c>
      <c r="E31" s="5" t="s">
        <v>553</v>
      </c>
      <c r="F31" s="5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2026-10-19T11:49:25Z</dcterms:created>
  <dc:creator>openpyxl</dc:creator>
  <dc:description/>
  <dc:language>en-US</dc:language>
  <cp:lastModifiedBy/>
  <dcterms:modified xsi:type="dcterms:W3CDTF">2026-10-19T11:49:25Z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